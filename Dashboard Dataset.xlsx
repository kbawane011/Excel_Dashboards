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cer\Desktop\Data Anylysis Class\Excel\EXCEL_CLASS_STUDY\"/>
    </mc:Choice>
  </mc:AlternateContent>
  <xr:revisionPtr revIDLastSave="0" documentId="13_ncr:1_{C51D0F19-5951-4076-806D-7E1389C1A43A}" xr6:coauthVersionLast="47" xr6:coauthVersionMax="47" xr10:uidLastSave="{00000000-0000-0000-0000-000000000000}"/>
  <bookViews>
    <workbookView xWindow="-108" yWindow="-108" windowWidth="23256" windowHeight="12456" firstSheet="1" activeTab="6" xr2:uid="{2118B642-7A8C-4D27-9C39-E0054EEDAF38}"/>
  </bookViews>
  <sheets>
    <sheet name="Sheet3" sheetId="22" r:id="rId1"/>
    <sheet name="Data 1" sheetId="17" r:id="rId2"/>
    <sheet name="Prcatice_ans" sheetId="28" r:id="rId3"/>
    <sheet name="Practice" sheetId="27" r:id="rId4"/>
    <sheet name="Data 2" sheetId="18" r:id="rId5"/>
    <sheet name="Requirements" sheetId="19" r:id="rId6"/>
    <sheet name="Dashboard" sheetId="20" r:id="rId7"/>
    <sheet name="Sheet2" sheetId="29" r:id="rId8"/>
  </sheets>
  <definedNames>
    <definedName name="_xlchart.v1.0" hidden="1">Sheet3!$AI$4:$AI$8</definedName>
    <definedName name="_xlchart.v1.1" hidden="1">Sheet3!$AJ$4:$AJ$8</definedName>
    <definedName name="_xlchart.v1.2" hidden="1">Sheet3!$AI$4:$AI$8</definedName>
    <definedName name="_xlchart.v1.3" hidden="1">Sheet3!$AJ$4:$AJ$8</definedName>
    <definedName name="_xlchart.v1.4" hidden="1">Sheet3!$AI$4:$AI$8</definedName>
    <definedName name="_xlchart.v1.5" hidden="1">Sheet3!$AJ$4:$AJ$8</definedName>
    <definedName name="_xlchart.v1.6" hidden="1">Prcatice_ans!$I$17:$I$21</definedName>
    <definedName name="_xlchart.v1.7" hidden="1">Prcatice_ans!$J$16</definedName>
    <definedName name="_xlchart.v1.8" hidden="1">Prcatice_ans!$J$17:$J$21</definedName>
    <definedName name="Category">OFFSET(Sheet3!$AF$3,1,0,COUNT(Sheet3!$AG$3:$AG$8))</definedName>
    <definedName name="Slicer_Month">#N/A</definedName>
    <definedName name="Slicer_Month1">#N/A</definedName>
    <definedName name="Slicer_PAYMENT_MODE">#N/A</definedName>
    <definedName name="Slicer_PAYMENT_MODE1">#N/A</definedName>
    <definedName name="Slicer_SALE_TYPE">#N/A</definedName>
    <definedName name="Slicer_SALE_TYPE1">#N/A</definedName>
    <definedName name="Slicer_Year">#N/A</definedName>
    <definedName name="Slicer_Year1">#N/A</definedName>
  </definedNames>
  <calcPr calcId="191029"/>
  <pivotCaches>
    <pivotCache cacheId="5" r:id="rId9"/>
    <pivotCache cacheId="6"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untry_e4a670f0-7320-44d4-b051-3cc7625c076e" name="Country" connection="Excel Data Model  Relationship"/>
          <x15:modelTable id="Date_1041a10b-9d7d-4da9-8cbb-285a7fd8a734" name="Date" connection="Excel Data Model  Relationship"/>
          <x15:modelTable id="Products_f3b59ce6-3c6a-4aaa-9375-5a89e8b24d71" name="Products" connection="Excel Data Model  Relationship"/>
          <x15:modelTable id="Sales_602e0846-3b36-4ff3-bcad-76cc28545c20" name="Sales" connection="Excel Data Model  Relationship"/>
        </x15:modelTables>
        <x15:modelRelationships>
          <x15:modelRelationship fromTable="Sales" fromColumn="Product_ID" toTable="Products" toColumn="Product_ID"/>
          <x15:modelRelationship fromTable="Sales" fromColumn="Country_Code" toTable="Country" toColumn="Country_Code"/>
          <x15:modelRelationship fromTable="Sales" fromColumn="Date_ID" toTable="Date"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28" l="1" a="1"/>
  <c r="S2" i="28" s="1"/>
  <c r="AG4" i="28"/>
  <c r="AG5" i="28"/>
  <c r="AG6" i="28"/>
  <c r="AG7" i="28"/>
  <c r="AG8" i="28"/>
  <c r="AG9" i="28"/>
  <c r="AG10" i="28"/>
  <c r="AG11" i="28"/>
  <c r="AG12" i="28"/>
  <c r="AG13" i="28"/>
  <c r="AG14" i="28"/>
  <c r="AG3" i="28"/>
  <c r="AC2" i="28" a="1"/>
  <c r="AC2" i="28" s="1"/>
  <c r="I16" i="28" a="1"/>
  <c r="I16" i="28" s="1"/>
  <c r="Q9" i="28" a="1"/>
  <c r="Q9" i="28" s="1"/>
  <c r="Q528" i="27"/>
  <c r="P528" i="27"/>
  <c r="O528" i="27"/>
  <c r="N528" i="27"/>
  <c r="M528" i="27"/>
  <c r="L528" i="27"/>
  <c r="K528" i="27"/>
  <c r="J528" i="27"/>
  <c r="I528" i="27"/>
  <c r="H528" i="27"/>
  <c r="G528" i="27"/>
  <c r="Q527" i="27"/>
  <c r="P527" i="27"/>
  <c r="O527" i="27"/>
  <c r="N527" i="27"/>
  <c r="M527" i="27"/>
  <c r="L527" i="27"/>
  <c r="K527" i="27"/>
  <c r="J527" i="27"/>
  <c r="I527" i="27"/>
  <c r="H527" i="27"/>
  <c r="G527" i="27"/>
  <c r="Q526" i="27"/>
  <c r="P526" i="27"/>
  <c r="O526" i="27"/>
  <c r="N526" i="27"/>
  <c r="M526" i="27"/>
  <c r="L526" i="27"/>
  <c r="K526" i="27"/>
  <c r="J526" i="27"/>
  <c r="I526" i="27"/>
  <c r="H526" i="27"/>
  <c r="G526" i="27"/>
  <c r="Q525" i="27"/>
  <c r="P525" i="27"/>
  <c r="O525" i="27"/>
  <c r="N525" i="27"/>
  <c r="M525" i="27"/>
  <c r="L525" i="27"/>
  <c r="K525" i="27"/>
  <c r="J525" i="27"/>
  <c r="I525" i="27"/>
  <c r="H525" i="27"/>
  <c r="G525" i="27"/>
  <c r="Q524" i="27"/>
  <c r="P524" i="27"/>
  <c r="O524" i="27"/>
  <c r="N524" i="27"/>
  <c r="M524" i="27"/>
  <c r="L524" i="27"/>
  <c r="K524" i="27"/>
  <c r="J524" i="27"/>
  <c r="I524" i="27"/>
  <c r="H524" i="27"/>
  <c r="G524" i="27"/>
  <c r="Q523" i="27"/>
  <c r="P523" i="27"/>
  <c r="O523" i="27"/>
  <c r="N523" i="27"/>
  <c r="M523" i="27"/>
  <c r="L523" i="27"/>
  <c r="K523" i="27"/>
  <c r="J523" i="27"/>
  <c r="I523" i="27"/>
  <c r="H523" i="27"/>
  <c r="G523" i="27"/>
  <c r="Q522" i="27"/>
  <c r="P522" i="27"/>
  <c r="O522" i="27"/>
  <c r="N522" i="27"/>
  <c r="M522" i="27"/>
  <c r="L522" i="27"/>
  <c r="K522" i="27"/>
  <c r="J522" i="27"/>
  <c r="I522" i="27"/>
  <c r="H522" i="27"/>
  <c r="G522" i="27"/>
  <c r="Q521" i="27"/>
  <c r="P521" i="27"/>
  <c r="O521" i="27"/>
  <c r="N521" i="27"/>
  <c r="M521" i="27"/>
  <c r="L521" i="27"/>
  <c r="K521" i="27"/>
  <c r="J521" i="27"/>
  <c r="I521" i="27"/>
  <c r="H521" i="27"/>
  <c r="G521" i="27"/>
  <c r="Q520" i="27"/>
  <c r="P520" i="27"/>
  <c r="O520" i="27"/>
  <c r="N520" i="27"/>
  <c r="M520" i="27"/>
  <c r="L520" i="27"/>
  <c r="K520" i="27"/>
  <c r="J520" i="27"/>
  <c r="I520" i="27"/>
  <c r="H520" i="27"/>
  <c r="G520" i="27"/>
  <c r="Q519" i="27"/>
  <c r="P519" i="27"/>
  <c r="O519" i="27"/>
  <c r="N519" i="27"/>
  <c r="M519" i="27"/>
  <c r="L519" i="27"/>
  <c r="K519" i="27"/>
  <c r="J519" i="27"/>
  <c r="I519" i="27"/>
  <c r="H519" i="27"/>
  <c r="G519" i="27"/>
  <c r="Q518" i="27"/>
  <c r="P518" i="27"/>
  <c r="O518" i="27"/>
  <c r="N518" i="27"/>
  <c r="M518" i="27"/>
  <c r="L518" i="27"/>
  <c r="K518" i="27"/>
  <c r="J518" i="27"/>
  <c r="I518" i="27"/>
  <c r="H518" i="27"/>
  <c r="G518" i="27"/>
  <c r="Q517" i="27"/>
  <c r="P517" i="27"/>
  <c r="O517" i="27"/>
  <c r="N517" i="27"/>
  <c r="M517" i="27"/>
  <c r="L517" i="27"/>
  <c r="K517" i="27"/>
  <c r="J517" i="27"/>
  <c r="I517" i="27"/>
  <c r="H517" i="27"/>
  <c r="G517" i="27"/>
  <c r="Q516" i="27"/>
  <c r="P516" i="27"/>
  <c r="O516" i="27"/>
  <c r="N516" i="27"/>
  <c r="M516" i="27"/>
  <c r="L516" i="27"/>
  <c r="K516" i="27"/>
  <c r="J516" i="27"/>
  <c r="I516" i="27"/>
  <c r="H516" i="27"/>
  <c r="G516" i="27"/>
  <c r="Q515" i="27"/>
  <c r="P515" i="27"/>
  <c r="O515" i="27"/>
  <c r="N515" i="27"/>
  <c r="M515" i="27"/>
  <c r="L515" i="27"/>
  <c r="K515" i="27"/>
  <c r="J515" i="27"/>
  <c r="I515" i="27"/>
  <c r="H515" i="27"/>
  <c r="G515" i="27"/>
  <c r="Q514" i="27"/>
  <c r="P514" i="27"/>
  <c r="O514" i="27"/>
  <c r="N514" i="27"/>
  <c r="M514" i="27"/>
  <c r="L514" i="27"/>
  <c r="K514" i="27"/>
  <c r="J514" i="27"/>
  <c r="I514" i="27"/>
  <c r="H514" i="27"/>
  <c r="G514" i="27"/>
  <c r="Q513" i="27"/>
  <c r="P513" i="27"/>
  <c r="O513" i="27"/>
  <c r="N513" i="27"/>
  <c r="M513" i="27"/>
  <c r="L513" i="27"/>
  <c r="K513" i="27"/>
  <c r="J513" i="27"/>
  <c r="I513" i="27"/>
  <c r="H513" i="27"/>
  <c r="G513" i="27"/>
  <c r="Q512" i="27"/>
  <c r="P512" i="27"/>
  <c r="O512" i="27"/>
  <c r="N512" i="27"/>
  <c r="M512" i="27"/>
  <c r="L512" i="27"/>
  <c r="K512" i="27"/>
  <c r="J512" i="27"/>
  <c r="I512" i="27"/>
  <c r="H512" i="27"/>
  <c r="G512" i="27"/>
  <c r="Q511" i="27"/>
  <c r="P511" i="27"/>
  <c r="O511" i="27"/>
  <c r="N511" i="27"/>
  <c r="M511" i="27"/>
  <c r="L511" i="27"/>
  <c r="K511" i="27"/>
  <c r="J511" i="27"/>
  <c r="I511" i="27"/>
  <c r="H511" i="27"/>
  <c r="G511" i="27"/>
  <c r="Q510" i="27"/>
  <c r="P510" i="27"/>
  <c r="O510" i="27"/>
  <c r="N510" i="27"/>
  <c r="M510" i="27"/>
  <c r="L510" i="27"/>
  <c r="K510" i="27"/>
  <c r="J510" i="27"/>
  <c r="I510" i="27"/>
  <c r="H510" i="27"/>
  <c r="G510" i="27"/>
  <c r="Q509" i="27"/>
  <c r="P509" i="27"/>
  <c r="O509" i="27"/>
  <c r="N509" i="27"/>
  <c r="M509" i="27"/>
  <c r="L509" i="27"/>
  <c r="K509" i="27"/>
  <c r="J509" i="27"/>
  <c r="I509" i="27"/>
  <c r="H509" i="27"/>
  <c r="G509" i="27"/>
  <c r="Q508" i="27"/>
  <c r="P508" i="27"/>
  <c r="O508" i="27"/>
  <c r="N508" i="27"/>
  <c r="M508" i="27"/>
  <c r="L508" i="27"/>
  <c r="K508" i="27"/>
  <c r="J508" i="27"/>
  <c r="I508" i="27"/>
  <c r="H508" i="27"/>
  <c r="G508" i="27"/>
  <c r="Q507" i="27"/>
  <c r="P507" i="27"/>
  <c r="O507" i="27"/>
  <c r="N507" i="27"/>
  <c r="M507" i="27"/>
  <c r="L507" i="27"/>
  <c r="K507" i="27"/>
  <c r="J507" i="27"/>
  <c r="I507" i="27"/>
  <c r="H507" i="27"/>
  <c r="G507" i="27"/>
  <c r="Q506" i="27"/>
  <c r="P506" i="27"/>
  <c r="O506" i="27"/>
  <c r="N506" i="27"/>
  <c r="M506" i="27"/>
  <c r="L506" i="27"/>
  <c r="K506" i="27"/>
  <c r="J506" i="27"/>
  <c r="I506" i="27"/>
  <c r="H506" i="27"/>
  <c r="G506" i="27"/>
  <c r="Q505" i="27"/>
  <c r="P505" i="27"/>
  <c r="O505" i="27"/>
  <c r="N505" i="27"/>
  <c r="M505" i="27"/>
  <c r="L505" i="27"/>
  <c r="K505" i="27"/>
  <c r="J505" i="27"/>
  <c r="I505" i="27"/>
  <c r="H505" i="27"/>
  <c r="G505" i="27"/>
  <c r="Q504" i="27"/>
  <c r="P504" i="27"/>
  <c r="O504" i="27"/>
  <c r="N504" i="27"/>
  <c r="M504" i="27"/>
  <c r="L504" i="27"/>
  <c r="K504" i="27"/>
  <c r="J504" i="27"/>
  <c r="I504" i="27"/>
  <c r="H504" i="27"/>
  <c r="G504" i="27"/>
  <c r="Q503" i="27"/>
  <c r="P503" i="27"/>
  <c r="O503" i="27"/>
  <c r="N503" i="27"/>
  <c r="M503" i="27"/>
  <c r="L503" i="27"/>
  <c r="K503" i="27"/>
  <c r="J503" i="27"/>
  <c r="I503" i="27"/>
  <c r="H503" i="27"/>
  <c r="G503" i="27"/>
  <c r="Q502" i="27"/>
  <c r="P502" i="27"/>
  <c r="O502" i="27"/>
  <c r="N502" i="27"/>
  <c r="M502" i="27"/>
  <c r="L502" i="27"/>
  <c r="K502" i="27"/>
  <c r="J502" i="27"/>
  <c r="I502" i="27"/>
  <c r="H502" i="27"/>
  <c r="G502" i="27"/>
  <c r="Q501" i="27"/>
  <c r="P501" i="27"/>
  <c r="O501" i="27"/>
  <c r="N501" i="27"/>
  <c r="M501" i="27"/>
  <c r="L501" i="27"/>
  <c r="K501" i="27"/>
  <c r="J501" i="27"/>
  <c r="I501" i="27"/>
  <c r="H501" i="27"/>
  <c r="G501" i="27"/>
  <c r="Q500" i="27"/>
  <c r="P500" i="27"/>
  <c r="O500" i="27"/>
  <c r="N500" i="27"/>
  <c r="M500" i="27"/>
  <c r="L500" i="27"/>
  <c r="K500" i="27"/>
  <c r="J500" i="27"/>
  <c r="I500" i="27"/>
  <c r="H500" i="27"/>
  <c r="G500" i="27"/>
  <c r="Q499" i="27"/>
  <c r="P499" i="27"/>
  <c r="O499" i="27"/>
  <c r="N499" i="27"/>
  <c r="M499" i="27"/>
  <c r="L499" i="27"/>
  <c r="K499" i="27"/>
  <c r="J499" i="27"/>
  <c r="I499" i="27"/>
  <c r="H499" i="27"/>
  <c r="G499" i="27"/>
  <c r="Q498" i="27"/>
  <c r="P498" i="27"/>
  <c r="O498" i="27"/>
  <c r="N498" i="27"/>
  <c r="M498" i="27"/>
  <c r="L498" i="27"/>
  <c r="K498" i="27"/>
  <c r="J498" i="27"/>
  <c r="I498" i="27"/>
  <c r="H498" i="27"/>
  <c r="G498" i="27"/>
  <c r="Q497" i="27"/>
  <c r="P497" i="27"/>
  <c r="O497" i="27"/>
  <c r="N497" i="27"/>
  <c r="M497" i="27"/>
  <c r="L497" i="27"/>
  <c r="K497" i="27"/>
  <c r="J497" i="27"/>
  <c r="I497" i="27"/>
  <c r="H497" i="27"/>
  <c r="G497" i="27"/>
  <c r="Q496" i="27"/>
  <c r="P496" i="27"/>
  <c r="O496" i="27"/>
  <c r="N496" i="27"/>
  <c r="M496" i="27"/>
  <c r="L496" i="27"/>
  <c r="K496" i="27"/>
  <c r="J496" i="27"/>
  <c r="I496" i="27"/>
  <c r="H496" i="27"/>
  <c r="G496" i="27"/>
  <c r="Q495" i="27"/>
  <c r="P495" i="27"/>
  <c r="O495" i="27"/>
  <c r="N495" i="27"/>
  <c r="M495" i="27"/>
  <c r="L495" i="27"/>
  <c r="K495" i="27"/>
  <c r="J495" i="27"/>
  <c r="I495" i="27"/>
  <c r="H495" i="27"/>
  <c r="G495" i="27"/>
  <c r="Q494" i="27"/>
  <c r="P494" i="27"/>
  <c r="O494" i="27"/>
  <c r="N494" i="27"/>
  <c r="M494" i="27"/>
  <c r="L494" i="27"/>
  <c r="K494" i="27"/>
  <c r="J494" i="27"/>
  <c r="I494" i="27"/>
  <c r="H494" i="27"/>
  <c r="G494" i="27"/>
  <c r="Q493" i="27"/>
  <c r="P493" i="27"/>
  <c r="O493" i="27"/>
  <c r="N493" i="27"/>
  <c r="M493" i="27"/>
  <c r="L493" i="27"/>
  <c r="K493" i="27"/>
  <c r="J493" i="27"/>
  <c r="I493" i="27"/>
  <c r="H493" i="27"/>
  <c r="G493" i="27"/>
  <c r="Q492" i="27"/>
  <c r="P492" i="27"/>
  <c r="O492" i="27"/>
  <c r="N492" i="27"/>
  <c r="M492" i="27"/>
  <c r="L492" i="27"/>
  <c r="K492" i="27"/>
  <c r="J492" i="27"/>
  <c r="I492" i="27"/>
  <c r="H492" i="27"/>
  <c r="G492" i="27"/>
  <c r="Q491" i="27"/>
  <c r="P491" i="27"/>
  <c r="O491" i="27"/>
  <c r="N491" i="27"/>
  <c r="M491" i="27"/>
  <c r="L491" i="27"/>
  <c r="K491" i="27"/>
  <c r="J491" i="27"/>
  <c r="I491" i="27"/>
  <c r="H491" i="27"/>
  <c r="G491" i="27"/>
  <c r="Q490" i="27"/>
  <c r="P490" i="27"/>
  <c r="O490" i="27"/>
  <c r="N490" i="27"/>
  <c r="M490" i="27"/>
  <c r="L490" i="27"/>
  <c r="K490" i="27"/>
  <c r="J490" i="27"/>
  <c r="I490" i="27"/>
  <c r="H490" i="27"/>
  <c r="G490" i="27"/>
  <c r="Q489" i="27"/>
  <c r="P489" i="27"/>
  <c r="O489" i="27"/>
  <c r="N489" i="27"/>
  <c r="M489" i="27"/>
  <c r="L489" i="27"/>
  <c r="K489" i="27"/>
  <c r="J489" i="27"/>
  <c r="I489" i="27"/>
  <c r="H489" i="27"/>
  <c r="G489" i="27"/>
  <c r="Q488" i="27"/>
  <c r="P488" i="27"/>
  <c r="O488" i="27"/>
  <c r="N488" i="27"/>
  <c r="M488" i="27"/>
  <c r="L488" i="27"/>
  <c r="K488" i="27"/>
  <c r="J488" i="27"/>
  <c r="I488" i="27"/>
  <c r="H488" i="27"/>
  <c r="G488" i="27"/>
  <c r="Q487" i="27"/>
  <c r="P487" i="27"/>
  <c r="O487" i="27"/>
  <c r="N487" i="27"/>
  <c r="M487" i="27"/>
  <c r="L487" i="27"/>
  <c r="K487" i="27"/>
  <c r="J487" i="27"/>
  <c r="I487" i="27"/>
  <c r="H487" i="27"/>
  <c r="G487" i="27"/>
  <c r="Q486" i="27"/>
  <c r="P486" i="27"/>
  <c r="O486" i="27"/>
  <c r="N486" i="27"/>
  <c r="M486" i="27"/>
  <c r="L486" i="27"/>
  <c r="K486" i="27"/>
  <c r="J486" i="27"/>
  <c r="I486" i="27"/>
  <c r="H486" i="27"/>
  <c r="G486" i="27"/>
  <c r="Q485" i="27"/>
  <c r="P485" i="27"/>
  <c r="O485" i="27"/>
  <c r="N485" i="27"/>
  <c r="M485" i="27"/>
  <c r="L485" i="27"/>
  <c r="K485" i="27"/>
  <c r="J485" i="27"/>
  <c r="I485" i="27"/>
  <c r="H485" i="27"/>
  <c r="G485" i="27"/>
  <c r="Q484" i="27"/>
  <c r="P484" i="27"/>
  <c r="O484" i="27"/>
  <c r="N484" i="27"/>
  <c r="M484" i="27"/>
  <c r="L484" i="27"/>
  <c r="K484" i="27"/>
  <c r="J484" i="27"/>
  <c r="I484" i="27"/>
  <c r="H484" i="27"/>
  <c r="G484" i="27"/>
  <c r="Q483" i="27"/>
  <c r="P483" i="27"/>
  <c r="O483" i="27"/>
  <c r="N483" i="27"/>
  <c r="M483" i="27"/>
  <c r="L483" i="27"/>
  <c r="K483" i="27"/>
  <c r="J483" i="27"/>
  <c r="I483" i="27"/>
  <c r="H483" i="27"/>
  <c r="G483" i="27"/>
  <c r="Q482" i="27"/>
  <c r="P482" i="27"/>
  <c r="O482" i="27"/>
  <c r="N482" i="27"/>
  <c r="M482" i="27"/>
  <c r="L482" i="27"/>
  <c r="K482" i="27"/>
  <c r="J482" i="27"/>
  <c r="I482" i="27"/>
  <c r="H482" i="27"/>
  <c r="G482" i="27"/>
  <c r="Q481" i="27"/>
  <c r="P481" i="27"/>
  <c r="O481" i="27"/>
  <c r="N481" i="27"/>
  <c r="M481" i="27"/>
  <c r="L481" i="27"/>
  <c r="K481" i="27"/>
  <c r="J481" i="27"/>
  <c r="I481" i="27"/>
  <c r="H481" i="27"/>
  <c r="G481" i="27"/>
  <c r="Q480" i="27"/>
  <c r="P480" i="27"/>
  <c r="O480" i="27"/>
  <c r="N480" i="27"/>
  <c r="M480" i="27"/>
  <c r="L480" i="27"/>
  <c r="K480" i="27"/>
  <c r="J480" i="27"/>
  <c r="I480" i="27"/>
  <c r="H480" i="27"/>
  <c r="G480" i="27"/>
  <c r="Q479" i="27"/>
  <c r="P479" i="27"/>
  <c r="O479" i="27"/>
  <c r="N479" i="27"/>
  <c r="M479" i="27"/>
  <c r="L479" i="27"/>
  <c r="K479" i="27"/>
  <c r="J479" i="27"/>
  <c r="I479" i="27"/>
  <c r="H479" i="27"/>
  <c r="G479" i="27"/>
  <c r="Q478" i="27"/>
  <c r="P478" i="27"/>
  <c r="O478" i="27"/>
  <c r="N478" i="27"/>
  <c r="M478" i="27"/>
  <c r="L478" i="27"/>
  <c r="K478" i="27"/>
  <c r="J478" i="27"/>
  <c r="I478" i="27"/>
  <c r="H478" i="27"/>
  <c r="G478" i="27"/>
  <c r="Q477" i="27"/>
  <c r="P477" i="27"/>
  <c r="O477" i="27"/>
  <c r="N477" i="27"/>
  <c r="M477" i="27"/>
  <c r="L477" i="27"/>
  <c r="K477" i="27"/>
  <c r="J477" i="27"/>
  <c r="I477" i="27"/>
  <c r="H477" i="27"/>
  <c r="G477" i="27"/>
  <c r="Q476" i="27"/>
  <c r="P476" i="27"/>
  <c r="O476" i="27"/>
  <c r="N476" i="27"/>
  <c r="M476" i="27"/>
  <c r="L476" i="27"/>
  <c r="K476" i="27"/>
  <c r="J476" i="27"/>
  <c r="I476" i="27"/>
  <c r="H476" i="27"/>
  <c r="G476" i="27"/>
  <c r="Q475" i="27"/>
  <c r="P475" i="27"/>
  <c r="O475" i="27"/>
  <c r="N475" i="27"/>
  <c r="M475" i="27"/>
  <c r="L475" i="27"/>
  <c r="K475" i="27"/>
  <c r="J475" i="27"/>
  <c r="I475" i="27"/>
  <c r="H475" i="27"/>
  <c r="G475" i="27"/>
  <c r="Q474" i="27"/>
  <c r="P474" i="27"/>
  <c r="O474" i="27"/>
  <c r="N474" i="27"/>
  <c r="M474" i="27"/>
  <c r="L474" i="27"/>
  <c r="K474" i="27"/>
  <c r="J474" i="27"/>
  <c r="I474" i="27"/>
  <c r="H474" i="27"/>
  <c r="G474" i="27"/>
  <c r="Q473" i="27"/>
  <c r="P473" i="27"/>
  <c r="O473" i="27"/>
  <c r="N473" i="27"/>
  <c r="M473" i="27"/>
  <c r="L473" i="27"/>
  <c r="K473" i="27"/>
  <c r="J473" i="27"/>
  <c r="I473" i="27"/>
  <c r="H473" i="27"/>
  <c r="G473" i="27"/>
  <c r="Q472" i="27"/>
  <c r="P472" i="27"/>
  <c r="O472" i="27"/>
  <c r="N472" i="27"/>
  <c r="M472" i="27"/>
  <c r="L472" i="27"/>
  <c r="K472" i="27"/>
  <c r="J472" i="27"/>
  <c r="I472" i="27"/>
  <c r="H472" i="27"/>
  <c r="G472" i="27"/>
  <c r="Q471" i="27"/>
  <c r="P471" i="27"/>
  <c r="O471" i="27"/>
  <c r="N471" i="27"/>
  <c r="M471" i="27"/>
  <c r="L471" i="27"/>
  <c r="K471" i="27"/>
  <c r="J471" i="27"/>
  <c r="I471" i="27"/>
  <c r="H471" i="27"/>
  <c r="G471" i="27"/>
  <c r="Q470" i="27"/>
  <c r="P470" i="27"/>
  <c r="O470" i="27"/>
  <c r="N470" i="27"/>
  <c r="M470" i="27"/>
  <c r="L470" i="27"/>
  <c r="K470" i="27"/>
  <c r="J470" i="27"/>
  <c r="I470" i="27"/>
  <c r="H470" i="27"/>
  <c r="G470" i="27"/>
  <c r="Q469" i="27"/>
  <c r="P469" i="27"/>
  <c r="O469" i="27"/>
  <c r="N469" i="27"/>
  <c r="M469" i="27"/>
  <c r="L469" i="27"/>
  <c r="K469" i="27"/>
  <c r="J469" i="27"/>
  <c r="I469" i="27"/>
  <c r="H469" i="27"/>
  <c r="G469" i="27"/>
  <c r="Q468" i="27"/>
  <c r="P468" i="27"/>
  <c r="O468" i="27"/>
  <c r="N468" i="27"/>
  <c r="M468" i="27"/>
  <c r="L468" i="27"/>
  <c r="K468" i="27"/>
  <c r="J468" i="27"/>
  <c r="I468" i="27"/>
  <c r="H468" i="27"/>
  <c r="G468" i="27"/>
  <c r="Q467" i="27"/>
  <c r="P467" i="27"/>
  <c r="O467" i="27"/>
  <c r="N467" i="27"/>
  <c r="M467" i="27"/>
  <c r="L467" i="27"/>
  <c r="K467" i="27"/>
  <c r="J467" i="27"/>
  <c r="I467" i="27"/>
  <c r="H467" i="27"/>
  <c r="G467" i="27"/>
  <c r="Q466" i="27"/>
  <c r="P466" i="27"/>
  <c r="O466" i="27"/>
  <c r="N466" i="27"/>
  <c r="M466" i="27"/>
  <c r="L466" i="27"/>
  <c r="K466" i="27"/>
  <c r="J466" i="27"/>
  <c r="I466" i="27"/>
  <c r="H466" i="27"/>
  <c r="G466" i="27"/>
  <c r="Q465" i="27"/>
  <c r="P465" i="27"/>
  <c r="O465" i="27"/>
  <c r="N465" i="27"/>
  <c r="M465" i="27"/>
  <c r="L465" i="27"/>
  <c r="K465" i="27"/>
  <c r="J465" i="27"/>
  <c r="I465" i="27"/>
  <c r="H465" i="27"/>
  <c r="G465" i="27"/>
  <c r="Q464" i="27"/>
  <c r="P464" i="27"/>
  <c r="O464" i="27"/>
  <c r="N464" i="27"/>
  <c r="M464" i="27"/>
  <c r="L464" i="27"/>
  <c r="K464" i="27"/>
  <c r="J464" i="27"/>
  <c r="I464" i="27"/>
  <c r="H464" i="27"/>
  <c r="G464" i="27"/>
  <c r="Q463" i="27"/>
  <c r="P463" i="27"/>
  <c r="O463" i="27"/>
  <c r="N463" i="27"/>
  <c r="M463" i="27"/>
  <c r="L463" i="27"/>
  <c r="K463" i="27"/>
  <c r="J463" i="27"/>
  <c r="I463" i="27"/>
  <c r="H463" i="27"/>
  <c r="G463" i="27"/>
  <c r="Q462" i="27"/>
  <c r="P462" i="27"/>
  <c r="O462" i="27"/>
  <c r="N462" i="27"/>
  <c r="M462" i="27"/>
  <c r="L462" i="27"/>
  <c r="K462" i="27"/>
  <c r="J462" i="27"/>
  <c r="I462" i="27"/>
  <c r="H462" i="27"/>
  <c r="G462" i="27"/>
  <c r="Q461" i="27"/>
  <c r="P461" i="27"/>
  <c r="O461" i="27"/>
  <c r="N461" i="27"/>
  <c r="M461" i="27"/>
  <c r="L461" i="27"/>
  <c r="K461" i="27"/>
  <c r="J461" i="27"/>
  <c r="I461" i="27"/>
  <c r="H461" i="27"/>
  <c r="G461" i="27"/>
  <c r="Q460" i="27"/>
  <c r="P460" i="27"/>
  <c r="O460" i="27"/>
  <c r="N460" i="27"/>
  <c r="M460" i="27"/>
  <c r="L460" i="27"/>
  <c r="K460" i="27"/>
  <c r="J460" i="27"/>
  <c r="I460" i="27"/>
  <c r="H460" i="27"/>
  <c r="G460" i="27"/>
  <c r="Q459" i="27"/>
  <c r="P459" i="27"/>
  <c r="O459" i="27"/>
  <c r="N459" i="27"/>
  <c r="M459" i="27"/>
  <c r="L459" i="27"/>
  <c r="K459" i="27"/>
  <c r="J459" i="27"/>
  <c r="I459" i="27"/>
  <c r="H459" i="27"/>
  <c r="G459" i="27"/>
  <c r="Q458" i="27"/>
  <c r="P458" i="27"/>
  <c r="O458" i="27"/>
  <c r="N458" i="27"/>
  <c r="M458" i="27"/>
  <c r="L458" i="27"/>
  <c r="K458" i="27"/>
  <c r="J458" i="27"/>
  <c r="I458" i="27"/>
  <c r="H458" i="27"/>
  <c r="G458" i="27"/>
  <c r="Q457" i="27"/>
  <c r="P457" i="27"/>
  <c r="O457" i="27"/>
  <c r="N457" i="27"/>
  <c r="M457" i="27"/>
  <c r="L457" i="27"/>
  <c r="K457" i="27"/>
  <c r="J457" i="27"/>
  <c r="I457" i="27"/>
  <c r="H457" i="27"/>
  <c r="G457" i="27"/>
  <c r="Q456" i="27"/>
  <c r="P456" i="27"/>
  <c r="O456" i="27"/>
  <c r="N456" i="27"/>
  <c r="M456" i="27"/>
  <c r="L456" i="27"/>
  <c r="K456" i="27"/>
  <c r="J456" i="27"/>
  <c r="I456" i="27"/>
  <c r="H456" i="27"/>
  <c r="G456" i="27"/>
  <c r="Q455" i="27"/>
  <c r="P455" i="27"/>
  <c r="O455" i="27"/>
  <c r="N455" i="27"/>
  <c r="M455" i="27"/>
  <c r="L455" i="27"/>
  <c r="K455" i="27"/>
  <c r="J455" i="27"/>
  <c r="I455" i="27"/>
  <c r="H455" i="27"/>
  <c r="G455" i="27"/>
  <c r="Q454" i="27"/>
  <c r="P454" i="27"/>
  <c r="O454" i="27"/>
  <c r="N454" i="27"/>
  <c r="M454" i="27"/>
  <c r="L454" i="27"/>
  <c r="K454" i="27"/>
  <c r="J454" i="27"/>
  <c r="I454" i="27"/>
  <c r="H454" i="27"/>
  <c r="G454" i="27"/>
  <c r="Q453" i="27"/>
  <c r="P453" i="27"/>
  <c r="O453" i="27"/>
  <c r="N453" i="27"/>
  <c r="M453" i="27"/>
  <c r="L453" i="27"/>
  <c r="K453" i="27"/>
  <c r="J453" i="27"/>
  <c r="I453" i="27"/>
  <c r="H453" i="27"/>
  <c r="G453" i="27"/>
  <c r="Q452" i="27"/>
  <c r="P452" i="27"/>
  <c r="O452" i="27"/>
  <c r="N452" i="27"/>
  <c r="M452" i="27"/>
  <c r="L452" i="27"/>
  <c r="K452" i="27"/>
  <c r="J452" i="27"/>
  <c r="I452" i="27"/>
  <c r="H452" i="27"/>
  <c r="G452" i="27"/>
  <c r="Q451" i="27"/>
  <c r="P451" i="27"/>
  <c r="O451" i="27"/>
  <c r="N451" i="27"/>
  <c r="M451" i="27"/>
  <c r="L451" i="27"/>
  <c r="K451" i="27"/>
  <c r="J451" i="27"/>
  <c r="I451" i="27"/>
  <c r="H451" i="27"/>
  <c r="G451" i="27"/>
  <c r="Q450" i="27"/>
  <c r="P450" i="27"/>
  <c r="O450" i="27"/>
  <c r="N450" i="27"/>
  <c r="M450" i="27"/>
  <c r="L450" i="27"/>
  <c r="K450" i="27"/>
  <c r="J450" i="27"/>
  <c r="I450" i="27"/>
  <c r="H450" i="27"/>
  <c r="G450" i="27"/>
  <c r="Q449" i="27"/>
  <c r="P449" i="27"/>
  <c r="O449" i="27"/>
  <c r="N449" i="27"/>
  <c r="M449" i="27"/>
  <c r="L449" i="27"/>
  <c r="K449" i="27"/>
  <c r="J449" i="27"/>
  <c r="I449" i="27"/>
  <c r="H449" i="27"/>
  <c r="G449" i="27"/>
  <c r="Q448" i="27"/>
  <c r="P448" i="27"/>
  <c r="O448" i="27"/>
  <c r="N448" i="27"/>
  <c r="M448" i="27"/>
  <c r="L448" i="27"/>
  <c r="K448" i="27"/>
  <c r="J448" i="27"/>
  <c r="I448" i="27"/>
  <c r="H448" i="27"/>
  <c r="G448" i="27"/>
  <c r="Q447" i="27"/>
  <c r="P447" i="27"/>
  <c r="O447" i="27"/>
  <c r="N447" i="27"/>
  <c r="M447" i="27"/>
  <c r="L447" i="27"/>
  <c r="K447" i="27"/>
  <c r="J447" i="27"/>
  <c r="I447" i="27"/>
  <c r="H447" i="27"/>
  <c r="G447" i="27"/>
  <c r="Q446" i="27"/>
  <c r="P446" i="27"/>
  <c r="O446" i="27"/>
  <c r="N446" i="27"/>
  <c r="M446" i="27"/>
  <c r="L446" i="27"/>
  <c r="K446" i="27"/>
  <c r="J446" i="27"/>
  <c r="I446" i="27"/>
  <c r="H446" i="27"/>
  <c r="G446" i="27"/>
  <c r="Q445" i="27"/>
  <c r="P445" i="27"/>
  <c r="O445" i="27"/>
  <c r="N445" i="27"/>
  <c r="M445" i="27"/>
  <c r="L445" i="27"/>
  <c r="K445" i="27"/>
  <c r="J445" i="27"/>
  <c r="I445" i="27"/>
  <c r="H445" i="27"/>
  <c r="G445" i="27"/>
  <c r="Q444" i="27"/>
  <c r="P444" i="27"/>
  <c r="O444" i="27"/>
  <c r="N444" i="27"/>
  <c r="M444" i="27"/>
  <c r="L444" i="27"/>
  <c r="K444" i="27"/>
  <c r="J444" i="27"/>
  <c r="I444" i="27"/>
  <c r="H444" i="27"/>
  <c r="G444" i="27"/>
  <c r="Q443" i="27"/>
  <c r="P443" i="27"/>
  <c r="O443" i="27"/>
  <c r="N443" i="27"/>
  <c r="M443" i="27"/>
  <c r="L443" i="27"/>
  <c r="K443" i="27"/>
  <c r="J443" i="27"/>
  <c r="I443" i="27"/>
  <c r="H443" i="27"/>
  <c r="G443" i="27"/>
  <c r="Q442" i="27"/>
  <c r="P442" i="27"/>
  <c r="O442" i="27"/>
  <c r="N442" i="27"/>
  <c r="M442" i="27"/>
  <c r="L442" i="27"/>
  <c r="K442" i="27"/>
  <c r="J442" i="27"/>
  <c r="I442" i="27"/>
  <c r="H442" i="27"/>
  <c r="G442" i="27"/>
  <c r="Q441" i="27"/>
  <c r="P441" i="27"/>
  <c r="O441" i="27"/>
  <c r="N441" i="27"/>
  <c r="M441" i="27"/>
  <c r="L441" i="27"/>
  <c r="K441" i="27"/>
  <c r="J441" i="27"/>
  <c r="I441" i="27"/>
  <c r="H441" i="27"/>
  <c r="G441" i="27"/>
  <c r="Q440" i="27"/>
  <c r="P440" i="27"/>
  <c r="O440" i="27"/>
  <c r="N440" i="27"/>
  <c r="M440" i="27"/>
  <c r="L440" i="27"/>
  <c r="K440" i="27"/>
  <c r="J440" i="27"/>
  <c r="I440" i="27"/>
  <c r="H440" i="27"/>
  <c r="G440" i="27"/>
  <c r="Q439" i="27"/>
  <c r="P439" i="27"/>
  <c r="O439" i="27"/>
  <c r="N439" i="27"/>
  <c r="M439" i="27"/>
  <c r="L439" i="27"/>
  <c r="K439" i="27"/>
  <c r="J439" i="27"/>
  <c r="I439" i="27"/>
  <c r="H439" i="27"/>
  <c r="G439" i="27"/>
  <c r="Q438" i="27"/>
  <c r="P438" i="27"/>
  <c r="O438" i="27"/>
  <c r="N438" i="27"/>
  <c r="M438" i="27"/>
  <c r="L438" i="27"/>
  <c r="K438" i="27"/>
  <c r="J438" i="27"/>
  <c r="I438" i="27"/>
  <c r="H438" i="27"/>
  <c r="G438" i="27"/>
  <c r="Q437" i="27"/>
  <c r="P437" i="27"/>
  <c r="O437" i="27"/>
  <c r="N437" i="27"/>
  <c r="M437" i="27"/>
  <c r="L437" i="27"/>
  <c r="K437" i="27"/>
  <c r="J437" i="27"/>
  <c r="I437" i="27"/>
  <c r="H437" i="27"/>
  <c r="G437" i="27"/>
  <c r="Q436" i="27"/>
  <c r="P436" i="27"/>
  <c r="O436" i="27"/>
  <c r="N436" i="27"/>
  <c r="M436" i="27"/>
  <c r="L436" i="27"/>
  <c r="K436" i="27"/>
  <c r="J436" i="27"/>
  <c r="I436" i="27"/>
  <c r="H436" i="27"/>
  <c r="G436" i="27"/>
  <c r="Q435" i="27"/>
  <c r="P435" i="27"/>
  <c r="O435" i="27"/>
  <c r="N435" i="27"/>
  <c r="M435" i="27"/>
  <c r="L435" i="27"/>
  <c r="K435" i="27"/>
  <c r="J435" i="27"/>
  <c r="I435" i="27"/>
  <c r="H435" i="27"/>
  <c r="G435" i="27"/>
  <c r="Q434" i="27"/>
  <c r="P434" i="27"/>
  <c r="O434" i="27"/>
  <c r="N434" i="27"/>
  <c r="M434" i="27"/>
  <c r="L434" i="27"/>
  <c r="K434" i="27"/>
  <c r="J434" i="27"/>
  <c r="I434" i="27"/>
  <c r="H434" i="27"/>
  <c r="G434" i="27"/>
  <c r="Q433" i="27"/>
  <c r="P433" i="27"/>
  <c r="O433" i="27"/>
  <c r="N433" i="27"/>
  <c r="M433" i="27"/>
  <c r="L433" i="27"/>
  <c r="K433" i="27"/>
  <c r="J433" i="27"/>
  <c r="I433" i="27"/>
  <c r="H433" i="27"/>
  <c r="G433" i="27"/>
  <c r="Q432" i="27"/>
  <c r="P432" i="27"/>
  <c r="O432" i="27"/>
  <c r="N432" i="27"/>
  <c r="M432" i="27"/>
  <c r="L432" i="27"/>
  <c r="K432" i="27"/>
  <c r="J432" i="27"/>
  <c r="I432" i="27"/>
  <c r="H432" i="27"/>
  <c r="G432" i="27"/>
  <c r="Q431" i="27"/>
  <c r="P431" i="27"/>
  <c r="O431" i="27"/>
  <c r="N431" i="27"/>
  <c r="M431" i="27"/>
  <c r="L431" i="27"/>
  <c r="K431" i="27"/>
  <c r="J431" i="27"/>
  <c r="I431" i="27"/>
  <c r="H431" i="27"/>
  <c r="G431" i="27"/>
  <c r="Q430" i="27"/>
  <c r="P430" i="27"/>
  <c r="O430" i="27"/>
  <c r="N430" i="27"/>
  <c r="M430" i="27"/>
  <c r="L430" i="27"/>
  <c r="K430" i="27"/>
  <c r="J430" i="27"/>
  <c r="I430" i="27"/>
  <c r="H430" i="27"/>
  <c r="G430" i="27"/>
  <c r="Q429" i="27"/>
  <c r="P429" i="27"/>
  <c r="O429" i="27"/>
  <c r="N429" i="27"/>
  <c r="M429" i="27"/>
  <c r="L429" i="27"/>
  <c r="K429" i="27"/>
  <c r="J429" i="27"/>
  <c r="I429" i="27"/>
  <c r="H429" i="27"/>
  <c r="G429" i="27"/>
  <c r="Q428" i="27"/>
  <c r="P428" i="27"/>
  <c r="O428" i="27"/>
  <c r="N428" i="27"/>
  <c r="M428" i="27"/>
  <c r="L428" i="27"/>
  <c r="K428" i="27"/>
  <c r="J428" i="27"/>
  <c r="I428" i="27"/>
  <c r="H428" i="27"/>
  <c r="G428" i="27"/>
  <c r="Q427" i="27"/>
  <c r="P427" i="27"/>
  <c r="O427" i="27"/>
  <c r="N427" i="27"/>
  <c r="M427" i="27"/>
  <c r="L427" i="27"/>
  <c r="K427" i="27"/>
  <c r="J427" i="27"/>
  <c r="I427" i="27"/>
  <c r="H427" i="27"/>
  <c r="G427" i="27"/>
  <c r="Q426" i="27"/>
  <c r="P426" i="27"/>
  <c r="O426" i="27"/>
  <c r="N426" i="27"/>
  <c r="M426" i="27"/>
  <c r="L426" i="27"/>
  <c r="K426" i="27"/>
  <c r="J426" i="27"/>
  <c r="I426" i="27"/>
  <c r="H426" i="27"/>
  <c r="G426" i="27"/>
  <c r="Q425" i="27"/>
  <c r="P425" i="27"/>
  <c r="O425" i="27"/>
  <c r="N425" i="27"/>
  <c r="M425" i="27"/>
  <c r="L425" i="27"/>
  <c r="K425" i="27"/>
  <c r="J425" i="27"/>
  <c r="I425" i="27"/>
  <c r="H425" i="27"/>
  <c r="G425" i="27"/>
  <c r="Q424" i="27"/>
  <c r="P424" i="27"/>
  <c r="O424" i="27"/>
  <c r="N424" i="27"/>
  <c r="M424" i="27"/>
  <c r="L424" i="27"/>
  <c r="K424" i="27"/>
  <c r="J424" i="27"/>
  <c r="I424" i="27"/>
  <c r="H424" i="27"/>
  <c r="G424" i="27"/>
  <c r="Q423" i="27"/>
  <c r="P423" i="27"/>
  <c r="O423" i="27"/>
  <c r="N423" i="27"/>
  <c r="M423" i="27"/>
  <c r="L423" i="27"/>
  <c r="K423" i="27"/>
  <c r="J423" i="27"/>
  <c r="I423" i="27"/>
  <c r="H423" i="27"/>
  <c r="G423" i="27"/>
  <c r="Q422" i="27"/>
  <c r="P422" i="27"/>
  <c r="O422" i="27"/>
  <c r="N422" i="27"/>
  <c r="M422" i="27"/>
  <c r="L422" i="27"/>
  <c r="K422" i="27"/>
  <c r="J422" i="27"/>
  <c r="I422" i="27"/>
  <c r="H422" i="27"/>
  <c r="G422" i="27"/>
  <c r="Q421" i="27"/>
  <c r="P421" i="27"/>
  <c r="O421" i="27"/>
  <c r="N421" i="27"/>
  <c r="M421" i="27"/>
  <c r="L421" i="27"/>
  <c r="K421" i="27"/>
  <c r="J421" i="27"/>
  <c r="I421" i="27"/>
  <c r="H421" i="27"/>
  <c r="G421" i="27"/>
  <c r="Q420" i="27"/>
  <c r="P420" i="27"/>
  <c r="O420" i="27"/>
  <c r="N420" i="27"/>
  <c r="M420" i="27"/>
  <c r="L420" i="27"/>
  <c r="K420" i="27"/>
  <c r="J420" i="27"/>
  <c r="I420" i="27"/>
  <c r="H420" i="27"/>
  <c r="G420" i="27"/>
  <c r="Q419" i="27"/>
  <c r="P419" i="27"/>
  <c r="O419" i="27"/>
  <c r="N419" i="27"/>
  <c r="M419" i="27"/>
  <c r="L419" i="27"/>
  <c r="K419" i="27"/>
  <c r="J419" i="27"/>
  <c r="I419" i="27"/>
  <c r="H419" i="27"/>
  <c r="G419" i="27"/>
  <c r="Q418" i="27"/>
  <c r="P418" i="27"/>
  <c r="O418" i="27"/>
  <c r="N418" i="27"/>
  <c r="M418" i="27"/>
  <c r="L418" i="27"/>
  <c r="K418" i="27"/>
  <c r="J418" i="27"/>
  <c r="I418" i="27"/>
  <c r="H418" i="27"/>
  <c r="G418" i="27"/>
  <c r="Q417" i="27"/>
  <c r="P417" i="27"/>
  <c r="O417" i="27"/>
  <c r="N417" i="27"/>
  <c r="M417" i="27"/>
  <c r="L417" i="27"/>
  <c r="K417" i="27"/>
  <c r="J417" i="27"/>
  <c r="I417" i="27"/>
  <c r="H417" i="27"/>
  <c r="G417" i="27"/>
  <c r="Q416" i="27"/>
  <c r="P416" i="27"/>
  <c r="O416" i="27"/>
  <c r="N416" i="27"/>
  <c r="M416" i="27"/>
  <c r="L416" i="27"/>
  <c r="K416" i="27"/>
  <c r="J416" i="27"/>
  <c r="I416" i="27"/>
  <c r="H416" i="27"/>
  <c r="G416" i="27"/>
  <c r="Q415" i="27"/>
  <c r="P415" i="27"/>
  <c r="O415" i="27"/>
  <c r="N415" i="27"/>
  <c r="M415" i="27"/>
  <c r="L415" i="27"/>
  <c r="K415" i="27"/>
  <c r="J415" i="27"/>
  <c r="I415" i="27"/>
  <c r="H415" i="27"/>
  <c r="G415" i="27"/>
  <c r="Q414" i="27"/>
  <c r="P414" i="27"/>
  <c r="O414" i="27"/>
  <c r="N414" i="27"/>
  <c r="M414" i="27"/>
  <c r="L414" i="27"/>
  <c r="K414" i="27"/>
  <c r="J414" i="27"/>
  <c r="I414" i="27"/>
  <c r="H414" i="27"/>
  <c r="G414" i="27"/>
  <c r="Q413" i="27"/>
  <c r="P413" i="27"/>
  <c r="O413" i="27"/>
  <c r="N413" i="27"/>
  <c r="M413" i="27"/>
  <c r="L413" i="27"/>
  <c r="K413" i="27"/>
  <c r="J413" i="27"/>
  <c r="I413" i="27"/>
  <c r="H413" i="27"/>
  <c r="G413" i="27"/>
  <c r="Q412" i="27"/>
  <c r="P412" i="27"/>
  <c r="O412" i="27"/>
  <c r="N412" i="27"/>
  <c r="M412" i="27"/>
  <c r="L412" i="27"/>
  <c r="K412" i="27"/>
  <c r="J412" i="27"/>
  <c r="I412" i="27"/>
  <c r="H412" i="27"/>
  <c r="G412" i="27"/>
  <c r="Q411" i="27"/>
  <c r="P411" i="27"/>
  <c r="O411" i="27"/>
  <c r="N411" i="27"/>
  <c r="M411" i="27"/>
  <c r="L411" i="27"/>
  <c r="K411" i="27"/>
  <c r="J411" i="27"/>
  <c r="I411" i="27"/>
  <c r="H411" i="27"/>
  <c r="G411" i="27"/>
  <c r="Q410" i="27"/>
  <c r="P410" i="27"/>
  <c r="O410" i="27"/>
  <c r="N410" i="27"/>
  <c r="M410" i="27"/>
  <c r="L410" i="27"/>
  <c r="K410" i="27"/>
  <c r="J410" i="27"/>
  <c r="I410" i="27"/>
  <c r="H410" i="27"/>
  <c r="G410" i="27"/>
  <c r="Q409" i="27"/>
  <c r="P409" i="27"/>
  <c r="O409" i="27"/>
  <c r="N409" i="27"/>
  <c r="M409" i="27"/>
  <c r="L409" i="27"/>
  <c r="K409" i="27"/>
  <c r="J409" i="27"/>
  <c r="I409" i="27"/>
  <c r="H409" i="27"/>
  <c r="G409" i="27"/>
  <c r="Q408" i="27"/>
  <c r="P408" i="27"/>
  <c r="O408" i="27"/>
  <c r="N408" i="27"/>
  <c r="M408" i="27"/>
  <c r="L408" i="27"/>
  <c r="K408" i="27"/>
  <c r="J408" i="27"/>
  <c r="I408" i="27"/>
  <c r="H408" i="27"/>
  <c r="G408" i="27"/>
  <c r="Q407" i="27"/>
  <c r="P407" i="27"/>
  <c r="O407" i="27"/>
  <c r="N407" i="27"/>
  <c r="M407" i="27"/>
  <c r="L407" i="27"/>
  <c r="K407" i="27"/>
  <c r="J407" i="27"/>
  <c r="I407" i="27"/>
  <c r="H407" i="27"/>
  <c r="G407" i="27"/>
  <c r="Q406" i="27"/>
  <c r="P406" i="27"/>
  <c r="O406" i="27"/>
  <c r="N406" i="27"/>
  <c r="M406" i="27"/>
  <c r="L406" i="27"/>
  <c r="K406" i="27"/>
  <c r="J406" i="27"/>
  <c r="I406" i="27"/>
  <c r="H406" i="27"/>
  <c r="G406" i="27"/>
  <c r="Q405" i="27"/>
  <c r="P405" i="27"/>
  <c r="O405" i="27"/>
  <c r="N405" i="27"/>
  <c r="M405" i="27"/>
  <c r="L405" i="27"/>
  <c r="K405" i="27"/>
  <c r="J405" i="27"/>
  <c r="I405" i="27"/>
  <c r="H405" i="27"/>
  <c r="G405" i="27"/>
  <c r="Q404" i="27"/>
  <c r="P404" i="27"/>
  <c r="O404" i="27"/>
  <c r="N404" i="27"/>
  <c r="M404" i="27"/>
  <c r="L404" i="27"/>
  <c r="K404" i="27"/>
  <c r="J404" i="27"/>
  <c r="I404" i="27"/>
  <c r="H404" i="27"/>
  <c r="G404" i="27"/>
  <c r="Q403" i="27"/>
  <c r="P403" i="27"/>
  <c r="O403" i="27"/>
  <c r="N403" i="27"/>
  <c r="M403" i="27"/>
  <c r="L403" i="27"/>
  <c r="K403" i="27"/>
  <c r="J403" i="27"/>
  <c r="I403" i="27"/>
  <c r="H403" i="27"/>
  <c r="G403" i="27"/>
  <c r="Q402" i="27"/>
  <c r="P402" i="27"/>
  <c r="O402" i="27"/>
  <c r="N402" i="27"/>
  <c r="M402" i="27"/>
  <c r="L402" i="27"/>
  <c r="K402" i="27"/>
  <c r="J402" i="27"/>
  <c r="I402" i="27"/>
  <c r="H402" i="27"/>
  <c r="G402" i="27"/>
  <c r="Q401" i="27"/>
  <c r="P401" i="27"/>
  <c r="O401" i="27"/>
  <c r="N401" i="27"/>
  <c r="M401" i="27"/>
  <c r="L401" i="27"/>
  <c r="K401" i="27"/>
  <c r="J401" i="27"/>
  <c r="I401" i="27"/>
  <c r="H401" i="27"/>
  <c r="G401" i="27"/>
  <c r="Q400" i="27"/>
  <c r="P400" i="27"/>
  <c r="O400" i="27"/>
  <c r="N400" i="27"/>
  <c r="M400" i="27"/>
  <c r="L400" i="27"/>
  <c r="K400" i="27"/>
  <c r="J400" i="27"/>
  <c r="I400" i="27"/>
  <c r="H400" i="27"/>
  <c r="G400" i="27"/>
  <c r="Q399" i="27"/>
  <c r="P399" i="27"/>
  <c r="O399" i="27"/>
  <c r="N399" i="27"/>
  <c r="M399" i="27"/>
  <c r="L399" i="27"/>
  <c r="K399" i="27"/>
  <c r="J399" i="27"/>
  <c r="I399" i="27"/>
  <c r="H399" i="27"/>
  <c r="G399" i="27"/>
  <c r="Q398" i="27"/>
  <c r="P398" i="27"/>
  <c r="O398" i="27"/>
  <c r="N398" i="27"/>
  <c r="M398" i="27"/>
  <c r="L398" i="27"/>
  <c r="K398" i="27"/>
  <c r="J398" i="27"/>
  <c r="I398" i="27"/>
  <c r="H398" i="27"/>
  <c r="G398" i="27"/>
  <c r="Q397" i="27"/>
  <c r="P397" i="27"/>
  <c r="O397" i="27"/>
  <c r="N397" i="27"/>
  <c r="M397" i="27"/>
  <c r="L397" i="27"/>
  <c r="K397" i="27"/>
  <c r="J397" i="27"/>
  <c r="I397" i="27"/>
  <c r="H397" i="27"/>
  <c r="G397" i="27"/>
  <c r="Q396" i="27"/>
  <c r="P396" i="27"/>
  <c r="O396" i="27"/>
  <c r="N396" i="27"/>
  <c r="M396" i="27"/>
  <c r="L396" i="27"/>
  <c r="K396" i="27"/>
  <c r="J396" i="27"/>
  <c r="I396" i="27"/>
  <c r="H396" i="27"/>
  <c r="G396" i="27"/>
  <c r="Q395" i="27"/>
  <c r="P395" i="27"/>
  <c r="O395" i="27"/>
  <c r="N395" i="27"/>
  <c r="M395" i="27"/>
  <c r="L395" i="27"/>
  <c r="K395" i="27"/>
  <c r="J395" i="27"/>
  <c r="I395" i="27"/>
  <c r="H395" i="27"/>
  <c r="G395" i="27"/>
  <c r="Q394" i="27"/>
  <c r="P394" i="27"/>
  <c r="O394" i="27"/>
  <c r="N394" i="27"/>
  <c r="M394" i="27"/>
  <c r="L394" i="27"/>
  <c r="K394" i="27"/>
  <c r="J394" i="27"/>
  <c r="I394" i="27"/>
  <c r="H394" i="27"/>
  <c r="G394" i="27"/>
  <c r="Q393" i="27"/>
  <c r="P393" i="27"/>
  <c r="O393" i="27"/>
  <c r="N393" i="27"/>
  <c r="M393" i="27"/>
  <c r="L393" i="27"/>
  <c r="K393" i="27"/>
  <c r="J393" i="27"/>
  <c r="I393" i="27"/>
  <c r="H393" i="27"/>
  <c r="G393" i="27"/>
  <c r="Q392" i="27"/>
  <c r="P392" i="27"/>
  <c r="O392" i="27"/>
  <c r="N392" i="27"/>
  <c r="M392" i="27"/>
  <c r="L392" i="27"/>
  <c r="K392" i="27"/>
  <c r="J392" i="27"/>
  <c r="I392" i="27"/>
  <c r="H392" i="27"/>
  <c r="G392" i="27"/>
  <c r="Q391" i="27"/>
  <c r="P391" i="27"/>
  <c r="O391" i="27"/>
  <c r="N391" i="27"/>
  <c r="M391" i="27"/>
  <c r="L391" i="27"/>
  <c r="K391" i="27"/>
  <c r="J391" i="27"/>
  <c r="I391" i="27"/>
  <c r="H391" i="27"/>
  <c r="G391" i="27"/>
  <c r="Q390" i="27"/>
  <c r="P390" i="27"/>
  <c r="O390" i="27"/>
  <c r="N390" i="27"/>
  <c r="M390" i="27"/>
  <c r="L390" i="27"/>
  <c r="K390" i="27"/>
  <c r="J390" i="27"/>
  <c r="I390" i="27"/>
  <c r="H390" i="27"/>
  <c r="G390" i="27"/>
  <c r="Q389" i="27"/>
  <c r="P389" i="27"/>
  <c r="O389" i="27"/>
  <c r="N389" i="27"/>
  <c r="M389" i="27"/>
  <c r="L389" i="27"/>
  <c r="K389" i="27"/>
  <c r="J389" i="27"/>
  <c r="I389" i="27"/>
  <c r="H389" i="27"/>
  <c r="G389" i="27"/>
  <c r="Q388" i="27"/>
  <c r="P388" i="27"/>
  <c r="O388" i="27"/>
  <c r="N388" i="27"/>
  <c r="M388" i="27"/>
  <c r="L388" i="27"/>
  <c r="K388" i="27"/>
  <c r="J388" i="27"/>
  <c r="I388" i="27"/>
  <c r="H388" i="27"/>
  <c r="G388" i="27"/>
  <c r="Q387" i="27"/>
  <c r="P387" i="27"/>
  <c r="O387" i="27"/>
  <c r="N387" i="27"/>
  <c r="M387" i="27"/>
  <c r="L387" i="27"/>
  <c r="K387" i="27"/>
  <c r="J387" i="27"/>
  <c r="I387" i="27"/>
  <c r="H387" i="27"/>
  <c r="G387" i="27"/>
  <c r="Q386" i="27"/>
  <c r="P386" i="27"/>
  <c r="O386" i="27"/>
  <c r="N386" i="27"/>
  <c r="M386" i="27"/>
  <c r="L386" i="27"/>
  <c r="K386" i="27"/>
  <c r="J386" i="27"/>
  <c r="I386" i="27"/>
  <c r="H386" i="27"/>
  <c r="G386" i="27"/>
  <c r="Q385" i="27"/>
  <c r="P385" i="27"/>
  <c r="O385" i="27"/>
  <c r="N385" i="27"/>
  <c r="M385" i="27"/>
  <c r="L385" i="27"/>
  <c r="K385" i="27"/>
  <c r="J385" i="27"/>
  <c r="I385" i="27"/>
  <c r="H385" i="27"/>
  <c r="G385" i="27"/>
  <c r="Q384" i="27"/>
  <c r="P384" i="27"/>
  <c r="O384" i="27"/>
  <c r="N384" i="27"/>
  <c r="M384" i="27"/>
  <c r="L384" i="27"/>
  <c r="K384" i="27"/>
  <c r="J384" i="27"/>
  <c r="I384" i="27"/>
  <c r="H384" i="27"/>
  <c r="G384" i="27"/>
  <c r="Q383" i="27"/>
  <c r="P383" i="27"/>
  <c r="O383" i="27"/>
  <c r="N383" i="27"/>
  <c r="M383" i="27"/>
  <c r="L383" i="27"/>
  <c r="K383" i="27"/>
  <c r="J383" i="27"/>
  <c r="I383" i="27"/>
  <c r="H383" i="27"/>
  <c r="G383" i="27"/>
  <c r="Q382" i="27"/>
  <c r="P382" i="27"/>
  <c r="O382" i="27"/>
  <c r="N382" i="27"/>
  <c r="M382" i="27"/>
  <c r="L382" i="27"/>
  <c r="K382" i="27"/>
  <c r="J382" i="27"/>
  <c r="I382" i="27"/>
  <c r="H382" i="27"/>
  <c r="G382" i="27"/>
  <c r="Q381" i="27"/>
  <c r="P381" i="27"/>
  <c r="O381" i="27"/>
  <c r="N381" i="27"/>
  <c r="M381" i="27"/>
  <c r="L381" i="27"/>
  <c r="K381" i="27"/>
  <c r="J381" i="27"/>
  <c r="I381" i="27"/>
  <c r="H381" i="27"/>
  <c r="G381" i="27"/>
  <c r="Q380" i="27"/>
  <c r="P380" i="27"/>
  <c r="O380" i="27"/>
  <c r="N380" i="27"/>
  <c r="M380" i="27"/>
  <c r="L380" i="27"/>
  <c r="K380" i="27"/>
  <c r="J380" i="27"/>
  <c r="I380" i="27"/>
  <c r="H380" i="27"/>
  <c r="G380" i="27"/>
  <c r="Q379" i="27"/>
  <c r="P379" i="27"/>
  <c r="O379" i="27"/>
  <c r="N379" i="27"/>
  <c r="M379" i="27"/>
  <c r="L379" i="27"/>
  <c r="K379" i="27"/>
  <c r="J379" i="27"/>
  <c r="I379" i="27"/>
  <c r="H379" i="27"/>
  <c r="G379" i="27"/>
  <c r="Q378" i="27"/>
  <c r="P378" i="27"/>
  <c r="O378" i="27"/>
  <c r="N378" i="27"/>
  <c r="M378" i="27"/>
  <c r="L378" i="27"/>
  <c r="K378" i="27"/>
  <c r="J378" i="27"/>
  <c r="I378" i="27"/>
  <c r="H378" i="27"/>
  <c r="G378" i="27"/>
  <c r="Q377" i="27"/>
  <c r="P377" i="27"/>
  <c r="O377" i="27"/>
  <c r="N377" i="27"/>
  <c r="M377" i="27"/>
  <c r="L377" i="27"/>
  <c r="K377" i="27"/>
  <c r="J377" i="27"/>
  <c r="I377" i="27"/>
  <c r="H377" i="27"/>
  <c r="G377" i="27"/>
  <c r="Q376" i="27"/>
  <c r="P376" i="27"/>
  <c r="O376" i="27"/>
  <c r="N376" i="27"/>
  <c r="M376" i="27"/>
  <c r="L376" i="27"/>
  <c r="K376" i="27"/>
  <c r="J376" i="27"/>
  <c r="I376" i="27"/>
  <c r="H376" i="27"/>
  <c r="G376" i="27"/>
  <c r="Q375" i="27"/>
  <c r="P375" i="27"/>
  <c r="O375" i="27"/>
  <c r="N375" i="27"/>
  <c r="M375" i="27"/>
  <c r="L375" i="27"/>
  <c r="K375" i="27"/>
  <c r="J375" i="27"/>
  <c r="I375" i="27"/>
  <c r="H375" i="27"/>
  <c r="G375" i="27"/>
  <c r="Q374" i="27"/>
  <c r="P374" i="27"/>
  <c r="O374" i="27"/>
  <c r="N374" i="27"/>
  <c r="M374" i="27"/>
  <c r="L374" i="27"/>
  <c r="K374" i="27"/>
  <c r="J374" i="27"/>
  <c r="I374" i="27"/>
  <c r="H374" i="27"/>
  <c r="G374" i="27"/>
  <c r="Q373" i="27"/>
  <c r="P373" i="27"/>
  <c r="O373" i="27"/>
  <c r="N373" i="27"/>
  <c r="M373" i="27"/>
  <c r="L373" i="27"/>
  <c r="K373" i="27"/>
  <c r="J373" i="27"/>
  <c r="I373" i="27"/>
  <c r="H373" i="27"/>
  <c r="G373" i="27"/>
  <c r="Q372" i="27"/>
  <c r="P372" i="27"/>
  <c r="O372" i="27"/>
  <c r="N372" i="27"/>
  <c r="M372" i="27"/>
  <c r="L372" i="27"/>
  <c r="K372" i="27"/>
  <c r="J372" i="27"/>
  <c r="I372" i="27"/>
  <c r="H372" i="27"/>
  <c r="G372" i="27"/>
  <c r="Q371" i="27"/>
  <c r="P371" i="27"/>
  <c r="O371" i="27"/>
  <c r="N371" i="27"/>
  <c r="M371" i="27"/>
  <c r="L371" i="27"/>
  <c r="K371" i="27"/>
  <c r="J371" i="27"/>
  <c r="I371" i="27"/>
  <c r="H371" i="27"/>
  <c r="G371" i="27"/>
  <c r="Q370" i="27"/>
  <c r="P370" i="27"/>
  <c r="O370" i="27"/>
  <c r="N370" i="27"/>
  <c r="M370" i="27"/>
  <c r="L370" i="27"/>
  <c r="K370" i="27"/>
  <c r="J370" i="27"/>
  <c r="I370" i="27"/>
  <c r="H370" i="27"/>
  <c r="G370" i="27"/>
  <c r="Q369" i="27"/>
  <c r="P369" i="27"/>
  <c r="O369" i="27"/>
  <c r="N369" i="27"/>
  <c r="M369" i="27"/>
  <c r="L369" i="27"/>
  <c r="K369" i="27"/>
  <c r="J369" i="27"/>
  <c r="I369" i="27"/>
  <c r="H369" i="27"/>
  <c r="G369" i="27"/>
  <c r="Q368" i="27"/>
  <c r="P368" i="27"/>
  <c r="O368" i="27"/>
  <c r="N368" i="27"/>
  <c r="M368" i="27"/>
  <c r="L368" i="27"/>
  <c r="K368" i="27"/>
  <c r="J368" i="27"/>
  <c r="I368" i="27"/>
  <c r="H368" i="27"/>
  <c r="G368" i="27"/>
  <c r="Q367" i="27"/>
  <c r="P367" i="27"/>
  <c r="O367" i="27"/>
  <c r="N367" i="27"/>
  <c r="M367" i="27"/>
  <c r="L367" i="27"/>
  <c r="K367" i="27"/>
  <c r="J367" i="27"/>
  <c r="I367" i="27"/>
  <c r="H367" i="27"/>
  <c r="G367" i="27"/>
  <c r="Q366" i="27"/>
  <c r="P366" i="27"/>
  <c r="O366" i="27"/>
  <c r="N366" i="27"/>
  <c r="M366" i="27"/>
  <c r="L366" i="27"/>
  <c r="K366" i="27"/>
  <c r="J366" i="27"/>
  <c r="I366" i="27"/>
  <c r="H366" i="27"/>
  <c r="G366" i="27"/>
  <c r="Q365" i="27"/>
  <c r="P365" i="27"/>
  <c r="O365" i="27"/>
  <c r="N365" i="27"/>
  <c r="M365" i="27"/>
  <c r="L365" i="27"/>
  <c r="K365" i="27"/>
  <c r="J365" i="27"/>
  <c r="I365" i="27"/>
  <c r="H365" i="27"/>
  <c r="G365" i="27"/>
  <c r="Q364" i="27"/>
  <c r="P364" i="27"/>
  <c r="O364" i="27"/>
  <c r="N364" i="27"/>
  <c r="M364" i="27"/>
  <c r="L364" i="27"/>
  <c r="K364" i="27"/>
  <c r="J364" i="27"/>
  <c r="I364" i="27"/>
  <c r="H364" i="27"/>
  <c r="G364" i="27"/>
  <c r="Q363" i="27"/>
  <c r="P363" i="27"/>
  <c r="O363" i="27"/>
  <c r="N363" i="27"/>
  <c r="M363" i="27"/>
  <c r="L363" i="27"/>
  <c r="K363" i="27"/>
  <c r="J363" i="27"/>
  <c r="I363" i="27"/>
  <c r="H363" i="27"/>
  <c r="G363" i="27"/>
  <c r="Q362" i="27"/>
  <c r="P362" i="27"/>
  <c r="O362" i="27"/>
  <c r="N362" i="27"/>
  <c r="M362" i="27"/>
  <c r="L362" i="27"/>
  <c r="K362" i="27"/>
  <c r="J362" i="27"/>
  <c r="I362" i="27"/>
  <c r="H362" i="27"/>
  <c r="G362" i="27"/>
  <c r="Q361" i="27"/>
  <c r="P361" i="27"/>
  <c r="O361" i="27"/>
  <c r="N361" i="27"/>
  <c r="M361" i="27"/>
  <c r="L361" i="27"/>
  <c r="K361" i="27"/>
  <c r="J361" i="27"/>
  <c r="I361" i="27"/>
  <c r="H361" i="27"/>
  <c r="G361" i="27"/>
  <c r="Q360" i="27"/>
  <c r="P360" i="27"/>
  <c r="O360" i="27"/>
  <c r="N360" i="27"/>
  <c r="M360" i="27"/>
  <c r="L360" i="27"/>
  <c r="K360" i="27"/>
  <c r="J360" i="27"/>
  <c r="I360" i="27"/>
  <c r="H360" i="27"/>
  <c r="G360" i="27"/>
  <c r="Q359" i="27"/>
  <c r="P359" i="27"/>
  <c r="O359" i="27"/>
  <c r="N359" i="27"/>
  <c r="M359" i="27"/>
  <c r="L359" i="27"/>
  <c r="K359" i="27"/>
  <c r="J359" i="27"/>
  <c r="I359" i="27"/>
  <c r="H359" i="27"/>
  <c r="G359" i="27"/>
  <c r="Q358" i="27"/>
  <c r="P358" i="27"/>
  <c r="O358" i="27"/>
  <c r="N358" i="27"/>
  <c r="M358" i="27"/>
  <c r="L358" i="27"/>
  <c r="K358" i="27"/>
  <c r="J358" i="27"/>
  <c r="I358" i="27"/>
  <c r="H358" i="27"/>
  <c r="G358" i="27"/>
  <c r="Q357" i="27"/>
  <c r="P357" i="27"/>
  <c r="O357" i="27"/>
  <c r="N357" i="27"/>
  <c r="M357" i="27"/>
  <c r="L357" i="27"/>
  <c r="K357" i="27"/>
  <c r="J357" i="27"/>
  <c r="I357" i="27"/>
  <c r="H357" i="27"/>
  <c r="G357" i="27"/>
  <c r="Q356" i="27"/>
  <c r="P356" i="27"/>
  <c r="O356" i="27"/>
  <c r="N356" i="27"/>
  <c r="M356" i="27"/>
  <c r="L356" i="27"/>
  <c r="K356" i="27"/>
  <c r="J356" i="27"/>
  <c r="I356" i="27"/>
  <c r="H356" i="27"/>
  <c r="G356" i="27"/>
  <c r="Q355" i="27"/>
  <c r="P355" i="27"/>
  <c r="O355" i="27"/>
  <c r="N355" i="27"/>
  <c r="M355" i="27"/>
  <c r="L355" i="27"/>
  <c r="K355" i="27"/>
  <c r="J355" i="27"/>
  <c r="I355" i="27"/>
  <c r="H355" i="27"/>
  <c r="G355" i="27"/>
  <c r="Q354" i="27"/>
  <c r="P354" i="27"/>
  <c r="O354" i="27"/>
  <c r="N354" i="27"/>
  <c r="M354" i="27"/>
  <c r="L354" i="27"/>
  <c r="K354" i="27"/>
  <c r="J354" i="27"/>
  <c r="I354" i="27"/>
  <c r="H354" i="27"/>
  <c r="G354" i="27"/>
  <c r="Q353" i="27"/>
  <c r="P353" i="27"/>
  <c r="O353" i="27"/>
  <c r="N353" i="27"/>
  <c r="M353" i="27"/>
  <c r="L353" i="27"/>
  <c r="K353" i="27"/>
  <c r="J353" i="27"/>
  <c r="I353" i="27"/>
  <c r="H353" i="27"/>
  <c r="G353" i="27"/>
  <c r="Q352" i="27"/>
  <c r="P352" i="27"/>
  <c r="O352" i="27"/>
  <c r="N352" i="27"/>
  <c r="M352" i="27"/>
  <c r="L352" i="27"/>
  <c r="K352" i="27"/>
  <c r="J352" i="27"/>
  <c r="I352" i="27"/>
  <c r="H352" i="27"/>
  <c r="G352" i="27"/>
  <c r="Q351" i="27"/>
  <c r="P351" i="27"/>
  <c r="O351" i="27"/>
  <c r="N351" i="27"/>
  <c r="M351" i="27"/>
  <c r="L351" i="27"/>
  <c r="K351" i="27"/>
  <c r="J351" i="27"/>
  <c r="I351" i="27"/>
  <c r="H351" i="27"/>
  <c r="G351" i="27"/>
  <c r="Q350" i="27"/>
  <c r="P350" i="27"/>
  <c r="O350" i="27"/>
  <c r="N350" i="27"/>
  <c r="M350" i="27"/>
  <c r="L350" i="27"/>
  <c r="K350" i="27"/>
  <c r="J350" i="27"/>
  <c r="I350" i="27"/>
  <c r="H350" i="27"/>
  <c r="G350" i="27"/>
  <c r="Q349" i="27"/>
  <c r="P349" i="27"/>
  <c r="O349" i="27"/>
  <c r="N349" i="27"/>
  <c r="M349" i="27"/>
  <c r="L349" i="27"/>
  <c r="K349" i="27"/>
  <c r="J349" i="27"/>
  <c r="I349" i="27"/>
  <c r="H349" i="27"/>
  <c r="G349" i="27"/>
  <c r="Q348" i="27"/>
  <c r="P348" i="27"/>
  <c r="O348" i="27"/>
  <c r="N348" i="27"/>
  <c r="M348" i="27"/>
  <c r="L348" i="27"/>
  <c r="K348" i="27"/>
  <c r="J348" i="27"/>
  <c r="I348" i="27"/>
  <c r="H348" i="27"/>
  <c r="G348" i="27"/>
  <c r="Q347" i="27"/>
  <c r="P347" i="27"/>
  <c r="O347" i="27"/>
  <c r="N347" i="27"/>
  <c r="M347" i="27"/>
  <c r="L347" i="27"/>
  <c r="K347" i="27"/>
  <c r="J347" i="27"/>
  <c r="I347" i="27"/>
  <c r="H347" i="27"/>
  <c r="G347" i="27"/>
  <c r="Q346" i="27"/>
  <c r="P346" i="27"/>
  <c r="O346" i="27"/>
  <c r="N346" i="27"/>
  <c r="M346" i="27"/>
  <c r="L346" i="27"/>
  <c r="K346" i="27"/>
  <c r="J346" i="27"/>
  <c r="I346" i="27"/>
  <c r="H346" i="27"/>
  <c r="G346" i="27"/>
  <c r="Q345" i="27"/>
  <c r="P345" i="27"/>
  <c r="O345" i="27"/>
  <c r="N345" i="27"/>
  <c r="M345" i="27"/>
  <c r="L345" i="27"/>
  <c r="K345" i="27"/>
  <c r="J345" i="27"/>
  <c r="I345" i="27"/>
  <c r="H345" i="27"/>
  <c r="G345" i="27"/>
  <c r="Q344" i="27"/>
  <c r="P344" i="27"/>
  <c r="O344" i="27"/>
  <c r="N344" i="27"/>
  <c r="M344" i="27"/>
  <c r="L344" i="27"/>
  <c r="K344" i="27"/>
  <c r="J344" i="27"/>
  <c r="I344" i="27"/>
  <c r="H344" i="27"/>
  <c r="G344" i="27"/>
  <c r="Q343" i="27"/>
  <c r="P343" i="27"/>
  <c r="O343" i="27"/>
  <c r="N343" i="27"/>
  <c r="M343" i="27"/>
  <c r="L343" i="27"/>
  <c r="K343" i="27"/>
  <c r="J343" i="27"/>
  <c r="I343" i="27"/>
  <c r="H343" i="27"/>
  <c r="G343" i="27"/>
  <c r="Q342" i="27"/>
  <c r="P342" i="27"/>
  <c r="O342" i="27"/>
  <c r="N342" i="27"/>
  <c r="M342" i="27"/>
  <c r="L342" i="27"/>
  <c r="K342" i="27"/>
  <c r="J342" i="27"/>
  <c r="I342" i="27"/>
  <c r="H342" i="27"/>
  <c r="G342" i="27"/>
  <c r="Q341" i="27"/>
  <c r="P341" i="27"/>
  <c r="O341" i="27"/>
  <c r="N341" i="27"/>
  <c r="M341" i="27"/>
  <c r="L341" i="27"/>
  <c r="K341" i="27"/>
  <c r="J341" i="27"/>
  <c r="I341" i="27"/>
  <c r="H341" i="27"/>
  <c r="G341" i="27"/>
  <c r="Q340" i="27"/>
  <c r="P340" i="27"/>
  <c r="O340" i="27"/>
  <c r="N340" i="27"/>
  <c r="M340" i="27"/>
  <c r="L340" i="27"/>
  <c r="K340" i="27"/>
  <c r="J340" i="27"/>
  <c r="I340" i="27"/>
  <c r="H340" i="27"/>
  <c r="G340" i="27"/>
  <c r="Q339" i="27"/>
  <c r="P339" i="27"/>
  <c r="O339" i="27"/>
  <c r="N339" i="27"/>
  <c r="M339" i="27"/>
  <c r="L339" i="27"/>
  <c r="K339" i="27"/>
  <c r="J339" i="27"/>
  <c r="I339" i="27"/>
  <c r="H339" i="27"/>
  <c r="G339" i="27"/>
  <c r="Q338" i="27"/>
  <c r="P338" i="27"/>
  <c r="O338" i="27"/>
  <c r="N338" i="27"/>
  <c r="M338" i="27"/>
  <c r="L338" i="27"/>
  <c r="K338" i="27"/>
  <c r="J338" i="27"/>
  <c r="I338" i="27"/>
  <c r="H338" i="27"/>
  <c r="G338" i="27"/>
  <c r="Q337" i="27"/>
  <c r="P337" i="27"/>
  <c r="O337" i="27"/>
  <c r="N337" i="27"/>
  <c r="M337" i="27"/>
  <c r="L337" i="27"/>
  <c r="K337" i="27"/>
  <c r="J337" i="27"/>
  <c r="I337" i="27"/>
  <c r="H337" i="27"/>
  <c r="G337" i="27"/>
  <c r="Q336" i="27"/>
  <c r="P336" i="27"/>
  <c r="O336" i="27"/>
  <c r="N336" i="27"/>
  <c r="M336" i="27"/>
  <c r="L336" i="27"/>
  <c r="K336" i="27"/>
  <c r="J336" i="27"/>
  <c r="I336" i="27"/>
  <c r="H336" i="27"/>
  <c r="G336" i="27"/>
  <c r="Q335" i="27"/>
  <c r="P335" i="27"/>
  <c r="O335" i="27"/>
  <c r="N335" i="27"/>
  <c r="M335" i="27"/>
  <c r="L335" i="27"/>
  <c r="K335" i="27"/>
  <c r="J335" i="27"/>
  <c r="I335" i="27"/>
  <c r="H335" i="27"/>
  <c r="G335" i="27"/>
  <c r="Q334" i="27"/>
  <c r="P334" i="27"/>
  <c r="O334" i="27"/>
  <c r="N334" i="27"/>
  <c r="M334" i="27"/>
  <c r="L334" i="27"/>
  <c r="K334" i="27"/>
  <c r="J334" i="27"/>
  <c r="I334" i="27"/>
  <c r="H334" i="27"/>
  <c r="G334" i="27"/>
  <c r="Q333" i="27"/>
  <c r="P333" i="27"/>
  <c r="O333" i="27"/>
  <c r="N333" i="27"/>
  <c r="M333" i="27"/>
  <c r="L333" i="27"/>
  <c r="K333" i="27"/>
  <c r="J333" i="27"/>
  <c r="I333" i="27"/>
  <c r="H333" i="27"/>
  <c r="G333" i="27"/>
  <c r="Q332" i="27"/>
  <c r="P332" i="27"/>
  <c r="O332" i="27"/>
  <c r="N332" i="27"/>
  <c r="M332" i="27"/>
  <c r="L332" i="27"/>
  <c r="K332" i="27"/>
  <c r="J332" i="27"/>
  <c r="I332" i="27"/>
  <c r="H332" i="27"/>
  <c r="G332" i="27"/>
  <c r="Q331" i="27"/>
  <c r="P331" i="27"/>
  <c r="O331" i="27"/>
  <c r="N331" i="27"/>
  <c r="M331" i="27"/>
  <c r="L331" i="27"/>
  <c r="K331" i="27"/>
  <c r="J331" i="27"/>
  <c r="I331" i="27"/>
  <c r="H331" i="27"/>
  <c r="G331" i="27"/>
  <c r="Q330" i="27"/>
  <c r="P330" i="27"/>
  <c r="O330" i="27"/>
  <c r="N330" i="27"/>
  <c r="M330" i="27"/>
  <c r="L330" i="27"/>
  <c r="K330" i="27"/>
  <c r="J330" i="27"/>
  <c r="I330" i="27"/>
  <c r="H330" i="27"/>
  <c r="G330" i="27"/>
  <c r="Q329" i="27"/>
  <c r="P329" i="27"/>
  <c r="O329" i="27"/>
  <c r="N329" i="27"/>
  <c r="M329" i="27"/>
  <c r="L329" i="27"/>
  <c r="K329" i="27"/>
  <c r="J329" i="27"/>
  <c r="I329" i="27"/>
  <c r="H329" i="27"/>
  <c r="G329" i="27"/>
  <c r="Q328" i="27"/>
  <c r="P328" i="27"/>
  <c r="O328" i="27"/>
  <c r="N328" i="27"/>
  <c r="M328" i="27"/>
  <c r="L328" i="27"/>
  <c r="K328" i="27"/>
  <c r="J328" i="27"/>
  <c r="I328" i="27"/>
  <c r="H328" i="27"/>
  <c r="G328" i="27"/>
  <c r="Q327" i="27"/>
  <c r="P327" i="27"/>
  <c r="O327" i="27"/>
  <c r="N327" i="27"/>
  <c r="M327" i="27"/>
  <c r="L327" i="27"/>
  <c r="K327" i="27"/>
  <c r="J327" i="27"/>
  <c r="I327" i="27"/>
  <c r="H327" i="27"/>
  <c r="G327" i="27"/>
  <c r="Q326" i="27"/>
  <c r="P326" i="27"/>
  <c r="O326" i="27"/>
  <c r="N326" i="27"/>
  <c r="M326" i="27"/>
  <c r="L326" i="27"/>
  <c r="K326" i="27"/>
  <c r="J326" i="27"/>
  <c r="I326" i="27"/>
  <c r="H326" i="27"/>
  <c r="G326" i="27"/>
  <c r="Q325" i="27"/>
  <c r="P325" i="27"/>
  <c r="O325" i="27"/>
  <c r="N325" i="27"/>
  <c r="M325" i="27"/>
  <c r="L325" i="27"/>
  <c r="K325" i="27"/>
  <c r="J325" i="27"/>
  <c r="I325" i="27"/>
  <c r="H325" i="27"/>
  <c r="G325" i="27"/>
  <c r="Q324" i="27"/>
  <c r="P324" i="27"/>
  <c r="O324" i="27"/>
  <c r="N324" i="27"/>
  <c r="M324" i="27"/>
  <c r="L324" i="27"/>
  <c r="K324" i="27"/>
  <c r="J324" i="27"/>
  <c r="I324" i="27"/>
  <c r="H324" i="27"/>
  <c r="G324" i="27"/>
  <c r="Q323" i="27"/>
  <c r="P323" i="27"/>
  <c r="O323" i="27"/>
  <c r="N323" i="27"/>
  <c r="M323" i="27"/>
  <c r="L323" i="27"/>
  <c r="K323" i="27"/>
  <c r="J323" i="27"/>
  <c r="I323" i="27"/>
  <c r="H323" i="27"/>
  <c r="G323" i="27"/>
  <c r="Q322" i="27"/>
  <c r="P322" i="27"/>
  <c r="O322" i="27"/>
  <c r="N322" i="27"/>
  <c r="M322" i="27"/>
  <c r="L322" i="27"/>
  <c r="K322" i="27"/>
  <c r="J322" i="27"/>
  <c r="I322" i="27"/>
  <c r="H322" i="27"/>
  <c r="G322" i="27"/>
  <c r="Q321" i="27"/>
  <c r="P321" i="27"/>
  <c r="O321" i="27"/>
  <c r="N321" i="27"/>
  <c r="M321" i="27"/>
  <c r="L321" i="27"/>
  <c r="K321" i="27"/>
  <c r="J321" i="27"/>
  <c r="I321" i="27"/>
  <c r="H321" i="27"/>
  <c r="G321" i="27"/>
  <c r="Q320" i="27"/>
  <c r="P320" i="27"/>
  <c r="O320" i="27"/>
  <c r="N320" i="27"/>
  <c r="M320" i="27"/>
  <c r="L320" i="27"/>
  <c r="K320" i="27"/>
  <c r="J320" i="27"/>
  <c r="I320" i="27"/>
  <c r="H320" i="27"/>
  <c r="G320" i="27"/>
  <c r="Q319" i="27"/>
  <c r="P319" i="27"/>
  <c r="O319" i="27"/>
  <c r="N319" i="27"/>
  <c r="M319" i="27"/>
  <c r="L319" i="27"/>
  <c r="K319" i="27"/>
  <c r="J319" i="27"/>
  <c r="I319" i="27"/>
  <c r="H319" i="27"/>
  <c r="G319" i="27"/>
  <c r="Q318" i="27"/>
  <c r="P318" i="27"/>
  <c r="O318" i="27"/>
  <c r="N318" i="27"/>
  <c r="M318" i="27"/>
  <c r="L318" i="27"/>
  <c r="K318" i="27"/>
  <c r="J318" i="27"/>
  <c r="I318" i="27"/>
  <c r="H318" i="27"/>
  <c r="G318" i="27"/>
  <c r="Q317" i="27"/>
  <c r="P317" i="27"/>
  <c r="O317" i="27"/>
  <c r="N317" i="27"/>
  <c r="M317" i="27"/>
  <c r="L317" i="27"/>
  <c r="K317" i="27"/>
  <c r="J317" i="27"/>
  <c r="I317" i="27"/>
  <c r="H317" i="27"/>
  <c r="G317" i="27"/>
  <c r="Q316" i="27"/>
  <c r="P316" i="27"/>
  <c r="O316" i="27"/>
  <c r="N316" i="27"/>
  <c r="M316" i="27"/>
  <c r="L316" i="27"/>
  <c r="K316" i="27"/>
  <c r="J316" i="27"/>
  <c r="I316" i="27"/>
  <c r="H316" i="27"/>
  <c r="G316" i="27"/>
  <c r="Q315" i="27"/>
  <c r="P315" i="27"/>
  <c r="O315" i="27"/>
  <c r="N315" i="27"/>
  <c r="M315" i="27"/>
  <c r="L315" i="27"/>
  <c r="K315" i="27"/>
  <c r="J315" i="27"/>
  <c r="I315" i="27"/>
  <c r="H315" i="27"/>
  <c r="G315" i="27"/>
  <c r="Q314" i="27"/>
  <c r="P314" i="27"/>
  <c r="O314" i="27"/>
  <c r="N314" i="27"/>
  <c r="M314" i="27"/>
  <c r="L314" i="27"/>
  <c r="K314" i="27"/>
  <c r="J314" i="27"/>
  <c r="I314" i="27"/>
  <c r="H314" i="27"/>
  <c r="G314" i="27"/>
  <c r="Q313" i="27"/>
  <c r="P313" i="27"/>
  <c r="O313" i="27"/>
  <c r="N313" i="27"/>
  <c r="M313" i="27"/>
  <c r="L313" i="27"/>
  <c r="K313" i="27"/>
  <c r="J313" i="27"/>
  <c r="I313" i="27"/>
  <c r="H313" i="27"/>
  <c r="G313" i="27"/>
  <c r="Q312" i="27"/>
  <c r="P312" i="27"/>
  <c r="O312" i="27"/>
  <c r="N312" i="27"/>
  <c r="M312" i="27"/>
  <c r="L312" i="27"/>
  <c r="K312" i="27"/>
  <c r="J312" i="27"/>
  <c r="I312" i="27"/>
  <c r="H312" i="27"/>
  <c r="G312" i="27"/>
  <c r="Q311" i="27"/>
  <c r="P311" i="27"/>
  <c r="O311" i="27"/>
  <c r="N311" i="27"/>
  <c r="M311" i="27"/>
  <c r="L311" i="27"/>
  <c r="K311" i="27"/>
  <c r="J311" i="27"/>
  <c r="I311" i="27"/>
  <c r="H311" i="27"/>
  <c r="G311" i="27"/>
  <c r="Q310" i="27"/>
  <c r="P310" i="27"/>
  <c r="O310" i="27"/>
  <c r="N310" i="27"/>
  <c r="M310" i="27"/>
  <c r="L310" i="27"/>
  <c r="K310" i="27"/>
  <c r="J310" i="27"/>
  <c r="I310" i="27"/>
  <c r="H310" i="27"/>
  <c r="G310" i="27"/>
  <c r="Q309" i="27"/>
  <c r="P309" i="27"/>
  <c r="O309" i="27"/>
  <c r="N309" i="27"/>
  <c r="M309" i="27"/>
  <c r="L309" i="27"/>
  <c r="K309" i="27"/>
  <c r="J309" i="27"/>
  <c r="I309" i="27"/>
  <c r="H309" i="27"/>
  <c r="G309" i="27"/>
  <c r="Q308" i="27"/>
  <c r="P308" i="27"/>
  <c r="O308" i="27"/>
  <c r="N308" i="27"/>
  <c r="M308" i="27"/>
  <c r="L308" i="27"/>
  <c r="K308" i="27"/>
  <c r="J308" i="27"/>
  <c r="I308" i="27"/>
  <c r="H308" i="27"/>
  <c r="G308" i="27"/>
  <c r="Q307" i="27"/>
  <c r="P307" i="27"/>
  <c r="O307" i="27"/>
  <c r="N307" i="27"/>
  <c r="M307" i="27"/>
  <c r="L307" i="27"/>
  <c r="K307" i="27"/>
  <c r="J307" i="27"/>
  <c r="I307" i="27"/>
  <c r="H307" i="27"/>
  <c r="G307" i="27"/>
  <c r="Q306" i="27"/>
  <c r="P306" i="27"/>
  <c r="O306" i="27"/>
  <c r="N306" i="27"/>
  <c r="M306" i="27"/>
  <c r="L306" i="27"/>
  <c r="K306" i="27"/>
  <c r="J306" i="27"/>
  <c r="I306" i="27"/>
  <c r="H306" i="27"/>
  <c r="G306" i="27"/>
  <c r="Q305" i="27"/>
  <c r="P305" i="27"/>
  <c r="O305" i="27"/>
  <c r="N305" i="27"/>
  <c r="M305" i="27"/>
  <c r="L305" i="27"/>
  <c r="K305" i="27"/>
  <c r="J305" i="27"/>
  <c r="I305" i="27"/>
  <c r="H305" i="27"/>
  <c r="G305" i="27"/>
  <c r="Q304" i="27"/>
  <c r="P304" i="27"/>
  <c r="O304" i="27"/>
  <c r="N304" i="27"/>
  <c r="M304" i="27"/>
  <c r="L304" i="27"/>
  <c r="K304" i="27"/>
  <c r="J304" i="27"/>
  <c r="I304" i="27"/>
  <c r="H304" i="27"/>
  <c r="G304" i="27"/>
  <c r="Q303" i="27"/>
  <c r="P303" i="27"/>
  <c r="O303" i="27"/>
  <c r="N303" i="27"/>
  <c r="M303" i="27"/>
  <c r="L303" i="27"/>
  <c r="K303" i="27"/>
  <c r="J303" i="27"/>
  <c r="I303" i="27"/>
  <c r="H303" i="27"/>
  <c r="G303" i="27"/>
  <c r="Q302" i="27"/>
  <c r="P302" i="27"/>
  <c r="O302" i="27"/>
  <c r="N302" i="27"/>
  <c r="M302" i="27"/>
  <c r="L302" i="27"/>
  <c r="K302" i="27"/>
  <c r="J302" i="27"/>
  <c r="I302" i="27"/>
  <c r="H302" i="27"/>
  <c r="G302" i="27"/>
  <c r="Q301" i="27"/>
  <c r="P301" i="27"/>
  <c r="O301" i="27"/>
  <c r="N301" i="27"/>
  <c r="M301" i="27"/>
  <c r="L301" i="27"/>
  <c r="K301" i="27"/>
  <c r="J301" i="27"/>
  <c r="I301" i="27"/>
  <c r="H301" i="27"/>
  <c r="G301" i="27"/>
  <c r="Q300" i="27"/>
  <c r="P300" i="27"/>
  <c r="O300" i="27"/>
  <c r="N300" i="27"/>
  <c r="M300" i="27"/>
  <c r="L300" i="27"/>
  <c r="K300" i="27"/>
  <c r="J300" i="27"/>
  <c r="I300" i="27"/>
  <c r="H300" i="27"/>
  <c r="G300" i="27"/>
  <c r="Q299" i="27"/>
  <c r="P299" i="27"/>
  <c r="O299" i="27"/>
  <c r="N299" i="27"/>
  <c r="M299" i="27"/>
  <c r="L299" i="27"/>
  <c r="K299" i="27"/>
  <c r="J299" i="27"/>
  <c r="I299" i="27"/>
  <c r="H299" i="27"/>
  <c r="G299" i="27"/>
  <c r="Q298" i="27"/>
  <c r="P298" i="27"/>
  <c r="O298" i="27"/>
  <c r="N298" i="27"/>
  <c r="M298" i="27"/>
  <c r="L298" i="27"/>
  <c r="K298" i="27"/>
  <c r="J298" i="27"/>
  <c r="I298" i="27"/>
  <c r="H298" i="27"/>
  <c r="G298" i="27"/>
  <c r="Q297" i="27"/>
  <c r="P297" i="27"/>
  <c r="O297" i="27"/>
  <c r="N297" i="27"/>
  <c r="M297" i="27"/>
  <c r="L297" i="27"/>
  <c r="K297" i="27"/>
  <c r="J297" i="27"/>
  <c r="I297" i="27"/>
  <c r="H297" i="27"/>
  <c r="G297" i="27"/>
  <c r="Q296" i="27"/>
  <c r="P296" i="27"/>
  <c r="O296" i="27"/>
  <c r="N296" i="27"/>
  <c r="M296" i="27"/>
  <c r="L296" i="27"/>
  <c r="K296" i="27"/>
  <c r="J296" i="27"/>
  <c r="I296" i="27"/>
  <c r="H296" i="27"/>
  <c r="G296" i="27"/>
  <c r="Q295" i="27"/>
  <c r="P295" i="27"/>
  <c r="O295" i="27"/>
  <c r="N295" i="27"/>
  <c r="M295" i="27"/>
  <c r="L295" i="27"/>
  <c r="K295" i="27"/>
  <c r="J295" i="27"/>
  <c r="I295" i="27"/>
  <c r="H295" i="27"/>
  <c r="G295" i="27"/>
  <c r="Q294" i="27"/>
  <c r="P294" i="27"/>
  <c r="O294" i="27"/>
  <c r="N294" i="27"/>
  <c r="M294" i="27"/>
  <c r="L294" i="27"/>
  <c r="K294" i="27"/>
  <c r="J294" i="27"/>
  <c r="I294" i="27"/>
  <c r="H294" i="27"/>
  <c r="G294" i="27"/>
  <c r="Q293" i="27"/>
  <c r="P293" i="27"/>
  <c r="O293" i="27"/>
  <c r="N293" i="27"/>
  <c r="M293" i="27"/>
  <c r="L293" i="27"/>
  <c r="K293" i="27"/>
  <c r="J293" i="27"/>
  <c r="I293" i="27"/>
  <c r="H293" i="27"/>
  <c r="G293" i="27"/>
  <c r="Q292" i="27"/>
  <c r="P292" i="27"/>
  <c r="O292" i="27"/>
  <c r="N292" i="27"/>
  <c r="M292" i="27"/>
  <c r="L292" i="27"/>
  <c r="K292" i="27"/>
  <c r="J292" i="27"/>
  <c r="I292" i="27"/>
  <c r="H292" i="27"/>
  <c r="G292" i="27"/>
  <c r="Q291" i="27"/>
  <c r="P291" i="27"/>
  <c r="O291" i="27"/>
  <c r="N291" i="27"/>
  <c r="M291" i="27"/>
  <c r="L291" i="27"/>
  <c r="K291" i="27"/>
  <c r="J291" i="27"/>
  <c r="I291" i="27"/>
  <c r="H291" i="27"/>
  <c r="G291" i="27"/>
  <c r="Q290" i="27"/>
  <c r="P290" i="27"/>
  <c r="O290" i="27"/>
  <c r="N290" i="27"/>
  <c r="M290" i="27"/>
  <c r="L290" i="27"/>
  <c r="K290" i="27"/>
  <c r="J290" i="27"/>
  <c r="I290" i="27"/>
  <c r="H290" i="27"/>
  <c r="G290" i="27"/>
  <c r="Q289" i="27"/>
  <c r="P289" i="27"/>
  <c r="O289" i="27"/>
  <c r="N289" i="27"/>
  <c r="M289" i="27"/>
  <c r="L289" i="27"/>
  <c r="K289" i="27"/>
  <c r="J289" i="27"/>
  <c r="I289" i="27"/>
  <c r="H289" i="27"/>
  <c r="G289" i="27"/>
  <c r="Q288" i="27"/>
  <c r="P288" i="27"/>
  <c r="O288" i="27"/>
  <c r="N288" i="27"/>
  <c r="M288" i="27"/>
  <c r="L288" i="27"/>
  <c r="K288" i="27"/>
  <c r="J288" i="27"/>
  <c r="I288" i="27"/>
  <c r="H288" i="27"/>
  <c r="G288" i="27"/>
  <c r="Q287" i="27"/>
  <c r="P287" i="27"/>
  <c r="O287" i="27"/>
  <c r="N287" i="27"/>
  <c r="M287" i="27"/>
  <c r="L287" i="27"/>
  <c r="K287" i="27"/>
  <c r="J287" i="27"/>
  <c r="I287" i="27"/>
  <c r="H287" i="27"/>
  <c r="G287" i="27"/>
  <c r="Q286" i="27"/>
  <c r="P286" i="27"/>
  <c r="O286" i="27"/>
  <c r="N286" i="27"/>
  <c r="M286" i="27"/>
  <c r="L286" i="27"/>
  <c r="K286" i="27"/>
  <c r="J286" i="27"/>
  <c r="I286" i="27"/>
  <c r="H286" i="27"/>
  <c r="G286" i="27"/>
  <c r="Q285" i="27"/>
  <c r="P285" i="27"/>
  <c r="O285" i="27"/>
  <c r="N285" i="27"/>
  <c r="M285" i="27"/>
  <c r="L285" i="27"/>
  <c r="K285" i="27"/>
  <c r="J285" i="27"/>
  <c r="I285" i="27"/>
  <c r="H285" i="27"/>
  <c r="G285" i="27"/>
  <c r="Q284" i="27"/>
  <c r="P284" i="27"/>
  <c r="O284" i="27"/>
  <c r="N284" i="27"/>
  <c r="M284" i="27"/>
  <c r="L284" i="27"/>
  <c r="K284" i="27"/>
  <c r="J284" i="27"/>
  <c r="I284" i="27"/>
  <c r="H284" i="27"/>
  <c r="G284" i="27"/>
  <c r="Q283" i="27"/>
  <c r="P283" i="27"/>
  <c r="O283" i="27"/>
  <c r="N283" i="27"/>
  <c r="M283" i="27"/>
  <c r="L283" i="27"/>
  <c r="K283" i="27"/>
  <c r="J283" i="27"/>
  <c r="I283" i="27"/>
  <c r="H283" i="27"/>
  <c r="G283" i="27"/>
  <c r="Q282" i="27"/>
  <c r="P282" i="27"/>
  <c r="O282" i="27"/>
  <c r="N282" i="27"/>
  <c r="M282" i="27"/>
  <c r="L282" i="27"/>
  <c r="K282" i="27"/>
  <c r="J282" i="27"/>
  <c r="I282" i="27"/>
  <c r="H282" i="27"/>
  <c r="G282" i="27"/>
  <c r="Q281" i="27"/>
  <c r="P281" i="27"/>
  <c r="O281" i="27"/>
  <c r="N281" i="27"/>
  <c r="M281" i="27"/>
  <c r="L281" i="27"/>
  <c r="K281" i="27"/>
  <c r="J281" i="27"/>
  <c r="I281" i="27"/>
  <c r="H281" i="27"/>
  <c r="G281" i="27"/>
  <c r="Q280" i="27"/>
  <c r="P280" i="27"/>
  <c r="O280" i="27"/>
  <c r="N280" i="27"/>
  <c r="M280" i="27"/>
  <c r="L280" i="27"/>
  <c r="K280" i="27"/>
  <c r="J280" i="27"/>
  <c r="I280" i="27"/>
  <c r="H280" i="27"/>
  <c r="G280" i="27"/>
  <c r="Q279" i="27"/>
  <c r="P279" i="27"/>
  <c r="O279" i="27"/>
  <c r="N279" i="27"/>
  <c r="M279" i="27"/>
  <c r="L279" i="27"/>
  <c r="K279" i="27"/>
  <c r="J279" i="27"/>
  <c r="I279" i="27"/>
  <c r="H279" i="27"/>
  <c r="G279" i="27"/>
  <c r="Q278" i="27"/>
  <c r="P278" i="27"/>
  <c r="O278" i="27"/>
  <c r="N278" i="27"/>
  <c r="M278" i="27"/>
  <c r="L278" i="27"/>
  <c r="K278" i="27"/>
  <c r="J278" i="27"/>
  <c r="I278" i="27"/>
  <c r="H278" i="27"/>
  <c r="G278" i="27"/>
  <c r="Q277" i="27"/>
  <c r="P277" i="27"/>
  <c r="O277" i="27"/>
  <c r="N277" i="27"/>
  <c r="M277" i="27"/>
  <c r="L277" i="27"/>
  <c r="K277" i="27"/>
  <c r="J277" i="27"/>
  <c r="I277" i="27"/>
  <c r="H277" i="27"/>
  <c r="G277" i="27"/>
  <c r="Q276" i="27"/>
  <c r="P276" i="27"/>
  <c r="O276" i="27"/>
  <c r="N276" i="27"/>
  <c r="M276" i="27"/>
  <c r="L276" i="27"/>
  <c r="K276" i="27"/>
  <c r="J276" i="27"/>
  <c r="I276" i="27"/>
  <c r="H276" i="27"/>
  <c r="G276" i="27"/>
  <c r="Q275" i="27"/>
  <c r="P275" i="27"/>
  <c r="O275" i="27"/>
  <c r="N275" i="27"/>
  <c r="M275" i="27"/>
  <c r="L275" i="27"/>
  <c r="K275" i="27"/>
  <c r="J275" i="27"/>
  <c r="I275" i="27"/>
  <c r="H275" i="27"/>
  <c r="G275" i="27"/>
  <c r="Q274" i="27"/>
  <c r="P274" i="27"/>
  <c r="O274" i="27"/>
  <c r="N274" i="27"/>
  <c r="M274" i="27"/>
  <c r="L274" i="27"/>
  <c r="K274" i="27"/>
  <c r="J274" i="27"/>
  <c r="I274" i="27"/>
  <c r="H274" i="27"/>
  <c r="G274" i="27"/>
  <c r="Q273" i="27"/>
  <c r="P273" i="27"/>
  <c r="O273" i="27"/>
  <c r="N273" i="27"/>
  <c r="M273" i="27"/>
  <c r="L273" i="27"/>
  <c r="K273" i="27"/>
  <c r="J273" i="27"/>
  <c r="I273" i="27"/>
  <c r="H273" i="27"/>
  <c r="G273" i="27"/>
  <c r="Q272" i="27"/>
  <c r="P272" i="27"/>
  <c r="O272" i="27"/>
  <c r="N272" i="27"/>
  <c r="M272" i="27"/>
  <c r="L272" i="27"/>
  <c r="K272" i="27"/>
  <c r="J272" i="27"/>
  <c r="I272" i="27"/>
  <c r="H272" i="27"/>
  <c r="G272" i="27"/>
  <c r="Q271" i="27"/>
  <c r="P271" i="27"/>
  <c r="O271" i="27"/>
  <c r="N271" i="27"/>
  <c r="M271" i="27"/>
  <c r="L271" i="27"/>
  <c r="K271" i="27"/>
  <c r="J271" i="27"/>
  <c r="I271" i="27"/>
  <c r="H271" i="27"/>
  <c r="G271" i="27"/>
  <c r="Q270" i="27"/>
  <c r="P270" i="27"/>
  <c r="O270" i="27"/>
  <c r="N270" i="27"/>
  <c r="M270" i="27"/>
  <c r="L270" i="27"/>
  <c r="K270" i="27"/>
  <c r="J270" i="27"/>
  <c r="I270" i="27"/>
  <c r="H270" i="27"/>
  <c r="G270" i="27"/>
  <c r="Q269" i="27"/>
  <c r="P269" i="27"/>
  <c r="O269" i="27"/>
  <c r="N269" i="27"/>
  <c r="M269" i="27"/>
  <c r="L269" i="27"/>
  <c r="K269" i="27"/>
  <c r="J269" i="27"/>
  <c r="I269" i="27"/>
  <c r="H269" i="27"/>
  <c r="G269" i="27"/>
  <c r="Q268" i="27"/>
  <c r="P268" i="27"/>
  <c r="O268" i="27"/>
  <c r="N268" i="27"/>
  <c r="M268" i="27"/>
  <c r="L268" i="27"/>
  <c r="K268" i="27"/>
  <c r="J268" i="27"/>
  <c r="I268" i="27"/>
  <c r="H268" i="27"/>
  <c r="G268" i="27"/>
  <c r="Q267" i="27"/>
  <c r="P267" i="27"/>
  <c r="O267" i="27"/>
  <c r="N267" i="27"/>
  <c r="M267" i="27"/>
  <c r="L267" i="27"/>
  <c r="K267" i="27"/>
  <c r="J267" i="27"/>
  <c r="I267" i="27"/>
  <c r="H267" i="27"/>
  <c r="G267" i="27"/>
  <c r="Q266" i="27"/>
  <c r="P266" i="27"/>
  <c r="O266" i="27"/>
  <c r="N266" i="27"/>
  <c r="M266" i="27"/>
  <c r="L266" i="27"/>
  <c r="K266" i="27"/>
  <c r="J266" i="27"/>
  <c r="I266" i="27"/>
  <c r="H266" i="27"/>
  <c r="G266" i="27"/>
  <c r="Q265" i="27"/>
  <c r="P265" i="27"/>
  <c r="O265" i="27"/>
  <c r="N265" i="27"/>
  <c r="M265" i="27"/>
  <c r="L265" i="27"/>
  <c r="K265" i="27"/>
  <c r="J265" i="27"/>
  <c r="I265" i="27"/>
  <c r="H265" i="27"/>
  <c r="G265" i="27"/>
  <c r="Q264" i="27"/>
  <c r="P264" i="27"/>
  <c r="O264" i="27"/>
  <c r="N264" i="27"/>
  <c r="M264" i="27"/>
  <c r="L264" i="27"/>
  <c r="K264" i="27"/>
  <c r="J264" i="27"/>
  <c r="I264" i="27"/>
  <c r="H264" i="27"/>
  <c r="G264" i="27"/>
  <c r="Q263" i="27"/>
  <c r="P263" i="27"/>
  <c r="O263" i="27"/>
  <c r="N263" i="27"/>
  <c r="M263" i="27"/>
  <c r="L263" i="27"/>
  <c r="K263" i="27"/>
  <c r="J263" i="27"/>
  <c r="I263" i="27"/>
  <c r="H263" i="27"/>
  <c r="G263" i="27"/>
  <c r="Q262" i="27"/>
  <c r="P262" i="27"/>
  <c r="O262" i="27"/>
  <c r="N262" i="27"/>
  <c r="M262" i="27"/>
  <c r="L262" i="27"/>
  <c r="K262" i="27"/>
  <c r="J262" i="27"/>
  <c r="I262" i="27"/>
  <c r="H262" i="27"/>
  <c r="G262" i="27"/>
  <c r="Q261" i="27"/>
  <c r="P261" i="27"/>
  <c r="O261" i="27"/>
  <c r="N261" i="27"/>
  <c r="M261" i="27"/>
  <c r="L261" i="27"/>
  <c r="K261" i="27"/>
  <c r="J261" i="27"/>
  <c r="I261" i="27"/>
  <c r="H261" i="27"/>
  <c r="G261" i="27"/>
  <c r="Q260" i="27"/>
  <c r="P260" i="27"/>
  <c r="O260" i="27"/>
  <c r="N260" i="27"/>
  <c r="M260" i="27"/>
  <c r="L260" i="27"/>
  <c r="K260" i="27"/>
  <c r="J260" i="27"/>
  <c r="I260" i="27"/>
  <c r="H260" i="27"/>
  <c r="G260" i="27"/>
  <c r="Q259" i="27"/>
  <c r="P259" i="27"/>
  <c r="O259" i="27"/>
  <c r="N259" i="27"/>
  <c r="M259" i="27"/>
  <c r="L259" i="27"/>
  <c r="K259" i="27"/>
  <c r="J259" i="27"/>
  <c r="I259" i="27"/>
  <c r="H259" i="27"/>
  <c r="G259" i="27"/>
  <c r="Q258" i="27"/>
  <c r="P258" i="27"/>
  <c r="O258" i="27"/>
  <c r="N258" i="27"/>
  <c r="M258" i="27"/>
  <c r="L258" i="27"/>
  <c r="K258" i="27"/>
  <c r="J258" i="27"/>
  <c r="I258" i="27"/>
  <c r="H258" i="27"/>
  <c r="G258" i="27"/>
  <c r="Q257" i="27"/>
  <c r="P257" i="27"/>
  <c r="O257" i="27"/>
  <c r="N257" i="27"/>
  <c r="M257" i="27"/>
  <c r="L257" i="27"/>
  <c r="K257" i="27"/>
  <c r="J257" i="27"/>
  <c r="I257" i="27"/>
  <c r="H257" i="27"/>
  <c r="G257" i="27"/>
  <c r="Q256" i="27"/>
  <c r="P256" i="27"/>
  <c r="O256" i="27"/>
  <c r="N256" i="27"/>
  <c r="M256" i="27"/>
  <c r="L256" i="27"/>
  <c r="K256" i="27"/>
  <c r="J256" i="27"/>
  <c r="I256" i="27"/>
  <c r="H256" i="27"/>
  <c r="G256" i="27"/>
  <c r="Q255" i="27"/>
  <c r="P255" i="27"/>
  <c r="O255" i="27"/>
  <c r="N255" i="27"/>
  <c r="M255" i="27"/>
  <c r="L255" i="27"/>
  <c r="K255" i="27"/>
  <c r="J255" i="27"/>
  <c r="I255" i="27"/>
  <c r="H255" i="27"/>
  <c r="G255" i="27"/>
  <c r="Q254" i="27"/>
  <c r="P254" i="27"/>
  <c r="O254" i="27"/>
  <c r="N254" i="27"/>
  <c r="M254" i="27"/>
  <c r="L254" i="27"/>
  <c r="K254" i="27"/>
  <c r="J254" i="27"/>
  <c r="I254" i="27"/>
  <c r="H254" i="27"/>
  <c r="G254" i="27"/>
  <c r="Q253" i="27"/>
  <c r="P253" i="27"/>
  <c r="O253" i="27"/>
  <c r="N253" i="27"/>
  <c r="M253" i="27"/>
  <c r="L253" i="27"/>
  <c r="K253" i="27"/>
  <c r="J253" i="27"/>
  <c r="I253" i="27"/>
  <c r="H253" i="27"/>
  <c r="G253" i="27"/>
  <c r="Q252" i="27"/>
  <c r="P252" i="27"/>
  <c r="O252" i="27"/>
  <c r="N252" i="27"/>
  <c r="M252" i="27"/>
  <c r="L252" i="27"/>
  <c r="K252" i="27"/>
  <c r="J252" i="27"/>
  <c r="I252" i="27"/>
  <c r="H252" i="27"/>
  <c r="G252" i="27"/>
  <c r="Q251" i="27"/>
  <c r="P251" i="27"/>
  <c r="O251" i="27"/>
  <c r="N251" i="27"/>
  <c r="M251" i="27"/>
  <c r="L251" i="27"/>
  <c r="K251" i="27"/>
  <c r="J251" i="27"/>
  <c r="I251" i="27"/>
  <c r="H251" i="27"/>
  <c r="G251" i="27"/>
  <c r="Q250" i="27"/>
  <c r="P250" i="27"/>
  <c r="O250" i="27"/>
  <c r="N250" i="27"/>
  <c r="M250" i="27"/>
  <c r="L250" i="27"/>
  <c r="K250" i="27"/>
  <c r="J250" i="27"/>
  <c r="I250" i="27"/>
  <c r="H250" i="27"/>
  <c r="G250" i="27"/>
  <c r="Q249" i="27"/>
  <c r="P249" i="27"/>
  <c r="O249" i="27"/>
  <c r="N249" i="27"/>
  <c r="M249" i="27"/>
  <c r="L249" i="27"/>
  <c r="K249" i="27"/>
  <c r="J249" i="27"/>
  <c r="I249" i="27"/>
  <c r="H249" i="27"/>
  <c r="G249" i="27"/>
  <c r="Q248" i="27"/>
  <c r="P248" i="27"/>
  <c r="O248" i="27"/>
  <c r="N248" i="27"/>
  <c r="M248" i="27"/>
  <c r="L248" i="27"/>
  <c r="K248" i="27"/>
  <c r="J248" i="27"/>
  <c r="I248" i="27"/>
  <c r="H248" i="27"/>
  <c r="G248" i="27"/>
  <c r="Q247" i="27"/>
  <c r="P247" i="27"/>
  <c r="O247" i="27"/>
  <c r="N247" i="27"/>
  <c r="M247" i="27"/>
  <c r="L247" i="27"/>
  <c r="K247" i="27"/>
  <c r="J247" i="27"/>
  <c r="I247" i="27"/>
  <c r="H247" i="27"/>
  <c r="G247" i="27"/>
  <c r="Q246" i="27"/>
  <c r="P246" i="27"/>
  <c r="O246" i="27"/>
  <c r="N246" i="27"/>
  <c r="M246" i="27"/>
  <c r="L246" i="27"/>
  <c r="K246" i="27"/>
  <c r="J246" i="27"/>
  <c r="I246" i="27"/>
  <c r="H246" i="27"/>
  <c r="G246" i="27"/>
  <c r="Q245" i="27"/>
  <c r="P245" i="27"/>
  <c r="O245" i="27"/>
  <c r="N245" i="27"/>
  <c r="M245" i="27"/>
  <c r="L245" i="27"/>
  <c r="K245" i="27"/>
  <c r="J245" i="27"/>
  <c r="I245" i="27"/>
  <c r="H245" i="27"/>
  <c r="G245" i="27"/>
  <c r="Q244" i="27"/>
  <c r="P244" i="27"/>
  <c r="O244" i="27"/>
  <c r="N244" i="27"/>
  <c r="M244" i="27"/>
  <c r="L244" i="27"/>
  <c r="K244" i="27"/>
  <c r="J244" i="27"/>
  <c r="I244" i="27"/>
  <c r="H244" i="27"/>
  <c r="G244" i="27"/>
  <c r="Q243" i="27"/>
  <c r="P243" i="27"/>
  <c r="O243" i="27"/>
  <c r="N243" i="27"/>
  <c r="M243" i="27"/>
  <c r="L243" i="27"/>
  <c r="K243" i="27"/>
  <c r="J243" i="27"/>
  <c r="I243" i="27"/>
  <c r="H243" i="27"/>
  <c r="G243" i="27"/>
  <c r="Q242" i="27"/>
  <c r="P242" i="27"/>
  <c r="O242" i="27"/>
  <c r="N242" i="27"/>
  <c r="M242" i="27"/>
  <c r="L242" i="27"/>
  <c r="K242" i="27"/>
  <c r="J242" i="27"/>
  <c r="I242" i="27"/>
  <c r="H242" i="27"/>
  <c r="G242" i="27"/>
  <c r="Q241" i="27"/>
  <c r="P241" i="27"/>
  <c r="O241" i="27"/>
  <c r="N241" i="27"/>
  <c r="M241" i="27"/>
  <c r="L241" i="27"/>
  <c r="K241" i="27"/>
  <c r="J241" i="27"/>
  <c r="I241" i="27"/>
  <c r="H241" i="27"/>
  <c r="G241" i="27"/>
  <c r="Q240" i="27"/>
  <c r="P240" i="27"/>
  <c r="O240" i="27"/>
  <c r="N240" i="27"/>
  <c r="M240" i="27"/>
  <c r="L240" i="27"/>
  <c r="K240" i="27"/>
  <c r="J240" i="27"/>
  <c r="I240" i="27"/>
  <c r="H240" i="27"/>
  <c r="G240" i="27"/>
  <c r="Q239" i="27"/>
  <c r="P239" i="27"/>
  <c r="O239" i="27"/>
  <c r="N239" i="27"/>
  <c r="M239" i="27"/>
  <c r="L239" i="27"/>
  <c r="K239" i="27"/>
  <c r="J239" i="27"/>
  <c r="I239" i="27"/>
  <c r="H239" i="27"/>
  <c r="G239" i="27"/>
  <c r="Q238" i="27"/>
  <c r="P238" i="27"/>
  <c r="O238" i="27"/>
  <c r="N238" i="27"/>
  <c r="M238" i="27"/>
  <c r="L238" i="27"/>
  <c r="K238" i="27"/>
  <c r="J238" i="27"/>
  <c r="I238" i="27"/>
  <c r="H238" i="27"/>
  <c r="G238" i="27"/>
  <c r="Q237" i="27"/>
  <c r="P237" i="27"/>
  <c r="O237" i="27"/>
  <c r="N237" i="27"/>
  <c r="M237" i="27"/>
  <c r="L237" i="27"/>
  <c r="K237" i="27"/>
  <c r="J237" i="27"/>
  <c r="I237" i="27"/>
  <c r="H237" i="27"/>
  <c r="G237" i="27"/>
  <c r="Q236" i="27"/>
  <c r="P236" i="27"/>
  <c r="O236" i="27"/>
  <c r="N236" i="27"/>
  <c r="M236" i="27"/>
  <c r="L236" i="27"/>
  <c r="K236" i="27"/>
  <c r="J236" i="27"/>
  <c r="I236" i="27"/>
  <c r="H236" i="27"/>
  <c r="G236" i="27"/>
  <c r="Q235" i="27"/>
  <c r="P235" i="27"/>
  <c r="O235" i="27"/>
  <c r="N235" i="27"/>
  <c r="M235" i="27"/>
  <c r="L235" i="27"/>
  <c r="K235" i="27"/>
  <c r="J235" i="27"/>
  <c r="I235" i="27"/>
  <c r="H235" i="27"/>
  <c r="G235" i="27"/>
  <c r="Q234" i="27"/>
  <c r="P234" i="27"/>
  <c r="O234" i="27"/>
  <c r="N234" i="27"/>
  <c r="M234" i="27"/>
  <c r="L234" i="27"/>
  <c r="K234" i="27"/>
  <c r="J234" i="27"/>
  <c r="I234" i="27"/>
  <c r="H234" i="27"/>
  <c r="G234" i="27"/>
  <c r="Q233" i="27"/>
  <c r="P233" i="27"/>
  <c r="O233" i="27"/>
  <c r="N233" i="27"/>
  <c r="M233" i="27"/>
  <c r="L233" i="27"/>
  <c r="K233" i="27"/>
  <c r="J233" i="27"/>
  <c r="I233" i="27"/>
  <c r="H233" i="27"/>
  <c r="G233" i="27"/>
  <c r="Q232" i="27"/>
  <c r="P232" i="27"/>
  <c r="O232" i="27"/>
  <c r="N232" i="27"/>
  <c r="M232" i="27"/>
  <c r="L232" i="27"/>
  <c r="K232" i="27"/>
  <c r="J232" i="27"/>
  <c r="I232" i="27"/>
  <c r="H232" i="27"/>
  <c r="G232" i="27"/>
  <c r="Q231" i="27"/>
  <c r="P231" i="27"/>
  <c r="O231" i="27"/>
  <c r="N231" i="27"/>
  <c r="M231" i="27"/>
  <c r="L231" i="27"/>
  <c r="K231" i="27"/>
  <c r="J231" i="27"/>
  <c r="I231" i="27"/>
  <c r="H231" i="27"/>
  <c r="G231" i="27"/>
  <c r="Q230" i="27"/>
  <c r="P230" i="27"/>
  <c r="O230" i="27"/>
  <c r="N230" i="27"/>
  <c r="M230" i="27"/>
  <c r="L230" i="27"/>
  <c r="K230" i="27"/>
  <c r="J230" i="27"/>
  <c r="I230" i="27"/>
  <c r="H230" i="27"/>
  <c r="G230" i="27"/>
  <c r="Q229" i="27"/>
  <c r="P229" i="27"/>
  <c r="O229" i="27"/>
  <c r="N229" i="27"/>
  <c r="M229" i="27"/>
  <c r="L229" i="27"/>
  <c r="K229" i="27"/>
  <c r="J229" i="27"/>
  <c r="I229" i="27"/>
  <c r="H229" i="27"/>
  <c r="G229" i="27"/>
  <c r="Q228" i="27"/>
  <c r="P228" i="27"/>
  <c r="O228" i="27"/>
  <c r="N228" i="27"/>
  <c r="M228" i="27"/>
  <c r="L228" i="27"/>
  <c r="K228" i="27"/>
  <c r="J228" i="27"/>
  <c r="I228" i="27"/>
  <c r="H228" i="27"/>
  <c r="G228" i="27"/>
  <c r="Q227" i="27"/>
  <c r="P227" i="27"/>
  <c r="O227" i="27"/>
  <c r="N227" i="27"/>
  <c r="M227" i="27"/>
  <c r="L227" i="27"/>
  <c r="K227" i="27"/>
  <c r="J227" i="27"/>
  <c r="I227" i="27"/>
  <c r="H227" i="27"/>
  <c r="G227" i="27"/>
  <c r="Q226" i="27"/>
  <c r="P226" i="27"/>
  <c r="O226" i="27"/>
  <c r="N226" i="27"/>
  <c r="M226" i="27"/>
  <c r="L226" i="27"/>
  <c r="K226" i="27"/>
  <c r="J226" i="27"/>
  <c r="I226" i="27"/>
  <c r="H226" i="27"/>
  <c r="G226" i="27"/>
  <c r="Q225" i="27"/>
  <c r="P225" i="27"/>
  <c r="O225" i="27"/>
  <c r="N225" i="27"/>
  <c r="M225" i="27"/>
  <c r="L225" i="27"/>
  <c r="K225" i="27"/>
  <c r="J225" i="27"/>
  <c r="I225" i="27"/>
  <c r="H225" i="27"/>
  <c r="G225" i="27"/>
  <c r="Q224" i="27"/>
  <c r="P224" i="27"/>
  <c r="O224" i="27"/>
  <c r="N224" i="27"/>
  <c r="M224" i="27"/>
  <c r="L224" i="27"/>
  <c r="K224" i="27"/>
  <c r="J224" i="27"/>
  <c r="I224" i="27"/>
  <c r="H224" i="27"/>
  <c r="G224" i="27"/>
  <c r="Q223" i="27"/>
  <c r="P223" i="27"/>
  <c r="O223" i="27"/>
  <c r="N223" i="27"/>
  <c r="M223" i="27"/>
  <c r="L223" i="27"/>
  <c r="K223" i="27"/>
  <c r="J223" i="27"/>
  <c r="I223" i="27"/>
  <c r="H223" i="27"/>
  <c r="G223" i="27"/>
  <c r="Q222" i="27"/>
  <c r="P222" i="27"/>
  <c r="O222" i="27"/>
  <c r="N222" i="27"/>
  <c r="M222" i="27"/>
  <c r="L222" i="27"/>
  <c r="K222" i="27"/>
  <c r="J222" i="27"/>
  <c r="I222" i="27"/>
  <c r="H222" i="27"/>
  <c r="G222" i="27"/>
  <c r="Q221" i="27"/>
  <c r="P221" i="27"/>
  <c r="O221" i="27"/>
  <c r="N221" i="27"/>
  <c r="M221" i="27"/>
  <c r="L221" i="27"/>
  <c r="K221" i="27"/>
  <c r="J221" i="27"/>
  <c r="I221" i="27"/>
  <c r="H221" i="27"/>
  <c r="G221" i="27"/>
  <c r="Q220" i="27"/>
  <c r="P220" i="27"/>
  <c r="O220" i="27"/>
  <c r="N220" i="27"/>
  <c r="M220" i="27"/>
  <c r="L220" i="27"/>
  <c r="K220" i="27"/>
  <c r="J220" i="27"/>
  <c r="I220" i="27"/>
  <c r="H220" i="27"/>
  <c r="G220" i="27"/>
  <c r="Q219" i="27"/>
  <c r="P219" i="27"/>
  <c r="O219" i="27"/>
  <c r="N219" i="27"/>
  <c r="M219" i="27"/>
  <c r="L219" i="27"/>
  <c r="K219" i="27"/>
  <c r="J219" i="27"/>
  <c r="I219" i="27"/>
  <c r="H219" i="27"/>
  <c r="G219" i="27"/>
  <c r="Q218" i="27"/>
  <c r="P218" i="27"/>
  <c r="O218" i="27"/>
  <c r="N218" i="27"/>
  <c r="M218" i="27"/>
  <c r="L218" i="27"/>
  <c r="K218" i="27"/>
  <c r="J218" i="27"/>
  <c r="I218" i="27"/>
  <c r="H218" i="27"/>
  <c r="G218" i="27"/>
  <c r="Q217" i="27"/>
  <c r="P217" i="27"/>
  <c r="O217" i="27"/>
  <c r="N217" i="27"/>
  <c r="M217" i="27"/>
  <c r="L217" i="27"/>
  <c r="K217" i="27"/>
  <c r="J217" i="27"/>
  <c r="I217" i="27"/>
  <c r="H217" i="27"/>
  <c r="G217" i="27"/>
  <c r="Q216" i="27"/>
  <c r="P216" i="27"/>
  <c r="O216" i="27"/>
  <c r="N216" i="27"/>
  <c r="M216" i="27"/>
  <c r="L216" i="27"/>
  <c r="K216" i="27"/>
  <c r="J216" i="27"/>
  <c r="I216" i="27"/>
  <c r="H216" i="27"/>
  <c r="G216" i="27"/>
  <c r="Q215" i="27"/>
  <c r="P215" i="27"/>
  <c r="O215" i="27"/>
  <c r="N215" i="27"/>
  <c r="M215" i="27"/>
  <c r="L215" i="27"/>
  <c r="K215" i="27"/>
  <c r="J215" i="27"/>
  <c r="I215" i="27"/>
  <c r="H215" i="27"/>
  <c r="G215" i="27"/>
  <c r="Q214" i="27"/>
  <c r="P214" i="27"/>
  <c r="O214" i="27"/>
  <c r="N214" i="27"/>
  <c r="M214" i="27"/>
  <c r="L214" i="27"/>
  <c r="K214" i="27"/>
  <c r="J214" i="27"/>
  <c r="I214" i="27"/>
  <c r="H214" i="27"/>
  <c r="G214" i="27"/>
  <c r="Q213" i="27"/>
  <c r="P213" i="27"/>
  <c r="O213" i="27"/>
  <c r="N213" i="27"/>
  <c r="M213" i="27"/>
  <c r="L213" i="27"/>
  <c r="K213" i="27"/>
  <c r="J213" i="27"/>
  <c r="I213" i="27"/>
  <c r="H213" i="27"/>
  <c r="G213" i="27"/>
  <c r="Q212" i="27"/>
  <c r="P212" i="27"/>
  <c r="O212" i="27"/>
  <c r="N212" i="27"/>
  <c r="M212" i="27"/>
  <c r="L212" i="27"/>
  <c r="K212" i="27"/>
  <c r="J212" i="27"/>
  <c r="I212" i="27"/>
  <c r="H212" i="27"/>
  <c r="G212" i="27"/>
  <c r="Q211" i="27"/>
  <c r="P211" i="27"/>
  <c r="O211" i="27"/>
  <c r="N211" i="27"/>
  <c r="M211" i="27"/>
  <c r="L211" i="27"/>
  <c r="K211" i="27"/>
  <c r="J211" i="27"/>
  <c r="I211" i="27"/>
  <c r="H211" i="27"/>
  <c r="G211" i="27"/>
  <c r="Q210" i="27"/>
  <c r="P210" i="27"/>
  <c r="O210" i="27"/>
  <c r="N210" i="27"/>
  <c r="M210" i="27"/>
  <c r="L210" i="27"/>
  <c r="K210" i="27"/>
  <c r="J210" i="27"/>
  <c r="I210" i="27"/>
  <c r="H210" i="27"/>
  <c r="G210" i="27"/>
  <c r="Q209" i="27"/>
  <c r="P209" i="27"/>
  <c r="O209" i="27"/>
  <c r="N209" i="27"/>
  <c r="M209" i="27"/>
  <c r="L209" i="27"/>
  <c r="K209" i="27"/>
  <c r="J209" i="27"/>
  <c r="I209" i="27"/>
  <c r="H209" i="27"/>
  <c r="G209" i="27"/>
  <c r="Q208" i="27"/>
  <c r="P208" i="27"/>
  <c r="O208" i="27"/>
  <c r="N208" i="27"/>
  <c r="M208" i="27"/>
  <c r="L208" i="27"/>
  <c r="K208" i="27"/>
  <c r="J208" i="27"/>
  <c r="I208" i="27"/>
  <c r="H208" i="27"/>
  <c r="G208" i="27"/>
  <c r="Q207" i="27"/>
  <c r="P207" i="27"/>
  <c r="O207" i="27"/>
  <c r="N207" i="27"/>
  <c r="M207" i="27"/>
  <c r="L207" i="27"/>
  <c r="K207" i="27"/>
  <c r="J207" i="27"/>
  <c r="I207" i="27"/>
  <c r="H207" i="27"/>
  <c r="G207" i="27"/>
  <c r="Q206" i="27"/>
  <c r="P206" i="27"/>
  <c r="O206" i="27"/>
  <c r="N206" i="27"/>
  <c r="M206" i="27"/>
  <c r="L206" i="27"/>
  <c r="K206" i="27"/>
  <c r="J206" i="27"/>
  <c r="I206" i="27"/>
  <c r="H206" i="27"/>
  <c r="G206" i="27"/>
  <c r="Q205" i="27"/>
  <c r="P205" i="27"/>
  <c r="O205" i="27"/>
  <c r="N205" i="27"/>
  <c r="M205" i="27"/>
  <c r="L205" i="27"/>
  <c r="K205" i="27"/>
  <c r="J205" i="27"/>
  <c r="I205" i="27"/>
  <c r="H205" i="27"/>
  <c r="G205" i="27"/>
  <c r="Q204" i="27"/>
  <c r="P204" i="27"/>
  <c r="O204" i="27"/>
  <c r="N204" i="27"/>
  <c r="M204" i="27"/>
  <c r="L204" i="27"/>
  <c r="K204" i="27"/>
  <c r="J204" i="27"/>
  <c r="I204" i="27"/>
  <c r="H204" i="27"/>
  <c r="G204" i="27"/>
  <c r="Q203" i="27"/>
  <c r="P203" i="27"/>
  <c r="O203" i="27"/>
  <c r="N203" i="27"/>
  <c r="M203" i="27"/>
  <c r="L203" i="27"/>
  <c r="K203" i="27"/>
  <c r="J203" i="27"/>
  <c r="I203" i="27"/>
  <c r="H203" i="27"/>
  <c r="G203" i="27"/>
  <c r="Q202" i="27"/>
  <c r="P202" i="27"/>
  <c r="O202" i="27"/>
  <c r="N202" i="27"/>
  <c r="M202" i="27"/>
  <c r="L202" i="27"/>
  <c r="K202" i="27"/>
  <c r="J202" i="27"/>
  <c r="I202" i="27"/>
  <c r="H202" i="27"/>
  <c r="G202" i="27"/>
  <c r="Q201" i="27"/>
  <c r="P201" i="27"/>
  <c r="O201" i="27"/>
  <c r="N201" i="27"/>
  <c r="M201" i="27"/>
  <c r="L201" i="27"/>
  <c r="K201" i="27"/>
  <c r="J201" i="27"/>
  <c r="I201" i="27"/>
  <c r="H201" i="27"/>
  <c r="G201" i="27"/>
  <c r="Q200" i="27"/>
  <c r="P200" i="27"/>
  <c r="O200" i="27"/>
  <c r="N200" i="27"/>
  <c r="M200" i="27"/>
  <c r="L200" i="27"/>
  <c r="K200" i="27"/>
  <c r="J200" i="27"/>
  <c r="I200" i="27"/>
  <c r="H200" i="27"/>
  <c r="G200" i="27"/>
  <c r="Q199" i="27"/>
  <c r="P199" i="27"/>
  <c r="O199" i="27"/>
  <c r="N199" i="27"/>
  <c r="M199" i="27"/>
  <c r="L199" i="27"/>
  <c r="K199" i="27"/>
  <c r="J199" i="27"/>
  <c r="I199" i="27"/>
  <c r="H199" i="27"/>
  <c r="G199" i="27"/>
  <c r="Q198" i="27"/>
  <c r="P198" i="27"/>
  <c r="O198" i="27"/>
  <c r="N198" i="27"/>
  <c r="M198" i="27"/>
  <c r="L198" i="27"/>
  <c r="K198" i="27"/>
  <c r="J198" i="27"/>
  <c r="I198" i="27"/>
  <c r="H198" i="27"/>
  <c r="G198" i="27"/>
  <c r="Q197" i="27"/>
  <c r="P197" i="27"/>
  <c r="O197" i="27"/>
  <c r="N197" i="27"/>
  <c r="M197" i="27"/>
  <c r="L197" i="27"/>
  <c r="K197" i="27"/>
  <c r="J197" i="27"/>
  <c r="I197" i="27"/>
  <c r="H197" i="27"/>
  <c r="G197" i="27"/>
  <c r="Q196" i="27"/>
  <c r="P196" i="27"/>
  <c r="O196" i="27"/>
  <c r="N196" i="27"/>
  <c r="M196" i="27"/>
  <c r="L196" i="27"/>
  <c r="K196" i="27"/>
  <c r="J196" i="27"/>
  <c r="I196" i="27"/>
  <c r="H196" i="27"/>
  <c r="G196" i="27"/>
  <c r="Q195" i="27"/>
  <c r="P195" i="27"/>
  <c r="O195" i="27"/>
  <c r="N195" i="27"/>
  <c r="M195" i="27"/>
  <c r="L195" i="27"/>
  <c r="K195" i="27"/>
  <c r="J195" i="27"/>
  <c r="I195" i="27"/>
  <c r="H195" i="27"/>
  <c r="G195" i="27"/>
  <c r="Q194" i="27"/>
  <c r="P194" i="27"/>
  <c r="O194" i="27"/>
  <c r="N194" i="27"/>
  <c r="M194" i="27"/>
  <c r="L194" i="27"/>
  <c r="K194" i="27"/>
  <c r="J194" i="27"/>
  <c r="I194" i="27"/>
  <c r="H194" i="27"/>
  <c r="G194" i="27"/>
  <c r="Q193" i="27"/>
  <c r="P193" i="27"/>
  <c r="O193" i="27"/>
  <c r="N193" i="27"/>
  <c r="M193" i="27"/>
  <c r="L193" i="27"/>
  <c r="K193" i="27"/>
  <c r="J193" i="27"/>
  <c r="I193" i="27"/>
  <c r="H193" i="27"/>
  <c r="G193" i="27"/>
  <c r="Q192" i="27"/>
  <c r="P192" i="27"/>
  <c r="O192" i="27"/>
  <c r="N192" i="27"/>
  <c r="M192" i="27"/>
  <c r="L192" i="27"/>
  <c r="K192" i="27"/>
  <c r="J192" i="27"/>
  <c r="I192" i="27"/>
  <c r="H192" i="27"/>
  <c r="G192" i="27"/>
  <c r="Q191" i="27"/>
  <c r="P191" i="27"/>
  <c r="O191" i="27"/>
  <c r="N191" i="27"/>
  <c r="M191" i="27"/>
  <c r="L191" i="27"/>
  <c r="K191" i="27"/>
  <c r="J191" i="27"/>
  <c r="I191" i="27"/>
  <c r="H191" i="27"/>
  <c r="G191" i="27"/>
  <c r="Q190" i="27"/>
  <c r="P190" i="27"/>
  <c r="O190" i="27"/>
  <c r="N190" i="27"/>
  <c r="M190" i="27"/>
  <c r="L190" i="27"/>
  <c r="K190" i="27"/>
  <c r="J190" i="27"/>
  <c r="I190" i="27"/>
  <c r="H190" i="27"/>
  <c r="G190" i="27"/>
  <c r="Q189" i="27"/>
  <c r="P189" i="27"/>
  <c r="O189" i="27"/>
  <c r="N189" i="27"/>
  <c r="M189" i="27"/>
  <c r="L189" i="27"/>
  <c r="K189" i="27"/>
  <c r="J189" i="27"/>
  <c r="I189" i="27"/>
  <c r="H189" i="27"/>
  <c r="G189" i="27"/>
  <c r="Q188" i="27"/>
  <c r="P188" i="27"/>
  <c r="O188" i="27"/>
  <c r="N188" i="27"/>
  <c r="M188" i="27"/>
  <c r="L188" i="27"/>
  <c r="K188" i="27"/>
  <c r="J188" i="27"/>
  <c r="I188" i="27"/>
  <c r="H188" i="27"/>
  <c r="G188" i="27"/>
  <c r="Q187" i="27"/>
  <c r="P187" i="27"/>
  <c r="O187" i="27"/>
  <c r="N187" i="27"/>
  <c r="M187" i="27"/>
  <c r="L187" i="27"/>
  <c r="K187" i="27"/>
  <c r="J187" i="27"/>
  <c r="I187" i="27"/>
  <c r="H187" i="27"/>
  <c r="G187" i="27"/>
  <c r="Q186" i="27"/>
  <c r="P186" i="27"/>
  <c r="O186" i="27"/>
  <c r="N186" i="27"/>
  <c r="M186" i="27"/>
  <c r="L186" i="27"/>
  <c r="K186" i="27"/>
  <c r="J186" i="27"/>
  <c r="I186" i="27"/>
  <c r="H186" i="27"/>
  <c r="G186" i="27"/>
  <c r="Q185" i="27"/>
  <c r="P185" i="27"/>
  <c r="O185" i="27"/>
  <c r="N185" i="27"/>
  <c r="M185" i="27"/>
  <c r="L185" i="27"/>
  <c r="K185" i="27"/>
  <c r="J185" i="27"/>
  <c r="I185" i="27"/>
  <c r="H185" i="27"/>
  <c r="G185" i="27"/>
  <c r="Q184" i="27"/>
  <c r="P184" i="27"/>
  <c r="O184" i="27"/>
  <c r="N184" i="27"/>
  <c r="M184" i="27"/>
  <c r="L184" i="27"/>
  <c r="K184" i="27"/>
  <c r="J184" i="27"/>
  <c r="I184" i="27"/>
  <c r="H184" i="27"/>
  <c r="G184" i="27"/>
  <c r="Q183" i="27"/>
  <c r="P183" i="27"/>
  <c r="O183" i="27"/>
  <c r="N183" i="27"/>
  <c r="M183" i="27"/>
  <c r="L183" i="27"/>
  <c r="K183" i="27"/>
  <c r="J183" i="27"/>
  <c r="I183" i="27"/>
  <c r="H183" i="27"/>
  <c r="G183" i="27"/>
  <c r="Q182" i="27"/>
  <c r="P182" i="27"/>
  <c r="O182" i="27"/>
  <c r="N182" i="27"/>
  <c r="M182" i="27"/>
  <c r="L182" i="27"/>
  <c r="K182" i="27"/>
  <c r="J182" i="27"/>
  <c r="I182" i="27"/>
  <c r="H182" i="27"/>
  <c r="G182" i="27"/>
  <c r="Q181" i="27"/>
  <c r="P181" i="27"/>
  <c r="O181" i="27"/>
  <c r="N181" i="27"/>
  <c r="M181" i="27"/>
  <c r="L181" i="27"/>
  <c r="K181" i="27"/>
  <c r="J181" i="27"/>
  <c r="I181" i="27"/>
  <c r="H181" i="27"/>
  <c r="G181" i="27"/>
  <c r="Q180" i="27"/>
  <c r="P180" i="27"/>
  <c r="O180" i="27"/>
  <c r="N180" i="27"/>
  <c r="M180" i="27"/>
  <c r="L180" i="27"/>
  <c r="K180" i="27"/>
  <c r="J180" i="27"/>
  <c r="I180" i="27"/>
  <c r="H180" i="27"/>
  <c r="G180" i="27"/>
  <c r="Q179" i="27"/>
  <c r="P179" i="27"/>
  <c r="O179" i="27"/>
  <c r="N179" i="27"/>
  <c r="M179" i="27"/>
  <c r="L179" i="27"/>
  <c r="K179" i="27"/>
  <c r="J179" i="27"/>
  <c r="I179" i="27"/>
  <c r="H179" i="27"/>
  <c r="G179" i="27"/>
  <c r="Q178" i="27"/>
  <c r="P178" i="27"/>
  <c r="O178" i="27"/>
  <c r="N178" i="27"/>
  <c r="M178" i="27"/>
  <c r="L178" i="27"/>
  <c r="K178" i="27"/>
  <c r="J178" i="27"/>
  <c r="I178" i="27"/>
  <c r="H178" i="27"/>
  <c r="G178" i="27"/>
  <c r="Q177" i="27"/>
  <c r="P177" i="27"/>
  <c r="O177" i="27"/>
  <c r="N177" i="27"/>
  <c r="M177" i="27"/>
  <c r="L177" i="27"/>
  <c r="K177" i="27"/>
  <c r="J177" i="27"/>
  <c r="I177" i="27"/>
  <c r="H177" i="27"/>
  <c r="G177" i="27"/>
  <c r="Q176" i="27"/>
  <c r="P176" i="27"/>
  <c r="O176" i="27"/>
  <c r="N176" i="27"/>
  <c r="M176" i="27"/>
  <c r="L176" i="27"/>
  <c r="K176" i="27"/>
  <c r="J176" i="27"/>
  <c r="I176" i="27"/>
  <c r="H176" i="27"/>
  <c r="G176" i="27"/>
  <c r="Q175" i="27"/>
  <c r="P175" i="27"/>
  <c r="O175" i="27"/>
  <c r="N175" i="27"/>
  <c r="M175" i="27"/>
  <c r="L175" i="27"/>
  <c r="K175" i="27"/>
  <c r="J175" i="27"/>
  <c r="I175" i="27"/>
  <c r="H175" i="27"/>
  <c r="G175" i="27"/>
  <c r="Q174" i="27"/>
  <c r="P174" i="27"/>
  <c r="O174" i="27"/>
  <c r="N174" i="27"/>
  <c r="M174" i="27"/>
  <c r="L174" i="27"/>
  <c r="K174" i="27"/>
  <c r="J174" i="27"/>
  <c r="I174" i="27"/>
  <c r="H174" i="27"/>
  <c r="G174" i="27"/>
  <c r="Q173" i="27"/>
  <c r="P173" i="27"/>
  <c r="O173" i="27"/>
  <c r="N173" i="27"/>
  <c r="M173" i="27"/>
  <c r="L173" i="27"/>
  <c r="K173" i="27"/>
  <c r="J173" i="27"/>
  <c r="I173" i="27"/>
  <c r="H173" i="27"/>
  <c r="G173" i="27"/>
  <c r="Q172" i="27"/>
  <c r="P172" i="27"/>
  <c r="O172" i="27"/>
  <c r="N172" i="27"/>
  <c r="M172" i="27"/>
  <c r="L172" i="27"/>
  <c r="K172" i="27"/>
  <c r="J172" i="27"/>
  <c r="I172" i="27"/>
  <c r="H172" i="27"/>
  <c r="G172" i="27"/>
  <c r="Q171" i="27"/>
  <c r="P171" i="27"/>
  <c r="O171" i="27"/>
  <c r="N171" i="27"/>
  <c r="M171" i="27"/>
  <c r="L171" i="27"/>
  <c r="K171" i="27"/>
  <c r="J171" i="27"/>
  <c r="I171" i="27"/>
  <c r="H171" i="27"/>
  <c r="G171" i="27"/>
  <c r="Q170" i="27"/>
  <c r="P170" i="27"/>
  <c r="O170" i="27"/>
  <c r="N170" i="27"/>
  <c r="M170" i="27"/>
  <c r="L170" i="27"/>
  <c r="K170" i="27"/>
  <c r="J170" i="27"/>
  <c r="I170" i="27"/>
  <c r="H170" i="27"/>
  <c r="G170" i="27"/>
  <c r="Q169" i="27"/>
  <c r="P169" i="27"/>
  <c r="O169" i="27"/>
  <c r="N169" i="27"/>
  <c r="M169" i="27"/>
  <c r="L169" i="27"/>
  <c r="K169" i="27"/>
  <c r="J169" i="27"/>
  <c r="I169" i="27"/>
  <c r="H169" i="27"/>
  <c r="G169" i="27"/>
  <c r="Q168" i="27"/>
  <c r="P168" i="27"/>
  <c r="O168" i="27"/>
  <c r="N168" i="27"/>
  <c r="M168" i="27"/>
  <c r="L168" i="27"/>
  <c r="K168" i="27"/>
  <c r="J168" i="27"/>
  <c r="I168" i="27"/>
  <c r="H168" i="27"/>
  <c r="G168" i="27"/>
  <c r="Q167" i="27"/>
  <c r="P167" i="27"/>
  <c r="O167" i="27"/>
  <c r="N167" i="27"/>
  <c r="M167" i="27"/>
  <c r="L167" i="27"/>
  <c r="K167" i="27"/>
  <c r="J167" i="27"/>
  <c r="I167" i="27"/>
  <c r="H167" i="27"/>
  <c r="G167" i="27"/>
  <c r="Q166" i="27"/>
  <c r="P166" i="27"/>
  <c r="O166" i="27"/>
  <c r="N166" i="27"/>
  <c r="M166" i="27"/>
  <c r="L166" i="27"/>
  <c r="K166" i="27"/>
  <c r="J166" i="27"/>
  <c r="I166" i="27"/>
  <c r="H166" i="27"/>
  <c r="G166" i="27"/>
  <c r="Q165" i="27"/>
  <c r="P165" i="27"/>
  <c r="O165" i="27"/>
  <c r="N165" i="27"/>
  <c r="M165" i="27"/>
  <c r="L165" i="27"/>
  <c r="K165" i="27"/>
  <c r="J165" i="27"/>
  <c r="I165" i="27"/>
  <c r="H165" i="27"/>
  <c r="G165" i="27"/>
  <c r="Q164" i="27"/>
  <c r="P164" i="27"/>
  <c r="O164" i="27"/>
  <c r="N164" i="27"/>
  <c r="M164" i="27"/>
  <c r="L164" i="27"/>
  <c r="K164" i="27"/>
  <c r="J164" i="27"/>
  <c r="I164" i="27"/>
  <c r="H164" i="27"/>
  <c r="G164" i="27"/>
  <c r="Q163" i="27"/>
  <c r="P163" i="27"/>
  <c r="O163" i="27"/>
  <c r="N163" i="27"/>
  <c r="M163" i="27"/>
  <c r="L163" i="27"/>
  <c r="K163" i="27"/>
  <c r="J163" i="27"/>
  <c r="I163" i="27"/>
  <c r="H163" i="27"/>
  <c r="G163" i="27"/>
  <c r="Q162" i="27"/>
  <c r="P162" i="27"/>
  <c r="O162" i="27"/>
  <c r="N162" i="27"/>
  <c r="M162" i="27"/>
  <c r="L162" i="27"/>
  <c r="K162" i="27"/>
  <c r="J162" i="27"/>
  <c r="I162" i="27"/>
  <c r="H162" i="27"/>
  <c r="G162" i="27"/>
  <c r="Q161" i="27"/>
  <c r="P161" i="27"/>
  <c r="O161" i="27"/>
  <c r="N161" i="27"/>
  <c r="M161" i="27"/>
  <c r="L161" i="27"/>
  <c r="K161" i="27"/>
  <c r="J161" i="27"/>
  <c r="I161" i="27"/>
  <c r="H161" i="27"/>
  <c r="G161" i="27"/>
  <c r="Q160" i="27"/>
  <c r="P160" i="27"/>
  <c r="O160" i="27"/>
  <c r="N160" i="27"/>
  <c r="M160" i="27"/>
  <c r="L160" i="27"/>
  <c r="K160" i="27"/>
  <c r="J160" i="27"/>
  <c r="I160" i="27"/>
  <c r="H160" i="27"/>
  <c r="G160" i="27"/>
  <c r="Q159" i="27"/>
  <c r="P159" i="27"/>
  <c r="O159" i="27"/>
  <c r="N159" i="27"/>
  <c r="M159" i="27"/>
  <c r="L159" i="27"/>
  <c r="K159" i="27"/>
  <c r="J159" i="27"/>
  <c r="I159" i="27"/>
  <c r="H159" i="27"/>
  <c r="G159" i="27"/>
  <c r="Q158" i="27"/>
  <c r="P158" i="27"/>
  <c r="O158" i="27"/>
  <c r="N158" i="27"/>
  <c r="M158" i="27"/>
  <c r="L158" i="27"/>
  <c r="K158" i="27"/>
  <c r="J158" i="27"/>
  <c r="I158" i="27"/>
  <c r="H158" i="27"/>
  <c r="G158" i="27"/>
  <c r="Q157" i="27"/>
  <c r="P157" i="27"/>
  <c r="O157" i="27"/>
  <c r="N157" i="27"/>
  <c r="M157" i="27"/>
  <c r="L157" i="27"/>
  <c r="K157" i="27"/>
  <c r="J157" i="27"/>
  <c r="I157" i="27"/>
  <c r="H157" i="27"/>
  <c r="G157" i="27"/>
  <c r="Q156" i="27"/>
  <c r="P156" i="27"/>
  <c r="O156" i="27"/>
  <c r="N156" i="27"/>
  <c r="M156" i="27"/>
  <c r="L156" i="27"/>
  <c r="K156" i="27"/>
  <c r="J156" i="27"/>
  <c r="I156" i="27"/>
  <c r="H156" i="27"/>
  <c r="G156" i="27"/>
  <c r="Q155" i="27"/>
  <c r="P155" i="27"/>
  <c r="O155" i="27"/>
  <c r="N155" i="27"/>
  <c r="M155" i="27"/>
  <c r="L155" i="27"/>
  <c r="K155" i="27"/>
  <c r="J155" i="27"/>
  <c r="I155" i="27"/>
  <c r="H155" i="27"/>
  <c r="G155" i="27"/>
  <c r="Q154" i="27"/>
  <c r="P154" i="27"/>
  <c r="O154" i="27"/>
  <c r="N154" i="27"/>
  <c r="M154" i="27"/>
  <c r="L154" i="27"/>
  <c r="K154" i="27"/>
  <c r="J154" i="27"/>
  <c r="I154" i="27"/>
  <c r="H154" i="27"/>
  <c r="G154" i="27"/>
  <c r="Q153" i="27"/>
  <c r="P153" i="27"/>
  <c r="O153" i="27"/>
  <c r="N153" i="27"/>
  <c r="M153" i="27"/>
  <c r="L153" i="27"/>
  <c r="K153" i="27"/>
  <c r="J153" i="27"/>
  <c r="I153" i="27"/>
  <c r="H153" i="27"/>
  <c r="G153" i="27"/>
  <c r="Q152" i="27"/>
  <c r="P152" i="27"/>
  <c r="O152" i="27"/>
  <c r="N152" i="27"/>
  <c r="M152" i="27"/>
  <c r="L152" i="27"/>
  <c r="K152" i="27"/>
  <c r="J152" i="27"/>
  <c r="I152" i="27"/>
  <c r="H152" i="27"/>
  <c r="G152" i="27"/>
  <c r="Q151" i="27"/>
  <c r="P151" i="27"/>
  <c r="O151" i="27"/>
  <c r="N151" i="27"/>
  <c r="M151" i="27"/>
  <c r="L151" i="27"/>
  <c r="K151" i="27"/>
  <c r="J151" i="27"/>
  <c r="I151" i="27"/>
  <c r="H151" i="27"/>
  <c r="G151" i="27"/>
  <c r="Q150" i="27"/>
  <c r="P150" i="27"/>
  <c r="O150" i="27"/>
  <c r="N150" i="27"/>
  <c r="M150" i="27"/>
  <c r="L150" i="27"/>
  <c r="K150" i="27"/>
  <c r="J150" i="27"/>
  <c r="I150" i="27"/>
  <c r="H150" i="27"/>
  <c r="G150" i="27"/>
  <c r="Q149" i="27"/>
  <c r="P149" i="27"/>
  <c r="O149" i="27"/>
  <c r="N149" i="27"/>
  <c r="M149" i="27"/>
  <c r="L149" i="27"/>
  <c r="K149" i="27"/>
  <c r="J149" i="27"/>
  <c r="I149" i="27"/>
  <c r="H149" i="27"/>
  <c r="G149" i="27"/>
  <c r="Q148" i="27"/>
  <c r="P148" i="27"/>
  <c r="O148" i="27"/>
  <c r="N148" i="27"/>
  <c r="M148" i="27"/>
  <c r="L148" i="27"/>
  <c r="K148" i="27"/>
  <c r="J148" i="27"/>
  <c r="I148" i="27"/>
  <c r="H148" i="27"/>
  <c r="G148" i="27"/>
  <c r="Q147" i="27"/>
  <c r="P147" i="27"/>
  <c r="O147" i="27"/>
  <c r="N147" i="27"/>
  <c r="M147" i="27"/>
  <c r="L147" i="27"/>
  <c r="K147" i="27"/>
  <c r="J147" i="27"/>
  <c r="I147" i="27"/>
  <c r="H147" i="27"/>
  <c r="G147" i="27"/>
  <c r="Q146" i="27"/>
  <c r="P146" i="27"/>
  <c r="O146" i="27"/>
  <c r="N146" i="27"/>
  <c r="M146" i="27"/>
  <c r="L146" i="27"/>
  <c r="K146" i="27"/>
  <c r="J146" i="27"/>
  <c r="I146" i="27"/>
  <c r="H146" i="27"/>
  <c r="G146" i="27"/>
  <c r="Q145" i="27"/>
  <c r="P145" i="27"/>
  <c r="O145" i="27"/>
  <c r="N145" i="27"/>
  <c r="M145" i="27"/>
  <c r="L145" i="27"/>
  <c r="K145" i="27"/>
  <c r="J145" i="27"/>
  <c r="I145" i="27"/>
  <c r="H145" i="27"/>
  <c r="G145" i="27"/>
  <c r="Q144" i="27"/>
  <c r="P144" i="27"/>
  <c r="O144" i="27"/>
  <c r="N144" i="27"/>
  <c r="M144" i="27"/>
  <c r="L144" i="27"/>
  <c r="K144" i="27"/>
  <c r="J144" i="27"/>
  <c r="I144" i="27"/>
  <c r="H144" i="27"/>
  <c r="G144" i="27"/>
  <c r="Q143" i="27"/>
  <c r="P143" i="27"/>
  <c r="O143" i="27"/>
  <c r="N143" i="27"/>
  <c r="M143" i="27"/>
  <c r="L143" i="27"/>
  <c r="K143" i="27"/>
  <c r="J143" i="27"/>
  <c r="I143" i="27"/>
  <c r="H143" i="27"/>
  <c r="G143" i="27"/>
  <c r="Q142" i="27"/>
  <c r="P142" i="27"/>
  <c r="O142" i="27"/>
  <c r="N142" i="27"/>
  <c r="M142" i="27"/>
  <c r="L142" i="27"/>
  <c r="K142" i="27"/>
  <c r="J142" i="27"/>
  <c r="I142" i="27"/>
  <c r="H142" i="27"/>
  <c r="G142" i="27"/>
  <c r="Q141" i="27"/>
  <c r="P141" i="27"/>
  <c r="O141" i="27"/>
  <c r="N141" i="27"/>
  <c r="M141" i="27"/>
  <c r="L141" i="27"/>
  <c r="K141" i="27"/>
  <c r="J141" i="27"/>
  <c r="I141" i="27"/>
  <c r="H141" i="27"/>
  <c r="G141" i="27"/>
  <c r="Q140" i="27"/>
  <c r="P140" i="27"/>
  <c r="O140" i="27"/>
  <c r="N140" i="27"/>
  <c r="M140" i="27"/>
  <c r="L140" i="27"/>
  <c r="K140" i="27"/>
  <c r="J140" i="27"/>
  <c r="I140" i="27"/>
  <c r="H140" i="27"/>
  <c r="G140" i="27"/>
  <c r="Q139" i="27"/>
  <c r="P139" i="27"/>
  <c r="O139" i="27"/>
  <c r="N139" i="27"/>
  <c r="M139" i="27"/>
  <c r="L139" i="27"/>
  <c r="K139" i="27"/>
  <c r="J139" i="27"/>
  <c r="I139" i="27"/>
  <c r="H139" i="27"/>
  <c r="G139" i="27"/>
  <c r="Q138" i="27"/>
  <c r="P138" i="27"/>
  <c r="O138" i="27"/>
  <c r="N138" i="27"/>
  <c r="M138" i="27"/>
  <c r="L138" i="27"/>
  <c r="K138" i="27"/>
  <c r="J138" i="27"/>
  <c r="I138" i="27"/>
  <c r="H138" i="27"/>
  <c r="G138" i="27"/>
  <c r="Q137" i="27"/>
  <c r="P137" i="27"/>
  <c r="O137" i="27"/>
  <c r="N137" i="27"/>
  <c r="M137" i="27"/>
  <c r="L137" i="27"/>
  <c r="K137" i="27"/>
  <c r="J137" i="27"/>
  <c r="I137" i="27"/>
  <c r="H137" i="27"/>
  <c r="G137" i="27"/>
  <c r="Q136" i="27"/>
  <c r="P136" i="27"/>
  <c r="O136" i="27"/>
  <c r="N136" i="27"/>
  <c r="M136" i="27"/>
  <c r="L136" i="27"/>
  <c r="K136" i="27"/>
  <c r="J136" i="27"/>
  <c r="I136" i="27"/>
  <c r="H136" i="27"/>
  <c r="G136" i="27"/>
  <c r="Q135" i="27"/>
  <c r="P135" i="27"/>
  <c r="O135" i="27"/>
  <c r="N135" i="27"/>
  <c r="M135" i="27"/>
  <c r="L135" i="27"/>
  <c r="K135" i="27"/>
  <c r="J135" i="27"/>
  <c r="I135" i="27"/>
  <c r="H135" i="27"/>
  <c r="G135" i="27"/>
  <c r="Q134" i="27"/>
  <c r="P134" i="27"/>
  <c r="O134" i="27"/>
  <c r="N134" i="27"/>
  <c r="M134" i="27"/>
  <c r="L134" i="27"/>
  <c r="K134" i="27"/>
  <c r="J134" i="27"/>
  <c r="I134" i="27"/>
  <c r="H134" i="27"/>
  <c r="G134" i="27"/>
  <c r="Q133" i="27"/>
  <c r="P133" i="27"/>
  <c r="O133" i="27"/>
  <c r="N133" i="27"/>
  <c r="M133" i="27"/>
  <c r="L133" i="27"/>
  <c r="K133" i="27"/>
  <c r="J133" i="27"/>
  <c r="I133" i="27"/>
  <c r="H133" i="27"/>
  <c r="G133" i="27"/>
  <c r="Q132" i="27"/>
  <c r="P132" i="27"/>
  <c r="O132" i="27"/>
  <c r="N132" i="27"/>
  <c r="M132" i="27"/>
  <c r="L132" i="27"/>
  <c r="K132" i="27"/>
  <c r="J132" i="27"/>
  <c r="I132" i="27"/>
  <c r="H132" i="27"/>
  <c r="G132" i="27"/>
  <c r="Q131" i="27"/>
  <c r="P131" i="27"/>
  <c r="O131" i="27"/>
  <c r="N131" i="27"/>
  <c r="M131" i="27"/>
  <c r="L131" i="27"/>
  <c r="K131" i="27"/>
  <c r="J131" i="27"/>
  <c r="I131" i="27"/>
  <c r="H131" i="27"/>
  <c r="G131" i="27"/>
  <c r="Q130" i="27"/>
  <c r="P130" i="27"/>
  <c r="O130" i="27"/>
  <c r="N130" i="27"/>
  <c r="M130" i="27"/>
  <c r="L130" i="27"/>
  <c r="K130" i="27"/>
  <c r="J130" i="27"/>
  <c r="I130" i="27"/>
  <c r="H130" i="27"/>
  <c r="G130" i="27"/>
  <c r="Q129" i="27"/>
  <c r="P129" i="27"/>
  <c r="O129" i="27"/>
  <c r="N129" i="27"/>
  <c r="M129" i="27"/>
  <c r="L129" i="27"/>
  <c r="K129" i="27"/>
  <c r="J129" i="27"/>
  <c r="I129" i="27"/>
  <c r="H129" i="27"/>
  <c r="G129" i="27"/>
  <c r="Q128" i="27"/>
  <c r="P128" i="27"/>
  <c r="O128" i="27"/>
  <c r="N128" i="27"/>
  <c r="M128" i="27"/>
  <c r="L128" i="27"/>
  <c r="K128" i="27"/>
  <c r="J128" i="27"/>
  <c r="I128" i="27"/>
  <c r="H128" i="27"/>
  <c r="G128" i="27"/>
  <c r="Q127" i="27"/>
  <c r="P127" i="27"/>
  <c r="O127" i="27"/>
  <c r="N127" i="27"/>
  <c r="M127" i="27"/>
  <c r="L127" i="27"/>
  <c r="K127" i="27"/>
  <c r="J127" i="27"/>
  <c r="I127" i="27"/>
  <c r="H127" i="27"/>
  <c r="G127" i="27"/>
  <c r="Q126" i="27"/>
  <c r="P126" i="27"/>
  <c r="O126" i="27"/>
  <c r="N126" i="27"/>
  <c r="M126" i="27"/>
  <c r="L126" i="27"/>
  <c r="K126" i="27"/>
  <c r="J126" i="27"/>
  <c r="I126" i="27"/>
  <c r="H126" i="27"/>
  <c r="G126" i="27"/>
  <c r="Q125" i="27"/>
  <c r="P125" i="27"/>
  <c r="O125" i="27"/>
  <c r="N125" i="27"/>
  <c r="M125" i="27"/>
  <c r="L125" i="27"/>
  <c r="K125" i="27"/>
  <c r="J125" i="27"/>
  <c r="I125" i="27"/>
  <c r="H125" i="27"/>
  <c r="G125" i="27"/>
  <c r="Q124" i="27"/>
  <c r="P124" i="27"/>
  <c r="O124" i="27"/>
  <c r="N124" i="27"/>
  <c r="M124" i="27"/>
  <c r="L124" i="27"/>
  <c r="K124" i="27"/>
  <c r="J124" i="27"/>
  <c r="I124" i="27"/>
  <c r="H124" i="27"/>
  <c r="G124" i="27"/>
  <c r="Q123" i="27"/>
  <c r="P123" i="27"/>
  <c r="O123" i="27"/>
  <c r="N123" i="27"/>
  <c r="M123" i="27"/>
  <c r="L123" i="27"/>
  <c r="K123" i="27"/>
  <c r="J123" i="27"/>
  <c r="I123" i="27"/>
  <c r="H123" i="27"/>
  <c r="G123" i="27"/>
  <c r="Q122" i="27"/>
  <c r="P122" i="27"/>
  <c r="O122" i="27"/>
  <c r="N122" i="27"/>
  <c r="M122" i="27"/>
  <c r="L122" i="27"/>
  <c r="K122" i="27"/>
  <c r="J122" i="27"/>
  <c r="I122" i="27"/>
  <c r="H122" i="27"/>
  <c r="G122" i="27"/>
  <c r="Q121" i="27"/>
  <c r="P121" i="27"/>
  <c r="O121" i="27"/>
  <c r="N121" i="27"/>
  <c r="M121" i="27"/>
  <c r="L121" i="27"/>
  <c r="K121" i="27"/>
  <c r="J121" i="27"/>
  <c r="I121" i="27"/>
  <c r="H121" i="27"/>
  <c r="G121" i="27"/>
  <c r="Q120" i="27"/>
  <c r="P120" i="27"/>
  <c r="O120" i="27"/>
  <c r="N120" i="27"/>
  <c r="M120" i="27"/>
  <c r="L120" i="27"/>
  <c r="K120" i="27"/>
  <c r="J120" i="27"/>
  <c r="I120" i="27"/>
  <c r="H120" i="27"/>
  <c r="G120" i="27"/>
  <c r="Q119" i="27"/>
  <c r="P119" i="27"/>
  <c r="O119" i="27"/>
  <c r="N119" i="27"/>
  <c r="M119" i="27"/>
  <c r="L119" i="27"/>
  <c r="K119" i="27"/>
  <c r="J119" i="27"/>
  <c r="I119" i="27"/>
  <c r="H119" i="27"/>
  <c r="G119" i="27"/>
  <c r="Q118" i="27"/>
  <c r="P118" i="27"/>
  <c r="O118" i="27"/>
  <c r="N118" i="27"/>
  <c r="M118" i="27"/>
  <c r="L118" i="27"/>
  <c r="K118" i="27"/>
  <c r="J118" i="27"/>
  <c r="I118" i="27"/>
  <c r="H118" i="27"/>
  <c r="G118" i="27"/>
  <c r="Q117" i="27"/>
  <c r="P117" i="27"/>
  <c r="O117" i="27"/>
  <c r="N117" i="27"/>
  <c r="M117" i="27"/>
  <c r="L117" i="27"/>
  <c r="K117" i="27"/>
  <c r="J117" i="27"/>
  <c r="I117" i="27"/>
  <c r="H117" i="27"/>
  <c r="G117" i="27"/>
  <c r="Q116" i="27"/>
  <c r="P116" i="27"/>
  <c r="O116" i="27"/>
  <c r="N116" i="27"/>
  <c r="M116" i="27"/>
  <c r="L116" i="27"/>
  <c r="K116" i="27"/>
  <c r="J116" i="27"/>
  <c r="I116" i="27"/>
  <c r="H116" i="27"/>
  <c r="G116" i="27"/>
  <c r="Q115" i="27"/>
  <c r="P115" i="27"/>
  <c r="O115" i="27"/>
  <c r="N115" i="27"/>
  <c r="M115" i="27"/>
  <c r="L115" i="27"/>
  <c r="K115" i="27"/>
  <c r="J115" i="27"/>
  <c r="I115" i="27"/>
  <c r="H115" i="27"/>
  <c r="G115" i="27"/>
  <c r="Q114" i="27"/>
  <c r="P114" i="27"/>
  <c r="O114" i="27"/>
  <c r="N114" i="27"/>
  <c r="M114" i="27"/>
  <c r="L114" i="27"/>
  <c r="K114" i="27"/>
  <c r="J114" i="27"/>
  <c r="I114" i="27"/>
  <c r="H114" i="27"/>
  <c r="G114" i="27"/>
  <c r="Q113" i="27"/>
  <c r="P113" i="27"/>
  <c r="O113" i="27"/>
  <c r="N113" i="27"/>
  <c r="M113" i="27"/>
  <c r="L113" i="27"/>
  <c r="K113" i="27"/>
  <c r="J113" i="27"/>
  <c r="I113" i="27"/>
  <c r="H113" i="27"/>
  <c r="G113" i="27"/>
  <c r="Q112" i="27"/>
  <c r="P112" i="27"/>
  <c r="O112" i="27"/>
  <c r="N112" i="27"/>
  <c r="M112" i="27"/>
  <c r="L112" i="27"/>
  <c r="K112" i="27"/>
  <c r="J112" i="27"/>
  <c r="I112" i="27"/>
  <c r="H112" i="27"/>
  <c r="G112" i="27"/>
  <c r="Q111" i="27"/>
  <c r="P111" i="27"/>
  <c r="O111" i="27"/>
  <c r="N111" i="27"/>
  <c r="M111" i="27"/>
  <c r="L111" i="27"/>
  <c r="K111" i="27"/>
  <c r="J111" i="27"/>
  <c r="I111" i="27"/>
  <c r="H111" i="27"/>
  <c r="G111" i="27"/>
  <c r="Q110" i="27"/>
  <c r="P110" i="27"/>
  <c r="O110" i="27"/>
  <c r="N110" i="27"/>
  <c r="M110" i="27"/>
  <c r="L110" i="27"/>
  <c r="K110" i="27"/>
  <c r="J110" i="27"/>
  <c r="I110" i="27"/>
  <c r="H110" i="27"/>
  <c r="G110" i="27"/>
  <c r="Q109" i="27"/>
  <c r="P109" i="27"/>
  <c r="O109" i="27"/>
  <c r="N109" i="27"/>
  <c r="M109" i="27"/>
  <c r="L109" i="27"/>
  <c r="K109" i="27"/>
  <c r="J109" i="27"/>
  <c r="I109" i="27"/>
  <c r="H109" i="27"/>
  <c r="G109" i="27"/>
  <c r="Q108" i="27"/>
  <c r="P108" i="27"/>
  <c r="O108" i="27"/>
  <c r="N108" i="27"/>
  <c r="M108" i="27"/>
  <c r="L108" i="27"/>
  <c r="K108" i="27"/>
  <c r="J108" i="27"/>
  <c r="I108" i="27"/>
  <c r="H108" i="27"/>
  <c r="G108" i="27"/>
  <c r="Q107" i="27"/>
  <c r="P107" i="27"/>
  <c r="O107" i="27"/>
  <c r="N107" i="27"/>
  <c r="M107" i="27"/>
  <c r="L107" i="27"/>
  <c r="K107" i="27"/>
  <c r="J107" i="27"/>
  <c r="I107" i="27"/>
  <c r="H107" i="27"/>
  <c r="G107" i="27"/>
  <c r="Q106" i="27"/>
  <c r="P106" i="27"/>
  <c r="O106" i="27"/>
  <c r="N106" i="27"/>
  <c r="M106" i="27"/>
  <c r="L106" i="27"/>
  <c r="K106" i="27"/>
  <c r="J106" i="27"/>
  <c r="I106" i="27"/>
  <c r="H106" i="27"/>
  <c r="G106" i="27"/>
  <c r="Q105" i="27"/>
  <c r="P105" i="27"/>
  <c r="O105" i="27"/>
  <c r="N105" i="27"/>
  <c r="M105" i="27"/>
  <c r="L105" i="27"/>
  <c r="K105" i="27"/>
  <c r="J105" i="27"/>
  <c r="I105" i="27"/>
  <c r="H105" i="27"/>
  <c r="G105" i="27"/>
  <c r="Q104" i="27"/>
  <c r="P104" i="27"/>
  <c r="O104" i="27"/>
  <c r="N104" i="27"/>
  <c r="M104" i="27"/>
  <c r="L104" i="27"/>
  <c r="K104" i="27"/>
  <c r="J104" i="27"/>
  <c r="I104" i="27"/>
  <c r="H104" i="27"/>
  <c r="G104" i="27"/>
  <c r="Q103" i="27"/>
  <c r="P103" i="27"/>
  <c r="O103" i="27"/>
  <c r="N103" i="27"/>
  <c r="M103" i="27"/>
  <c r="L103" i="27"/>
  <c r="K103" i="27"/>
  <c r="J103" i="27"/>
  <c r="I103" i="27"/>
  <c r="H103" i="27"/>
  <c r="G103" i="27"/>
  <c r="Q102" i="27"/>
  <c r="P102" i="27"/>
  <c r="O102" i="27"/>
  <c r="N102" i="27"/>
  <c r="M102" i="27"/>
  <c r="L102" i="27"/>
  <c r="K102" i="27"/>
  <c r="J102" i="27"/>
  <c r="I102" i="27"/>
  <c r="H102" i="27"/>
  <c r="G102" i="27"/>
  <c r="Q101" i="27"/>
  <c r="P101" i="27"/>
  <c r="O101" i="27"/>
  <c r="N101" i="27"/>
  <c r="M101" i="27"/>
  <c r="L101" i="27"/>
  <c r="K101" i="27"/>
  <c r="J101" i="27"/>
  <c r="I101" i="27"/>
  <c r="H101" i="27"/>
  <c r="G101" i="27"/>
  <c r="Q100" i="27"/>
  <c r="P100" i="27"/>
  <c r="O100" i="27"/>
  <c r="N100" i="27"/>
  <c r="M100" i="27"/>
  <c r="L100" i="27"/>
  <c r="K100" i="27"/>
  <c r="J100" i="27"/>
  <c r="I100" i="27"/>
  <c r="H100" i="27"/>
  <c r="G100" i="27"/>
  <c r="Q99" i="27"/>
  <c r="P99" i="27"/>
  <c r="O99" i="27"/>
  <c r="N99" i="27"/>
  <c r="M99" i="27"/>
  <c r="L99" i="27"/>
  <c r="K99" i="27"/>
  <c r="J99" i="27"/>
  <c r="I99" i="27"/>
  <c r="H99" i="27"/>
  <c r="G99" i="27"/>
  <c r="Q98" i="27"/>
  <c r="P98" i="27"/>
  <c r="O98" i="27"/>
  <c r="N98" i="27"/>
  <c r="M98" i="27"/>
  <c r="L98" i="27"/>
  <c r="K98" i="27"/>
  <c r="J98" i="27"/>
  <c r="I98" i="27"/>
  <c r="H98" i="27"/>
  <c r="G98" i="27"/>
  <c r="Q97" i="27"/>
  <c r="P97" i="27"/>
  <c r="O97" i="27"/>
  <c r="N97" i="27"/>
  <c r="M97" i="27"/>
  <c r="L97" i="27"/>
  <c r="K97" i="27"/>
  <c r="J97" i="27"/>
  <c r="I97" i="27"/>
  <c r="H97" i="27"/>
  <c r="G97" i="27"/>
  <c r="Q96" i="27"/>
  <c r="P96" i="27"/>
  <c r="O96" i="27"/>
  <c r="N96" i="27"/>
  <c r="M96" i="27"/>
  <c r="L96" i="27"/>
  <c r="K96" i="27"/>
  <c r="J96" i="27"/>
  <c r="I96" i="27"/>
  <c r="H96" i="27"/>
  <c r="G96" i="27"/>
  <c r="Q95" i="27"/>
  <c r="P95" i="27"/>
  <c r="O95" i="27"/>
  <c r="N95" i="27"/>
  <c r="M95" i="27"/>
  <c r="L95" i="27"/>
  <c r="K95" i="27"/>
  <c r="J95" i="27"/>
  <c r="I95" i="27"/>
  <c r="H95" i="27"/>
  <c r="G95" i="27"/>
  <c r="Q94" i="27"/>
  <c r="P94" i="27"/>
  <c r="O94" i="27"/>
  <c r="N94" i="27"/>
  <c r="M94" i="27"/>
  <c r="L94" i="27"/>
  <c r="K94" i="27"/>
  <c r="J94" i="27"/>
  <c r="I94" i="27"/>
  <c r="H94" i="27"/>
  <c r="G94" i="27"/>
  <c r="Q93" i="27"/>
  <c r="P93" i="27"/>
  <c r="O93" i="27"/>
  <c r="N93" i="27"/>
  <c r="M93" i="27"/>
  <c r="L93" i="27"/>
  <c r="K93" i="27"/>
  <c r="J93" i="27"/>
  <c r="I93" i="27"/>
  <c r="H93" i="27"/>
  <c r="G93" i="27"/>
  <c r="Q92" i="27"/>
  <c r="P92" i="27"/>
  <c r="O92" i="27"/>
  <c r="N92" i="27"/>
  <c r="M92" i="27"/>
  <c r="L92" i="27"/>
  <c r="K92" i="27"/>
  <c r="J92" i="27"/>
  <c r="I92" i="27"/>
  <c r="H92" i="27"/>
  <c r="G92" i="27"/>
  <c r="Q91" i="27"/>
  <c r="P91" i="27"/>
  <c r="O91" i="27"/>
  <c r="N91" i="27"/>
  <c r="M91" i="27"/>
  <c r="L91" i="27"/>
  <c r="K91" i="27"/>
  <c r="J91" i="27"/>
  <c r="I91" i="27"/>
  <c r="H91" i="27"/>
  <c r="G91" i="27"/>
  <c r="Q90" i="27"/>
  <c r="P90" i="27"/>
  <c r="O90" i="27"/>
  <c r="N90" i="27"/>
  <c r="M90" i="27"/>
  <c r="L90" i="27"/>
  <c r="K90" i="27"/>
  <c r="J90" i="27"/>
  <c r="I90" i="27"/>
  <c r="H90" i="27"/>
  <c r="G90" i="27"/>
  <c r="Q89" i="27"/>
  <c r="P89" i="27"/>
  <c r="O89" i="27"/>
  <c r="N89" i="27"/>
  <c r="M89" i="27"/>
  <c r="L89" i="27"/>
  <c r="K89" i="27"/>
  <c r="J89" i="27"/>
  <c r="I89" i="27"/>
  <c r="H89" i="27"/>
  <c r="G89" i="27"/>
  <c r="Q88" i="27"/>
  <c r="P88" i="27"/>
  <c r="O88" i="27"/>
  <c r="N88" i="27"/>
  <c r="M88" i="27"/>
  <c r="L88" i="27"/>
  <c r="K88" i="27"/>
  <c r="J88" i="27"/>
  <c r="I88" i="27"/>
  <c r="H88" i="27"/>
  <c r="G88" i="27"/>
  <c r="Q87" i="27"/>
  <c r="P87" i="27"/>
  <c r="O87" i="27"/>
  <c r="N87" i="27"/>
  <c r="M87" i="27"/>
  <c r="L87" i="27"/>
  <c r="K87" i="27"/>
  <c r="J87" i="27"/>
  <c r="I87" i="27"/>
  <c r="H87" i="27"/>
  <c r="G87" i="27"/>
  <c r="Q86" i="27"/>
  <c r="P86" i="27"/>
  <c r="O86" i="27"/>
  <c r="N86" i="27"/>
  <c r="M86" i="27"/>
  <c r="L86" i="27"/>
  <c r="K86" i="27"/>
  <c r="J86" i="27"/>
  <c r="I86" i="27"/>
  <c r="H86" i="27"/>
  <c r="G86" i="27"/>
  <c r="Q85" i="27"/>
  <c r="P85" i="27"/>
  <c r="O85" i="27"/>
  <c r="N85" i="27"/>
  <c r="M85" i="27"/>
  <c r="L85" i="27"/>
  <c r="K85" i="27"/>
  <c r="J85" i="27"/>
  <c r="I85" i="27"/>
  <c r="H85" i="27"/>
  <c r="G85" i="27"/>
  <c r="Q84" i="27"/>
  <c r="P84" i="27"/>
  <c r="O84" i="27"/>
  <c r="N84" i="27"/>
  <c r="M84" i="27"/>
  <c r="L84" i="27"/>
  <c r="K84" i="27"/>
  <c r="J84" i="27"/>
  <c r="I84" i="27"/>
  <c r="H84" i="27"/>
  <c r="G84" i="27"/>
  <c r="Q83" i="27"/>
  <c r="P83" i="27"/>
  <c r="O83" i="27"/>
  <c r="N83" i="27"/>
  <c r="M83" i="27"/>
  <c r="L83" i="27"/>
  <c r="K83" i="27"/>
  <c r="J83" i="27"/>
  <c r="I83" i="27"/>
  <c r="H83" i="27"/>
  <c r="G83" i="27"/>
  <c r="Q82" i="27"/>
  <c r="P82" i="27"/>
  <c r="O82" i="27"/>
  <c r="N82" i="27"/>
  <c r="M82" i="27"/>
  <c r="L82" i="27"/>
  <c r="K82" i="27"/>
  <c r="J82" i="27"/>
  <c r="I82" i="27"/>
  <c r="H82" i="27"/>
  <c r="G82" i="27"/>
  <c r="Q81" i="27"/>
  <c r="P81" i="27"/>
  <c r="O81" i="27"/>
  <c r="N81" i="27"/>
  <c r="M81" i="27"/>
  <c r="L81" i="27"/>
  <c r="K81" i="27"/>
  <c r="J81" i="27"/>
  <c r="I81" i="27"/>
  <c r="H81" i="27"/>
  <c r="G81" i="27"/>
  <c r="Q80" i="27"/>
  <c r="P80" i="27"/>
  <c r="O80" i="27"/>
  <c r="N80" i="27"/>
  <c r="M80" i="27"/>
  <c r="L80" i="27"/>
  <c r="K80" i="27"/>
  <c r="J80" i="27"/>
  <c r="I80" i="27"/>
  <c r="H80" i="27"/>
  <c r="G80" i="27"/>
  <c r="Q79" i="27"/>
  <c r="P79" i="27"/>
  <c r="O79" i="27"/>
  <c r="N79" i="27"/>
  <c r="M79" i="27"/>
  <c r="L79" i="27"/>
  <c r="K79" i="27"/>
  <c r="J79" i="27"/>
  <c r="I79" i="27"/>
  <c r="H79" i="27"/>
  <c r="G79" i="27"/>
  <c r="Q78" i="27"/>
  <c r="P78" i="27"/>
  <c r="O78" i="27"/>
  <c r="N78" i="27"/>
  <c r="M78" i="27"/>
  <c r="L78" i="27"/>
  <c r="K78" i="27"/>
  <c r="J78" i="27"/>
  <c r="I78" i="27"/>
  <c r="H78" i="27"/>
  <c r="G78" i="27"/>
  <c r="Q77" i="27"/>
  <c r="P77" i="27"/>
  <c r="O77" i="27"/>
  <c r="N77" i="27"/>
  <c r="M77" i="27"/>
  <c r="L77" i="27"/>
  <c r="K77" i="27"/>
  <c r="J77" i="27"/>
  <c r="I77" i="27"/>
  <c r="H77" i="27"/>
  <c r="G77" i="27"/>
  <c r="Q76" i="27"/>
  <c r="P76" i="27"/>
  <c r="O76" i="27"/>
  <c r="N76" i="27"/>
  <c r="M76" i="27"/>
  <c r="L76" i="27"/>
  <c r="K76" i="27"/>
  <c r="J76" i="27"/>
  <c r="I76" i="27"/>
  <c r="H76" i="27"/>
  <c r="G76" i="27"/>
  <c r="Q75" i="27"/>
  <c r="P75" i="27"/>
  <c r="O75" i="27"/>
  <c r="N75" i="27"/>
  <c r="M75" i="27"/>
  <c r="L75" i="27"/>
  <c r="K75" i="27"/>
  <c r="J75" i="27"/>
  <c r="I75" i="27"/>
  <c r="H75" i="27"/>
  <c r="G75" i="27"/>
  <c r="Q74" i="27"/>
  <c r="P74" i="27"/>
  <c r="O74" i="27"/>
  <c r="N74" i="27"/>
  <c r="M74" i="27"/>
  <c r="L74" i="27"/>
  <c r="K74" i="27"/>
  <c r="J74" i="27"/>
  <c r="I74" i="27"/>
  <c r="H74" i="27"/>
  <c r="G74" i="27"/>
  <c r="Q73" i="27"/>
  <c r="P73" i="27"/>
  <c r="O73" i="27"/>
  <c r="N73" i="27"/>
  <c r="M73" i="27"/>
  <c r="L73" i="27"/>
  <c r="K73" i="27"/>
  <c r="J73" i="27"/>
  <c r="I73" i="27"/>
  <c r="H73" i="27"/>
  <c r="G73" i="27"/>
  <c r="Q72" i="27"/>
  <c r="P72" i="27"/>
  <c r="O72" i="27"/>
  <c r="N72" i="27"/>
  <c r="M72" i="27"/>
  <c r="L72" i="27"/>
  <c r="K72" i="27"/>
  <c r="J72" i="27"/>
  <c r="I72" i="27"/>
  <c r="H72" i="27"/>
  <c r="G72" i="27"/>
  <c r="Q71" i="27"/>
  <c r="P71" i="27"/>
  <c r="O71" i="27"/>
  <c r="N71" i="27"/>
  <c r="M71" i="27"/>
  <c r="L71" i="27"/>
  <c r="K71" i="27"/>
  <c r="J71" i="27"/>
  <c r="I71" i="27"/>
  <c r="H71" i="27"/>
  <c r="G71" i="27"/>
  <c r="Q70" i="27"/>
  <c r="P70" i="27"/>
  <c r="O70" i="27"/>
  <c r="N70" i="27"/>
  <c r="M70" i="27"/>
  <c r="L70" i="27"/>
  <c r="K70" i="27"/>
  <c r="J70" i="27"/>
  <c r="I70" i="27"/>
  <c r="H70" i="27"/>
  <c r="G70" i="27"/>
  <c r="Q69" i="27"/>
  <c r="P69" i="27"/>
  <c r="O69" i="27"/>
  <c r="N69" i="27"/>
  <c r="M69" i="27"/>
  <c r="L69" i="27"/>
  <c r="K69" i="27"/>
  <c r="J69" i="27"/>
  <c r="I69" i="27"/>
  <c r="H69" i="27"/>
  <c r="G69" i="27"/>
  <c r="Q68" i="27"/>
  <c r="P68" i="27"/>
  <c r="O68" i="27"/>
  <c r="N68" i="27"/>
  <c r="M68" i="27"/>
  <c r="L68" i="27"/>
  <c r="K68" i="27"/>
  <c r="J68" i="27"/>
  <c r="I68" i="27"/>
  <c r="H68" i="27"/>
  <c r="G68" i="27"/>
  <c r="Q67" i="27"/>
  <c r="P67" i="27"/>
  <c r="O67" i="27"/>
  <c r="N67" i="27"/>
  <c r="M67" i="27"/>
  <c r="L67" i="27"/>
  <c r="K67" i="27"/>
  <c r="J67" i="27"/>
  <c r="I67" i="27"/>
  <c r="H67" i="27"/>
  <c r="G67" i="27"/>
  <c r="Q66" i="27"/>
  <c r="P66" i="27"/>
  <c r="O66" i="27"/>
  <c r="N66" i="27"/>
  <c r="M66" i="27"/>
  <c r="L66" i="27"/>
  <c r="K66" i="27"/>
  <c r="J66" i="27"/>
  <c r="I66" i="27"/>
  <c r="H66" i="27"/>
  <c r="G66" i="27"/>
  <c r="Q65" i="27"/>
  <c r="P65" i="27"/>
  <c r="O65" i="27"/>
  <c r="N65" i="27"/>
  <c r="M65" i="27"/>
  <c r="L65" i="27"/>
  <c r="K65" i="27"/>
  <c r="J65" i="27"/>
  <c r="I65" i="27"/>
  <c r="H65" i="27"/>
  <c r="G65" i="27"/>
  <c r="Q64" i="27"/>
  <c r="P64" i="27"/>
  <c r="O64" i="27"/>
  <c r="N64" i="27"/>
  <c r="M64" i="27"/>
  <c r="L64" i="27"/>
  <c r="K64" i="27"/>
  <c r="J64" i="27"/>
  <c r="I64" i="27"/>
  <c r="H64" i="27"/>
  <c r="G64" i="27"/>
  <c r="Q63" i="27"/>
  <c r="P63" i="27"/>
  <c r="O63" i="27"/>
  <c r="N63" i="27"/>
  <c r="M63" i="27"/>
  <c r="L63" i="27"/>
  <c r="K63" i="27"/>
  <c r="J63" i="27"/>
  <c r="I63" i="27"/>
  <c r="H63" i="27"/>
  <c r="G63" i="27"/>
  <c r="Q62" i="27"/>
  <c r="P62" i="27"/>
  <c r="O62" i="27"/>
  <c r="N62" i="27"/>
  <c r="M62" i="27"/>
  <c r="L62" i="27"/>
  <c r="K62" i="27"/>
  <c r="J62" i="27"/>
  <c r="I62" i="27"/>
  <c r="H62" i="27"/>
  <c r="G62" i="27"/>
  <c r="Q61" i="27"/>
  <c r="P61" i="27"/>
  <c r="O61" i="27"/>
  <c r="N61" i="27"/>
  <c r="M61" i="27"/>
  <c r="L61" i="27"/>
  <c r="K61" i="27"/>
  <c r="J61" i="27"/>
  <c r="I61" i="27"/>
  <c r="H61" i="27"/>
  <c r="G61" i="27"/>
  <c r="Q60" i="27"/>
  <c r="P60" i="27"/>
  <c r="O60" i="27"/>
  <c r="N60" i="27"/>
  <c r="M60" i="27"/>
  <c r="L60" i="27"/>
  <c r="K60" i="27"/>
  <c r="J60" i="27"/>
  <c r="I60" i="27"/>
  <c r="H60" i="27"/>
  <c r="G60" i="27"/>
  <c r="Q59" i="27"/>
  <c r="P59" i="27"/>
  <c r="O59" i="27"/>
  <c r="N59" i="27"/>
  <c r="M59" i="27"/>
  <c r="L59" i="27"/>
  <c r="K59" i="27"/>
  <c r="J59" i="27"/>
  <c r="I59" i="27"/>
  <c r="H59" i="27"/>
  <c r="G59" i="27"/>
  <c r="Q58" i="27"/>
  <c r="P58" i="27"/>
  <c r="O58" i="27"/>
  <c r="N58" i="27"/>
  <c r="M58" i="27"/>
  <c r="L58" i="27"/>
  <c r="K58" i="27"/>
  <c r="J58" i="27"/>
  <c r="I58" i="27"/>
  <c r="H58" i="27"/>
  <c r="G58" i="27"/>
  <c r="Q57" i="27"/>
  <c r="P57" i="27"/>
  <c r="O57" i="27"/>
  <c r="N57" i="27"/>
  <c r="M57" i="27"/>
  <c r="L57" i="27"/>
  <c r="K57" i="27"/>
  <c r="J57" i="27"/>
  <c r="I57" i="27"/>
  <c r="H57" i="27"/>
  <c r="G57" i="27"/>
  <c r="Q56" i="27"/>
  <c r="P56" i="27"/>
  <c r="O56" i="27"/>
  <c r="N56" i="27"/>
  <c r="M56" i="27"/>
  <c r="L56" i="27"/>
  <c r="K56" i="27"/>
  <c r="J56" i="27"/>
  <c r="I56" i="27"/>
  <c r="H56" i="27"/>
  <c r="G56" i="27"/>
  <c r="Q55" i="27"/>
  <c r="P55" i="27"/>
  <c r="O55" i="27"/>
  <c r="N55" i="27"/>
  <c r="M55" i="27"/>
  <c r="L55" i="27"/>
  <c r="K55" i="27"/>
  <c r="J55" i="27"/>
  <c r="I55" i="27"/>
  <c r="H55" i="27"/>
  <c r="G55" i="27"/>
  <c r="Q54" i="27"/>
  <c r="P54" i="27"/>
  <c r="O54" i="27"/>
  <c r="N54" i="27"/>
  <c r="M54" i="27"/>
  <c r="L54" i="27"/>
  <c r="K54" i="27"/>
  <c r="J54" i="27"/>
  <c r="I54" i="27"/>
  <c r="H54" i="27"/>
  <c r="G54" i="27"/>
  <c r="Q53" i="27"/>
  <c r="P53" i="27"/>
  <c r="O53" i="27"/>
  <c r="N53" i="27"/>
  <c r="M53" i="27"/>
  <c r="L53" i="27"/>
  <c r="K53" i="27"/>
  <c r="J53" i="27"/>
  <c r="I53" i="27"/>
  <c r="H53" i="27"/>
  <c r="G53" i="27"/>
  <c r="Q52" i="27"/>
  <c r="P52" i="27"/>
  <c r="O52" i="27"/>
  <c r="N52" i="27"/>
  <c r="M52" i="27"/>
  <c r="L52" i="27"/>
  <c r="K52" i="27"/>
  <c r="J52" i="27"/>
  <c r="I52" i="27"/>
  <c r="H52" i="27"/>
  <c r="G52" i="27"/>
  <c r="Q51" i="27"/>
  <c r="P51" i="27"/>
  <c r="O51" i="27"/>
  <c r="N51" i="27"/>
  <c r="M51" i="27"/>
  <c r="L51" i="27"/>
  <c r="K51" i="27"/>
  <c r="J51" i="27"/>
  <c r="I51" i="27"/>
  <c r="H51" i="27"/>
  <c r="G51" i="27"/>
  <c r="Q50" i="27"/>
  <c r="P50" i="27"/>
  <c r="O50" i="27"/>
  <c r="N50" i="27"/>
  <c r="M50" i="27"/>
  <c r="L50" i="27"/>
  <c r="K50" i="27"/>
  <c r="J50" i="27"/>
  <c r="I50" i="27"/>
  <c r="H50" i="27"/>
  <c r="G50" i="27"/>
  <c r="Q49" i="27"/>
  <c r="P49" i="27"/>
  <c r="O49" i="27"/>
  <c r="N49" i="27"/>
  <c r="M49" i="27"/>
  <c r="L49" i="27"/>
  <c r="K49" i="27"/>
  <c r="J49" i="27"/>
  <c r="I49" i="27"/>
  <c r="H49" i="27"/>
  <c r="G49" i="27"/>
  <c r="Q48" i="27"/>
  <c r="P48" i="27"/>
  <c r="O48" i="27"/>
  <c r="N48" i="27"/>
  <c r="M48" i="27"/>
  <c r="L48" i="27"/>
  <c r="K48" i="27"/>
  <c r="J48" i="27"/>
  <c r="I48" i="27"/>
  <c r="H48" i="27"/>
  <c r="G48" i="27"/>
  <c r="Q47" i="27"/>
  <c r="P47" i="27"/>
  <c r="O47" i="27"/>
  <c r="N47" i="27"/>
  <c r="M47" i="27"/>
  <c r="L47" i="27"/>
  <c r="K47" i="27"/>
  <c r="J47" i="27"/>
  <c r="I47" i="27"/>
  <c r="H47" i="27"/>
  <c r="G47" i="27"/>
  <c r="Q46" i="27"/>
  <c r="P46" i="27"/>
  <c r="O46" i="27"/>
  <c r="N46" i="27"/>
  <c r="M46" i="27"/>
  <c r="L46" i="27"/>
  <c r="K46" i="27"/>
  <c r="J46" i="27"/>
  <c r="I46" i="27"/>
  <c r="H46" i="27"/>
  <c r="G46" i="27"/>
  <c r="Q45" i="27"/>
  <c r="P45" i="27"/>
  <c r="O45" i="27"/>
  <c r="N45" i="27"/>
  <c r="M45" i="27"/>
  <c r="L45" i="27"/>
  <c r="K45" i="27"/>
  <c r="J45" i="27"/>
  <c r="I45" i="27"/>
  <c r="H45" i="27"/>
  <c r="G45" i="27"/>
  <c r="Q44" i="27"/>
  <c r="P44" i="27"/>
  <c r="O44" i="27"/>
  <c r="N44" i="27"/>
  <c r="M44" i="27"/>
  <c r="L44" i="27"/>
  <c r="K44" i="27"/>
  <c r="J44" i="27"/>
  <c r="I44" i="27"/>
  <c r="H44" i="27"/>
  <c r="G44" i="27"/>
  <c r="Q43" i="27"/>
  <c r="P43" i="27"/>
  <c r="O43" i="27"/>
  <c r="N43" i="27"/>
  <c r="M43" i="27"/>
  <c r="L43" i="27"/>
  <c r="K43" i="27"/>
  <c r="J43" i="27"/>
  <c r="I43" i="27"/>
  <c r="H43" i="27"/>
  <c r="G43" i="27"/>
  <c r="Q42" i="27"/>
  <c r="P42" i="27"/>
  <c r="O42" i="27"/>
  <c r="N42" i="27"/>
  <c r="M42" i="27"/>
  <c r="L42" i="27"/>
  <c r="K42" i="27"/>
  <c r="J42" i="27"/>
  <c r="I42" i="27"/>
  <c r="H42" i="27"/>
  <c r="G42" i="27"/>
  <c r="Q41" i="27"/>
  <c r="P41" i="27"/>
  <c r="O41" i="27"/>
  <c r="N41" i="27"/>
  <c r="M41" i="27"/>
  <c r="L41" i="27"/>
  <c r="K41" i="27"/>
  <c r="J41" i="27"/>
  <c r="I41" i="27"/>
  <c r="H41" i="27"/>
  <c r="G41" i="27"/>
  <c r="Q40" i="27"/>
  <c r="P40" i="27"/>
  <c r="O40" i="27"/>
  <c r="N40" i="27"/>
  <c r="M40" i="27"/>
  <c r="L40" i="27"/>
  <c r="K40" i="27"/>
  <c r="J40" i="27"/>
  <c r="I40" i="27"/>
  <c r="H40" i="27"/>
  <c r="G40" i="27"/>
  <c r="Q39" i="27"/>
  <c r="P39" i="27"/>
  <c r="O39" i="27"/>
  <c r="N39" i="27"/>
  <c r="M39" i="27"/>
  <c r="L39" i="27"/>
  <c r="K39" i="27"/>
  <c r="J39" i="27"/>
  <c r="I39" i="27"/>
  <c r="H39" i="27"/>
  <c r="G39" i="27"/>
  <c r="Q38" i="27"/>
  <c r="P38" i="27"/>
  <c r="O38" i="27"/>
  <c r="N38" i="27"/>
  <c r="M38" i="27"/>
  <c r="L38" i="27"/>
  <c r="K38" i="27"/>
  <c r="J38" i="27"/>
  <c r="I38" i="27"/>
  <c r="H38" i="27"/>
  <c r="G38" i="27"/>
  <c r="Q37" i="27"/>
  <c r="P37" i="27"/>
  <c r="O37" i="27"/>
  <c r="N37" i="27"/>
  <c r="M37" i="27"/>
  <c r="L37" i="27"/>
  <c r="K37" i="27"/>
  <c r="J37" i="27"/>
  <c r="I37" i="27"/>
  <c r="H37" i="27"/>
  <c r="G37" i="27"/>
  <c r="Q36" i="27"/>
  <c r="P36" i="27"/>
  <c r="O36" i="27"/>
  <c r="N36" i="27"/>
  <c r="M36" i="27"/>
  <c r="L36" i="27"/>
  <c r="K36" i="27"/>
  <c r="J36" i="27"/>
  <c r="I36" i="27"/>
  <c r="H36" i="27"/>
  <c r="G36" i="27"/>
  <c r="Q35" i="27"/>
  <c r="P35" i="27"/>
  <c r="O35" i="27"/>
  <c r="N35" i="27"/>
  <c r="M35" i="27"/>
  <c r="L35" i="27"/>
  <c r="K35" i="27"/>
  <c r="J35" i="27"/>
  <c r="I35" i="27"/>
  <c r="H35" i="27"/>
  <c r="G35" i="27"/>
  <c r="Q34" i="27"/>
  <c r="P34" i="27"/>
  <c r="O34" i="27"/>
  <c r="N34" i="27"/>
  <c r="M34" i="27"/>
  <c r="L34" i="27"/>
  <c r="K34" i="27"/>
  <c r="J34" i="27"/>
  <c r="I34" i="27"/>
  <c r="H34" i="27"/>
  <c r="G34" i="27"/>
  <c r="Q33" i="27"/>
  <c r="P33" i="27"/>
  <c r="O33" i="27"/>
  <c r="N33" i="27"/>
  <c r="M33" i="27"/>
  <c r="L33" i="27"/>
  <c r="K33" i="27"/>
  <c r="J33" i="27"/>
  <c r="I33" i="27"/>
  <c r="H33" i="27"/>
  <c r="G33" i="27"/>
  <c r="Q32" i="27"/>
  <c r="P32" i="27"/>
  <c r="O32" i="27"/>
  <c r="N32" i="27"/>
  <c r="M32" i="27"/>
  <c r="L32" i="27"/>
  <c r="K32" i="27"/>
  <c r="J32" i="27"/>
  <c r="I32" i="27"/>
  <c r="H32" i="27"/>
  <c r="G32" i="27"/>
  <c r="Q31" i="27"/>
  <c r="P31" i="27"/>
  <c r="O31" i="27"/>
  <c r="N31" i="27"/>
  <c r="M31" i="27"/>
  <c r="L31" i="27"/>
  <c r="K31" i="27"/>
  <c r="J31" i="27"/>
  <c r="I31" i="27"/>
  <c r="H31" i="27"/>
  <c r="G31" i="27"/>
  <c r="Q30" i="27"/>
  <c r="P30" i="27"/>
  <c r="O30" i="27"/>
  <c r="N30" i="27"/>
  <c r="M30" i="27"/>
  <c r="L30" i="27"/>
  <c r="K30" i="27"/>
  <c r="J30" i="27"/>
  <c r="I30" i="27"/>
  <c r="H30" i="27"/>
  <c r="G30" i="27"/>
  <c r="Q29" i="27"/>
  <c r="P29" i="27"/>
  <c r="O29" i="27"/>
  <c r="N29" i="27"/>
  <c r="M29" i="27"/>
  <c r="L29" i="27"/>
  <c r="K29" i="27"/>
  <c r="J29" i="27"/>
  <c r="I29" i="27"/>
  <c r="H29" i="27"/>
  <c r="G29" i="27"/>
  <c r="Q28" i="27"/>
  <c r="P28" i="27"/>
  <c r="O28" i="27"/>
  <c r="N28" i="27"/>
  <c r="M28" i="27"/>
  <c r="L28" i="27"/>
  <c r="K28" i="27"/>
  <c r="J28" i="27"/>
  <c r="I28" i="27"/>
  <c r="H28" i="27"/>
  <c r="G28" i="27"/>
  <c r="Q27" i="27"/>
  <c r="P27" i="27"/>
  <c r="O27" i="27"/>
  <c r="N27" i="27"/>
  <c r="M27" i="27"/>
  <c r="L27" i="27"/>
  <c r="K27" i="27"/>
  <c r="J27" i="27"/>
  <c r="I27" i="27"/>
  <c r="H27" i="27"/>
  <c r="G27" i="27"/>
  <c r="Q26" i="27"/>
  <c r="P26" i="27"/>
  <c r="O26" i="27"/>
  <c r="N26" i="27"/>
  <c r="M26" i="27"/>
  <c r="L26" i="27"/>
  <c r="K26" i="27"/>
  <c r="J26" i="27"/>
  <c r="I26" i="27"/>
  <c r="H26" i="27"/>
  <c r="G26" i="27"/>
  <c r="Q25" i="27"/>
  <c r="P25" i="27"/>
  <c r="O25" i="27"/>
  <c r="N25" i="27"/>
  <c r="M25" i="27"/>
  <c r="L25" i="27"/>
  <c r="K25" i="27"/>
  <c r="J25" i="27"/>
  <c r="I25" i="27"/>
  <c r="H25" i="27"/>
  <c r="G25" i="27"/>
  <c r="Q24" i="27"/>
  <c r="P24" i="27"/>
  <c r="O24" i="27"/>
  <c r="N24" i="27"/>
  <c r="M24" i="27"/>
  <c r="L24" i="27"/>
  <c r="K24" i="27"/>
  <c r="J24" i="27"/>
  <c r="I24" i="27"/>
  <c r="H24" i="27"/>
  <c r="G24" i="27"/>
  <c r="Q23" i="27"/>
  <c r="P23" i="27"/>
  <c r="O23" i="27"/>
  <c r="N23" i="27"/>
  <c r="M23" i="27"/>
  <c r="L23" i="27"/>
  <c r="K23" i="27"/>
  <c r="J23" i="27"/>
  <c r="I23" i="27"/>
  <c r="H23" i="27"/>
  <c r="G23" i="27"/>
  <c r="Q22" i="27"/>
  <c r="P22" i="27"/>
  <c r="O22" i="27"/>
  <c r="N22" i="27"/>
  <c r="M22" i="27"/>
  <c r="L22" i="27"/>
  <c r="K22" i="27"/>
  <c r="J22" i="27"/>
  <c r="I22" i="27"/>
  <c r="H22" i="27"/>
  <c r="G22" i="27"/>
  <c r="Q21" i="27"/>
  <c r="P21" i="27"/>
  <c r="O21" i="27"/>
  <c r="N21" i="27"/>
  <c r="M21" i="27"/>
  <c r="L21" i="27"/>
  <c r="K21" i="27"/>
  <c r="J21" i="27"/>
  <c r="I21" i="27"/>
  <c r="H21" i="27"/>
  <c r="G21" i="27"/>
  <c r="Q20" i="27"/>
  <c r="P20" i="27"/>
  <c r="O20" i="27"/>
  <c r="N20" i="27"/>
  <c r="M20" i="27"/>
  <c r="L20" i="27"/>
  <c r="K20" i="27"/>
  <c r="J20" i="27"/>
  <c r="I20" i="27"/>
  <c r="H20" i="27"/>
  <c r="G20" i="27"/>
  <c r="Q19" i="27"/>
  <c r="P19" i="27"/>
  <c r="O19" i="27"/>
  <c r="N19" i="27"/>
  <c r="M19" i="27"/>
  <c r="L19" i="27"/>
  <c r="K19" i="27"/>
  <c r="J19" i="27"/>
  <c r="I19" i="27"/>
  <c r="H19" i="27"/>
  <c r="G19" i="27"/>
  <c r="Q18" i="27"/>
  <c r="P18" i="27"/>
  <c r="O18" i="27"/>
  <c r="N18" i="27"/>
  <c r="M18" i="27"/>
  <c r="L18" i="27"/>
  <c r="K18" i="27"/>
  <c r="J18" i="27"/>
  <c r="I18" i="27"/>
  <c r="H18" i="27"/>
  <c r="G18" i="27"/>
  <c r="Q17" i="27"/>
  <c r="P17" i="27"/>
  <c r="O17" i="27"/>
  <c r="N17" i="27"/>
  <c r="M17" i="27"/>
  <c r="L17" i="27"/>
  <c r="K17" i="27"/>
  <c r="J17" i="27"/>
  <c r="I17" i="27"/>
  <c r="H17" i="27"/>
  <c r="G17" i="27"/>
  <c r="Q16" i="27"/>
  <c r="P16" i="27"/>
  <c r="O16" i="27"/>
  <c r="N16" i="27"/>
  <c r="M16" i="27"/>
  <c r="L16" i="27"/>
  <c r="K16" i="27"/>
  <c r="J16" i="27"/>
  <c r="I16" i="27"/>
  <c r="H16" i="27"/>
  <c r="G16" i="27"/>
  <c r="Q15" i="27"/>
  <c r="P15" i="27"/>
  <c r="O15" i="27"/>
  <c r="N15" i="27"/>
  <c r="M15" i="27"/>
  <c r="L15" i="27"/>
  <c r="K15" i="27"/>
  <c r="J15" i="27"/>
  <c r="I15" i="27"/>
  <c r="H15" i="27"/>
  <c r="G15" i="27"/>
  <c r="Q14" i="27"/>
  <c r="P14" i="27"/>
  <c r="O14" i="27"/>
  <c r="N14" i="27"/>
  <c r="M14" i="27"/>
  <c r="L14" i="27"/>
  <c r="K14" i="27"/>
  <c r="J14" i="27"/>
  <c r="I14" i="27"/>
  <c r="H14" i="27"/>
  <c r="G14" i="27"/>
  <c r="Q13" i="27"/>
  <c r="P13" i="27"/>
  <c r="O13" i="27"/>
  <c r="N13" i="27"/>
  <c r="M13" i="27"/>
  <c r="L13" i="27"/>
  <c r="K13" i="27"/>
  <c r="J13" i="27"/>
  <c r="I13" i="27"/>
  <c r="H13" i="27"/>
  <c r="G13" i="27"/>
  <c r="Q12" i="27"/>
  <c r="P12" i="27"/>
  <c r="O12" i="27"/>
  <c r="N12" i="27"/>
  <c r="M12" i="27"/>
  <c r="L12" i="27"/>
  <c r="K12" i="27"/>
  <c r="J12" i="27"/>
  <c r="I12" i="27"/>
  <c r="H12" i="27"/>
  <c r="G12" i="27"/>
  <c r="Q11" i="27"/>
  <c r="P11" i="27"/>
  <c r="O11" i="27"/>
  <c r="N11" i="27"/>
  <c r="M11" i="27"/>
  <c r="L11" i="27"/>
  <c r="K11" i="27"/>
  <c r="J11" i="27"/>
  <c r="I11" i="27"/>
  <c r="H11" i="27"/>
  <c r="G11" i="27"/>
  <c r="Q10" i="27"/>
  <c r="P10" i="27"/>
  <c r="O10" i="27"/>
  <c r="N10" i="27"/>
  <c r="M10" i="27"/>
  <c r="L10" i="27"/>
  <c r="K10" i="27"/>
  <c r="J10" i="27"/>
  <c r="I10" i="27"/>
  <c r="H10" i="27"/>
  <c r="G10" i="27"/>
  <c r="Q9" i="27"/>
  <c r="P9" i="27"/>
  <c r="O9" i="27"/>
  <c r="N9" i="27"/>
  <c r="M9" i="27"/>
  <c r="L9" i="27"/>
  <c r="K9" i="27"/>
  <c r="J9" i="27"/>
  <c r="I9" i="27"/>
  <c r="H9" i="27"/>
  <c r="G9" i="27"/>
  <c r="Q8" i="27"/>
  <c r="P8" i="27"/>
  <c r="O8" i="27"/>
  <c r="N8" i="27"/>
  <c r="M8" i="27"/>
  <c r="L8" i="27"/>
  <c r="K8" i="27"/>
  <c r="J8" i="27"/>
  <c r="I8" i="27"/>
  <c r="H8" i="27"/>
  <c r="G8" i="27"/>
  <c r="Q7" i="27"/>
  <c r="P7" i="27"/>
  <c r="O7" i="27"/>
  <c r="N7" i="27"/>
  <c r="M7" i="27"/>
  <c r="L7" i="27"/>
  <c r="K7" i="27"/>
  <c r="J7" i="27"/>
  <c r="I7" i="27"/>
  <c r="H7" i="27"/>
  <c r="G7" i="27"/>
  <c r="Q6" i="27"/>
  <c r="P6" i="27"/>
  <c r="O6" i="27"/>
  <c r="N6" i="27"/>
  <c r="M6" i="27"/>
  <c r="L6" i="27"/>
  <c r="K6" i="27"/>
  <c r="J6" i="27"/>
  <c r="I6" i="27"/>
  <c r="H6" i="27"/>
  <c r="G6" i="27"/>
  <c r="Q5" i="27"/>
  <c r="P5" i="27"/>
  <c r="O5" i="27"/>
  <c r="N5" i="27"/>
  <c r="M5" i="27"/>
  <c r="L5" i="27"/>
  <c r="K5" i="27"/>
  <c r="J5" i="27"/>
  <c r="I5" i="27"/>
  <c r="H5" i="27"/>
  <c r="G5" i="27"/>
  <c r="Q4" i="27"/>
  <c r="P4" i="27"/>
  <c r="O4" i="27"/>
  <c r="N4" i="27"/>
  <c r="M4" i="27"/>
  <c r="L4" i="27"/>
  <c r="K4" i="27"/>
  <c r="J4" i="27"/>
  <c r="I4" i="27"/>
  <c r="H4" i="27"/>
  <c r="G4" i="27"/>
  <c r="Q3" i="27"/>
  <c r="P3" i="27"/>
  <c r="O3" i="27"/>
  <c r="N3" i="27"/>
  <c r="M3" i="27"/>
  <c r="L3" i="27"/>
  <c r="K3" i="27"/>
  <c r="J3" i="27"/>
  <c r="I3" i="27"/>
  <c r="H3" i="27"/>
  <c r="G3" i="27"/>
  <c r="Q2" i="27"/>
  <c r="P2" i="27"/>
  <c r="O2" i="27"/>
  <c r="N2" i="27"/>
  <c r="M2" i="27"/>
  <c r="L2" i="27"/>
  <c r="K2" i="27"/>
  <c r="J2" i="27"/>
  <c r="I2" i="27"/>
  <c r="H2" i="27"/>
  <c r="G2" i="27"/>
  <c r="N529" i="17"/>
  <c r="N2" i="17"/>
  <c r="G3" i="17"/>
  <c r="H3" i="17"/>
  <c r="I3" i="17"/>
  <c r="J3" i="17"/>
  <c r="L3" i="17" s="1"/>
  <c r="K3" i="17"/>
  <c r="M3" i="17" s="1"/>
  <c r="O3" i="17"/>
  <c r="P3" i="17"/>
  <c r="Q3" i="17"/>
  <c r="G4" i="17"/>
  <c r="H4" i="17"/>
  <c r="I4" i="17"/>
  <c r="J4" i="17"/>
  <c r="L4" i="17" s="1"/>
  <c r="K4" i="17"/>
  <c r="M4" i="17" s="1"/>
  <c r="O4" i="17"/>
  <c r="P4" i="17"/>
  <c r="Q4" i="17"/>
  <c r="G5" i="17"/>
  <c r="H5" i="17"/>
  <c r="I5" i="17"/>
  <c r="J5" i="17"/>
  <c r="L5" i="17" s="1"/>
  <c r="K5" i="17"/>
  <c r="M5" i="17"/>
  <c r="O5" i="17"/>
  <c r="P5" i="17"/>
  <c r="Q5" i="17"/>
  <c r="G6" i="17"/>
  <c r="H6" i="17"/>
  <c r="I6" i="17"/>
  <c r="J6" i="17"/>
  <c r="L6" i="17" s="1"/>
  <c r="K6" i="17"/>
  <c r="M6" i="17"/>
  <c r="N6" i="17" s="1"/>
  <c r="O6" i="17"/>
  <c r="P6" i="17"/>
  <c r="Q6" i="17"/>
  <c r="G7" i="17"/>
  <c r="H7" i="17"/>
  <c r="I7" i="17"/>
  <c r="J7" i="17"/>
  <c r="L7" i="17" s="1"/>
  <c r="K7" i="17"/>
  <c r="M7" i="17" s="1"/>
  <c r="O7" i="17"/>
  <c r="P7" i="17"/>
  <c r="Q7" i="17"/>
  <c r="G8" i="17"/>
  <c r="H8" i="17"/>
  <c r="I8" i="17"/>
  <c r="J8" i="17"/>
  <c r="L8" i="17" s="1"/>
  <c r="K8" i="17"/>
  <c r="M8" i="17" s="1"/>
  <c r="O8" i="17"/>
  <c r="P8" i="17"/>
  <c r="Q8" i="17"/>
  <c r="G9" i="17"/>
  <c r="H9" i="17"/>
  <c r="I9" i="17"/>
  <c r="J9" i="17"/>
  <c r="L9" i="17" s="1"/>
  <c r="K9" i="17"/>
  <c r="M9" i="17"/>
  <c r="O9" i="17"/>
  <c r="P9" i="17"/>
  <c r="Q9" i="17"/>
  <c r="G10" i="17"/>
  <c r="H10" i="17"/>
  <c r="I10" i="17"/>
  <c r="J10" i="17"/>
  <c r="L10" i="17" s="1"/>
  <c r="K10" i="17"/>
  <c r="M10" i="17" s="1"/>
  <c r="O10" i="17"/>
  <c r="P10" i="17"/>
  <c r="Q10" i="17"/>
  <c r="G11" i="17"/>
  <c r="H11" i="17"/>
  <c r="I11" i="17"/>
  <c r="J11" i="17"/>
  <c r="L11" i="17" s="1"/>
  <c r="K11" i="17"/>
  <c r="M11" i="17" s="1"/>
  <c r="O11" i="17"/>
  <c r="P11" i="17"/>
  <c r="Q11" i="17"/>
  <c r="G12" i="17"/>
  <c r="H12" i="17"/>
  <c r="I12" i="17"/>
  <c r="J12" i="17"/>
  <c r="K12" i="17"/>
  <c r="M12" i="17" s="1"/>
  <c r="L12" i="17"/>
  <c r="O12" i="17"/>
  <c r="P12" i="17"/>
  <c r="Q12" i="17"/>
  <c r="G13" i="17"/>
  <c r="H13" i="17"/>
  <c r="I13" i="17"/>
  <c r="J13" i="17"/>
  <c r="L13" i="17" s="1"/>
  <c r="K13" i="17"/>
  <c r="M13" i="17" s="1"/>
  <c r="O13" i="17"/>
  <c r="P13" i="17"/>
  <c r="Q13" i="17"/>
  <c r="G14" i="17"/>
  <c r="H14" i="17"/>
  <c r="I14" i="17"/>
  <c r="J14" i="17"/>
  <c r="L14" i="17" s="1"/>
  <c r="K14" i="17"/>
  <c r="M14" i="17" s="1"/>
  <c r="O14" i="17"/>
  <c r="P14" i="17"/>
  <c r="Q14" i="17"/>
  <c r="G15" i="17"/>
  <c r="H15" i="17"/>
  <c r="I15" i="17"/>
  <c r="J15" i="17"/>
  <c r="L15" i="17" s="1"/>
  <c r="K15" i="17"/>
  <c r="M15" i="17" s="1"/>
  <c r="O15" i="17"/>
  <c r="P15" i="17"/>
  <c r="Q15" i="17"/>
  <c r="G16" i="17"/>
  <c r="H16" i="17"/>
  <c r="I16" i="17"/>
  <c r="J16" i="17"/>
  <c r="L16" i="17" s="1"/>
  <c r="K16" i="17"/>
  <c r="M16" i="17" s="1"/>
  <c r="O16" i="17"/>
  <c r="P16" i="17"/>
  <c r="Q16" i="17"/>
  <c r="G17" i="17"/>
  <c r="H17" i="17"/>
  <c r="I17" i="17"/>
  <c r="J17" i="17"/>
  <c r="L17" i="17" s="1"/>
  <c r="K17" i="17"/>
  <c r="M17" i="17"/>
  <c r="O17" i="17"/>
  <c r="P17" i="17"/>
  <c r="Q17" i="17"/>
  <c r="G18" i="17"/>
  <c r="H18" i="17"/>
  <c r="I18" i="17"/>
  <c r="J18" i="17"/>
  <c r="K18" i="17"/>
  <c r="M18" i="17" s="1"/>
  <c r="L18" i="17"/>
  <c r="O18" i="17"/>
  <c r="P18" i="17"/>
  <c r="Q18" i="17"/>
  <c r="G19" i="17"/>
  <c r="H19" i="17"/>
  <c r="I19" i="17"/>
  <c r="J19" i="17"/>
  <c r="K19" i="17"/>
  <c r="M19" i="17" s="1"/>
  <c r="L19" i="17"/>
  <c r="O19" i="17"/>
  <c r="P19" i="17"/>
  <c r="Q19" i="17"/>
  <c r="G20" i="17"/>
  <c r="H20" i="17"/>
  <c r="I20" i="17"/>
  <c r="J20" i="17"/>
  <c r="L20" i="17" s="1"/>
  <c r="K20" i="17"/>
  <c r="M20" i="17" s="1"/>
  <c r="O20" i="17"/>
  <c r="P20" i="17"/>
  <c r="Q20" i="17"/>
  <c r="G21" i="17"/>
  <c r="H21" i="17"/>
  <c r="I21" i="17"/>
  <c r="J21" i="17"/>
  <c r="L21" i="17" s="1"/>
  <c r="K21" i="17"/>
  <c r="M21" i="17" s="1"/>
  <c r="O21" i="17"/>
  <c r="P21" i="17"/>
  <c r="Q21" i="17"/>
  <c r="G22" i="17"/>
  <c r="H22" i="17"/>
  <c r="I22" i="17"/>
  <c r="J22" i="17"/>
  <c r="L22" i="17" s="1"/>
  <c r="K22" i="17"/>
  <c r="M22" i="17"/>
  <c r="O22" i="17"/>
  <c r="P22" i="17"/>
  <c r="Q22" i="17"/>
  <c r="G23" i="17"/>
  <c r="H23" i="17"/>
  <c r="I23" i="17"/>
  <c r="J23" i="17"/>
  <c r="L23" i="17" s="1"/>
  <c r="K23" i="17"/>
  <c r="M23" i="17" s="1"/>
  <c r="O23" i="17"/>
  <c r="P23" i="17"/>
  <c r="Q23" i="17"/>
  <c r="G24" i="17"/>
  <c r="H24" i="17"/>
  <c r="I24" i="17"/>
  <c r="J24" i="17"/>
  <c r="L24" i="17" s="1"/>
  <c r="K24" i="17"/>
  <c r="M24" i="17" s="1"/>
  <c r="O24" i="17"/>
  <c r="P24" i="17"/>
  <c r="Q24" i="17"/>
  <c r="G25" i="17"/>
  <c r="H25" i="17"/>
  <c r="I25" i="17"/>
  <c r="J25" i="17"/>
  <c r="L25" i="17" s="1"/>
  <c r="K25" i="17"/>
  <c r="M25" i="17" s="1"/>
  <c r="O25" i="17"/>
  <c r="P25" i="17"/>
  <c r="Q25" i="17"/>
  <c r="G26" i="17"/>
  <c r="H26" i="17"/>
  <c r="I26" i="17"/>
  <c r="J26" i="17"/>
  <c r="L26" i="17" s="1"/>
  <c r="K26" i="17"/>
  <c r="M26" i="17" s="1"/>
  <c r="O26" i="17"/>
  <c r="P26" i="17"/>
  <c r="Q26" i="17"/>
  <c r="G27" i="17"/>
  <c r="H27" i="17"/>
  <c r="I27" i="17"/>
  <c r="J27" i="17"/>
  <c r="K27" i="17"/>
  <c r="M27" i="17" s="1"/>
  <c r="L27" i="17"/>
  <c r="O27" i="17"/>
  <c r="P27" i="17"/>
  <c r="Q27" i="17"/>
  <c r="G28" i="17"/>
  <c r="H28" i="17"/>
  <c r="I28" i="17"/>
  <c r="J28" i="17"/>
  <c r="K28" i="17"/>
  <c r="M28" i="17" s="1"/>
  <c r="L28" i="17"/>
  <c r="O28" i="17"/>
  <c r="P28" i="17"/>
  <c r="Q28" i="17"/>
  <c r="G29" i="17"/>
  <c r="H29" i="17"/>
  <c r="I29" i="17"/>
  <c r="J29" i="17"/>
  <c r="L29" i="17" s="1"/>
  <c r="K29" i="17"/>
  <c r="M29" i="17" s="1"/>
  <c r="O29" i="17"/>
  <c r="P29" i="17"/>
  <c r="Q29" i="17"/>
  <c r="G30" i="17"/>
  <c r="H30" i="17"/>
  <c r="I30" i="17"/>
  <c r="J30" i="17"/>
  <c r="L30" i="17" s="1"/>
  <c r="K30" i="17"/>
  <c r="M30" i="17"/>
  <c r="O30" i="17"/>
  <c r="P30" i="17"/>
  <c r="Q30" i="17"/>
  <c r="G31" i="17"/>
  <c r="H31" i="17"/>
  <c r="I31" i="17"/>
  <c r="J31" i="17"/>
  <c r="L31" i="17" s="1"/>
  <c r="K31" i="17"/>
  <c r="M31" i="17" s="1"/>
  <c r="O31" i="17"/>
  <c r="P31" i="17"/>
  <c r="Q31" i="17"/>
  <c r="G32" i="17"/>
  <c r="H32" i="17"/>
  <c r="I32" i="17"/>
  <c r="J32" i="17"/>
  <c r="L32" i="17" s="1"/>
  <c r="K32" i="17"/>
  <c r="M32" i="17" s="1"/>
  <c r="O32" i="17"/>
  <c r="P32" i="17"/>
  <c r="Q32" i="17"/>
  <c r="G33" i="17"/>
  <c r="H33" i="17"/>
  <c r="I33" i="17"/>
  <c r="J33" i="17"/>
  <c r="L33" i="17" s="1"/>
  <c r="K33" i="17"/>
  <c r="M33" i="17"/>
  <c r="O33" i="17"/>
  <c r="P33" i="17"/>
  <c r="Q33" i="17"/>
  <c r="G34" i="17"/>
  <c r="H34" i="17"/>
  <c r="I34" i="17"/>
  <c r="J34" i="17"/>
  <c r="K34" i="17"/>
  <c r="M34" i="17" s="1"/>
  <c r="L34" i="17"/>
  <c r="O34" i="17"/>
  <c r="P34" i="17"/>
  <c r="Q34" i="17"/>
  <c r="G35" i="17"/>
  <c r="H35" i="17"/>
  <c r="I35" i="17"/>
  <c r="J35" i="17"/>
  <c r="L35" i="17" s="1"/>
  <c r="K35" i="17"/>
  <c r="M35" i="17" s="1"/>
  <c r="O35" i="17"/>
  <c r="P35" i="17"/>
  <c r="Q35" i="17"/>
  <c r="G36" i="17"/>
  <c r="H36" i="17"/>
  <c r="I36" i="17"/>
  <c r="J36" i="17"/>
  <c r="L36" i="17" s="1"/>
  <c r="K36" i="17"/>
  <c r="M36" i="17" s="1"/>
  <c r="O36" i="17"/>
  <c r="P36" i="17"/>
  <c r="Q36" i="17"/>
  <c r="G37" i="17"/>
  <c r="H37" i="17"/>
  <c r="I37" i="17"/>
  <c r="J37" i="17"/>
  <c r="L37" i="17" s="1"/>
  <c r="K37" i="17"/>
  <c r="M37" i="17" s="1"/>
  <c r="O37" i="17"/>
  <c r="P37" i="17"/>
  <c r="Q37" i="17"/>
  <c r="G38" i="17"/>
  <c r="H38" i="17"/>
  <c r="I38" i="17"/>
  <c r="J38" i="17"/>
  <c r="L38" i="17" s="1"/>
  <c r="K38" i="17"/>
  <c r="M38" i="17"/>
  <c r="O38" i="17"/>
  <c r="P38" i="17"/>
  <c r="Q38" i="17"/>
  <c r="G39" i="17"/>
  <c r="H39" i="17"/>
  <c r="I39" i="17"/>
  <c r="J39" i="17"/>
  <c r="L39" i="17" s="1"/>
  <c r="K39" i="17"/>
  <c r="M39" i="17" s="1"/>
  <c r="N39" i="17" s="1"/>
  <c r="O39" i="17"/>
  <c r="P39" i="17"/>
  <c r="Q39" i="17"/>
  <c r="G40" i="17"/>
  <c r="H40" i="17"/>
  <c r="I40" i="17"/>
  <c r="J40" i="17"/>
  <c r="L40" i="17" s="1"/>
  <c r="K40" i="17"/>
  <c r="M40" i="17"/>
  <c r="O40" i="17"/>
  <c r="P40" i="17"/>
  <c r="Q40" i="17"/>
  <c r="G41" i="17"/>
  <c r="H41" i="17"/>
  <c r="I41" i="17"/>
  <c r="J41" i="17"/>
  <c r="L41" i="17" s="1"/>
  <c r="K41" i="17"/>
  <c r="M41" i="17"/>
  <c r="O41" i="17"/>
  <c r="P41" i="17"/>
  <c r="Q41" i="17"/>
  <c r="G42" i="17"/>
  <c r="H42" i="17"/>
  <c r="I42" i="17"/>
  <c r="J42" i="17"/>
  <c r="L42" i="17" s="1"/>
  <c r="K42" i="17"/>
  <c r="M42" i="17" s="1"/>
  <c r="O42" i="17"/>
  <c r="P42" i="17"/>
  <c r="Q42" i="17"/>
  <c r="G43" i="17"/>
  <c r="H43" i="17"/>
  <c r="I43" i="17"/>
  <c r="J43" i="17"/>
  <c r="L43" i="17" s="1"/>
  <c r="K43" i="17"/>
  <c r="M43" i="17" s="1"/>
  <c r="O43" i="17"/>
  <c r="P43" i="17"/>
  <c r="Q43" i="17"/>
  <c r="G44" i="17"/>
  <c r="H44" i="17"/>
  <c r="I44" i="17"/>
  <c r="J44" i="17"/>
  <c r="K44" i="17"/>
  <c r="M44" i="17" s="1"/>
  <c r="L44" i="17"/>
  <c r="O44" i="17"/>
  <c r="P44" i="17"/>
  <c r="Q44" i="17"/>
  <c r="G45" i="17"/>
  <c r="H45" i="17"/>
  <c r="I45" i="17"/>
  <c r="J45" i="17"/>
  <c r="L45" i="17" s="1"/>
  <c r="K45" i="17"/>
  <c r="M45" i="17" s="1"/>
  <c r="O45" i="17"/>
  <c r="P45" i="17"/>
  <c r="Q45" i="17"/>
  <c r="G46" i="17"/>
  <c r="H46" i="17"/>
  <c r="I46" i="17"/>
  <c r="J46" i="17"/>
  <c r="L46" i="17" s="1"/>
  <c r="K46" i="17"/>
  <c r="M46" i="17" s="1"/>
  <c r="O46" i="17"/>
  <c r="P46" i="17"/>
  <c r="Q46" i="17"/>
  <c r="G47" i="17"/>
  <c r="H47" i="17"/>
  <c r="I47" i="17"/>
  <c r="J47" i="17"/>
  <c r="L47" i="17" s="1"/>
  <c r="K47" i="17"/>
  <c r="M47" i="17" s="1"/>
  <c r="O47" i="17"/>
  <c r="P47" i="17"/>
  <c r="Q47" i="17"/>
  <c r="G48" i="17"/>
  <c r="H48" i="17"/>
  <c r="I48" i="17"/>
  <c r="J48" i="17"/>
  <c r="L48" i="17" s="1"/>
  <c r="K48" i="17"/>
  <c r="M48" i="17" s="1"/>
  <c r="O48" i="17"/>
  <c r="P48" i="17"/>
  <c r="Q48" i="17"/>
  <c r="G49" i="17"/>
  <c r="H49" i="17"/>
  <c r="I49" i="17"/>
  <c r="J49" i="17"/>
  <c r="L49" i="17" s="1"/>
  <c r="K49" i="17"/>
  <c r="M49" i="17"/>
  <c r="O49" i="17"/>
  <c r="P49" i="17"/>
  <c r="Q49" i="17"/>
  <c r="G50" i="17"/>
  <c r="H50" i="17"/>
  <c r="I50" i="17"/>
  <c r="J50" i="17"/>
  <c r="K50" i="17"/>
  <c r="M50" i="17" s="1"/>
  <c r="L50" i="17"/>
  <c r="O50" i="17"/>
  <c r="P50" i="17"/>
  <c r="Q50" i="17"/>
  <c r="G51" i="17"/>
  <c r="H51" i="17"/>
  <c r="I51" i="17"/>
  <c r="J51" i="17"/>
  <c r="K51" i="17"/>
  <c r="M51" i="17" s="1"/>
  <c r="L51" i="17"/>
  <c r="O51" i="17"/>
  <c r="P51" i="17"/>
  <c r="Q51" i="17"/>
  <c r="G52" i="17"/>
  <c r="H52" i="17"/>
  <c r="I52" i="17"/>
  <c r="J52" i="17"/>
  <c r="L52" i="17" s="1"/>
  <c r="K52" i="17"/>
  <c r="M52" i="17" s="1"/>
  <c r="O52" i="17"/>
  <c r="P52" i="17"/>
  <c r="Q52" i="17"/>
  <c r="G53" i="17"/>
  <c r="H53" i="17"/>
  <c r="I53" i="17"/>
  <c r="J53" i="17"/>
  <c r="L53" i="17" s="1"/>
  <c r="K53" i="17"/>
  <c r="M53" i="17" s="1"/>
  <c r="O53" i="17"/>
  <c r="P53" i="17"/>
  <c r="Q53" i="17"/>
  <c r="G54" i="17"/>
  <c r="H54" i="17"/>
  <c r="I54" i="17"/>
  <c r="J54" i="17"/>
  <c r="L54" i="17" s="1"/>
  <c r="K54" i="17"/>
  <c r="M54" i="17"/>
  <c r="O54" i="17"/>
  <c r="P54" i="17"/>
  <c r="Q54" i="17"/>
  <c r="G55" i="17"/>
  <c r="H55" i="17"/>
  <c r="I55" i="17"/>
  <c r="J55" i="17"/>
  <c r="L55" i="17" s="1"/>
  <c r="K55" i="17"/>
  <c r="M55" i="17" s="1"/>
  <c r="N55" i="17" s="1"/>
  <c r="O55" i="17"/>
  <c r="P55" i="17"/>
  <c r="Q55" i="17"/>
  <c r="G56" i="17"/>
  <c r="H56" i="17"/>
  <c r="I56" i="17"/>
  <c r="J56" i="17"/>
  <c r="L56" i="17" s="1"/>
  <c r="K56" i="17"/>
  <c r="M56" i="17" s="1"/>
  <c r="O56" i="17"/>
  <c r="P56" i="17"/>
  <c r="Q56" i="17"/>
  <c r="G57" i="17"/>
  <c r="H57" i="17"/>
  <c r="I57" i="17"/>
  <c r="J57" i="17"/>
  <c r="L57" i="17" s="1"/>
  <c r="K57" i="17"/>
  <c r="M57" i="17" s="1"/>
  <c r="O57" i="17"/>
  <c r="P57" i="17"/>
  <c r="Q57" i="17"/>
  <c r="G58" i="17"/>
  <c r="H58" i="17"/>
  <c r="I58" i="17"/>
  <c r="J58" i="17"/>
  <c r="L58" i="17" s="1"/>
  <c r="K58" i="17"/>
  <c r="M58" i="17" s="1"/>
  <c r="O58" i="17"/>
  <c r="P58" i="17"/>
  <c r="Q58" i="17"/>
  <c r="G59" i="17"/>
  <c r="H59" i="17"/>
  <c r="I59" i="17"/>
  <c r="J59" i="17"/>
  <c r="K59" i="17"/>
  <c r="M59" i="17" s="1"/>
  <c r="L59" i="17"/>
  <c r="O59" i="17"/>
  <c r="P59" i="17"/>
  <c r="Q59" i="17"/>
  <c r="G60" i="17"/>
  <c r="H60" i="17"/>
  <c r="I60" i="17"/>
  <c r="J60" i="17"/>
  <c r="K60" i="17"/>
  <c r="M60" i="17" s="1"/>
  <c r="L60" i="17"/>
  <c r="O60" i="17"/>
  <c r="P60" i="17"/>
  <c r="Q60" i="17"/>
  <c r="G61" i="17"/>
  <c r="H61" i="17"/>
  <c r="I61" i="17"/>
  <c r="J61" i="17"/>
  <c r="L61" i="17" s="1"/>
  <c r="K61" i="17"/>
  <c r="M61" i="17" s="1"/>
  <c r="O61" i="17"/>
  <c r="P61" i="17"/>
  <c r="Q61" i="17"/>
  <c r="G62" i="17"/>
  <c r="H62" i="17"/>
  <c r="I62" i="17"/>
  <c r="J62" i="17"/>
  <c r="L62" i="17" s="1"/>
  <c r="K62" i="17"/>
  <c r="M62" i="17"/>
  <c r="O62" i="17"/>
  <c r="P62" i="17"/>
  <c r="Q62" i="17"/>
  <c r="G63" i="17"/>
  <c r="H63" i="17"/>
  <c r="I63" i="17"/>
  <c r="J63" i="17"/>
  <c r="L63" i="17" s="1"/>
  <c r="K63" i="17"/>
  <c r="M63" i="17" s="1"/>
  <c r="O63" i="17"/>
  <c r="P63" i="17"/>
  <c r="Q63" i="17"/>
  <c r="G64" i="17"/>
  <c r="H64" i="17"/>
  <c r="I64" i="17"/>
  <c r="J64" i="17"/>
  <c r="L64" i="17" s="1"/>
  <c r="K64" i="17"/>
  <c r="M64" i="17" s="1"/>
  <c r="O64" i="17"/>
  <c r="P64" i="17"/>
  <c r="Q64" i="17"/>
  <c r="G65" i="17"/>
  <c r="H65" i="17"/>
  <c r="I65" i="17"/>
  <c r="J65" i="17"/>
  <c r="L65" i="17" s="1"/>
  <c r="K65" i="17"/>
  <c r="M65" i="17"/>
  <c r="O65" i="17"/>
  <c r="P65" i="17"/>
  <c r="Q65" i="17"/>
  <c r="G66" i="17"/>
  <c r="H66" i="17"/>
  <c r="I66" i="17"/>
  <c r="J66" i="17"/>
  <c r="K66" i="17"/>
  <c r="M66" i="17" s="1"/>
  <c r="N66" i="17" s="1"/>
  <c r="L66" i="17"/>
  <c r="O66" i="17"/>
  <c r="P66" i="17"/>
  <c r="Q66" i="17"/>
  <c r="G67" i="17"/>
  <c r="H67" i="17"/>
  <c r="I67" i="17"/>
  <c r="J67" i="17"/>
  <c r="L67" i="17" s="1"/>
  <c r="N67" i="17" s="1"/>
  <c r="K67" i="17"/>
  <c r="M67" i="17" s="1"/>
  <c r="O67" i="17"/>
  <c r="P67" i="17"/>
  <c r="Q67" i="17"/>
  <c r="G68" i="17"/>
  <c r="H68" i="17"/>
  <c r="I68" i="17"/>
  <c r="J68" i="17"/>
  <c r="L68" i="17" s="1"/>
  <c r="K68" i="17"/>
  <c r="M68" i="17" s="1"/>
  <c r="O68" i="17"/>
  <c r="P68" i="17"/>
  <c r="Q68" i="17"/>
  <c r="G69" i="17"/>
  <c r="H69" i="17"/>
  <c r="I69" i="17"/>
  <c r="J69" i="17"/>
  <c r="L69" i="17" s="1"/>
  <c r="K69" i="17"/>
  <c r="M69" i="17"/>
  <c r="O69" i="17"/>
  <c r="P69" i="17"/>
  <c r="Q69" i="17"/>
  <c r="G70" i="17"/>
  <c r="H70" i="17"/>
  <c r="I70" i="17"/>
  <c r="J70" i="17"/>
  <c r="L70" i="17" s="1"/>
  <c r="K70" i="17"/>
  <c r="M70" i="17" s="1"/>
  <c r="O70" i="17"/>
  <c r="P70" i="17"/>
  <c r="Q70" i="17"/>
  <c r="G71" i="17"/>
  <c r="H71" i="17"/>
  <c r="I71" i="17"/>
  <c r="J71" i="17"/>
  <c r="L71" i="17" s="1"/>
  <c r="K71" i="17"/>
  <c r="M71" i="17"/>
  <c r="O71" i="17"/>
  <c r="P71" i="17"/>
  <c r="Q71" i="17"/>
  <c r="G72" i="17"/>
  <c r="H72" i="17"/>
  <c r="I72" i="17"/>
  <c r="J72" i="17"/>
  <c r="L72" i="17" s="1"/>
  <c r="K72" i="17"/>
  <c r="M72" i="17" s="1"/>
  <c r="O72" i="17"/>
  <c r="P72" i="17"/>
  <c r="Q72" i="17"/>
  <c r="G73" i="17"/>
  <c r="H73" i="17"/>
  <c r="I73" i="17"/>
  <c r="J73" i="17"/>
  <c r="K73" i="17"/>
  <c r="M73" i="17" s="1"/>
  <c r="L73" i="17"/>
  <c r="O73" i="17"/>
  <c r="P73" i="17"/>
  <c r="Q73" i="17"/>
  <c r="G74" i="17"/>
  <c r="H74" i="17"/>
  <c r="I74" i="17"/>
  <c r="J74" i="17"/>
  <c r="L74" i="17" s="1"/>
  <c r="K74" i="17"/>
  <c r="M74" i="17" s="1"/>
  <c r="O74" i="17"/>
  <c r="P74" i="17"/>
  <c r="Q74" i="17"/>
  <c r="G75" i="17"/>
  <c r="H75" i="17"/>
  <c r="I75" i="17"/>
  <c r="J75" i="17"/>
  <c r="K75" i="17"/>
  <c r="M75" i="17" s="1"/>
  <c r="L75" i="17"/>
  <c r="O75" i="17"/>
  <c r="P75" i="17"/>
  <c r="Q75" i="17"/>
  <c r="G76" i="17"/>
  <c r="H76" i="17"/>
  <c r="I76" i="17"/>
  <c r="J76" i="17"/>
  <c r="L76" i="17" s="1"/>
  <c r="K76" i="17"/>
  <c r="M76" i="17" s="1"/>
  <c r="O76" i="17"/>
  <c r="P76" i="17"/>
  <c r="Q76" i="17"/>
  <c r="G77" i="17"/>
  <c r="H77" i="17"/>
  <c r="I77" i="17"/>
  <c r="J77" i="17"/>
  <c r="L77" i="17" s="1"/>
  <c r="K77" i="17"/>
  <c r="M77" i="17" s="1"/>
  <c r="O77" i="17"/>
  <c r="P77" i="17"/>
  <c r="Q77" i="17"/>
  <c r="G78" i="17"/>
  <c r="H78" i="17"/>
  <c r="I78" i="17"/>
  <c r="J78" i="17"/>
  <c r="L78" i="17" s="1"/>
  <c r="K78" i="17"/>
  <c r="M78" i="17" s="1"/>
  <c r="O78" i="17"/>
  <c r="P78" i="17"/>
  <c r="Q78" i="17"/>
  <c r="G79" i="17"/>
  <c r="H79" i="17"/>
  <c r="I79" i="17"/>
  <c r="J79" i="17"/>
  <c r="L79" i="17" s="1"/>
  <c r="K79" i="17"/>
  <c r="M79" i="17" s="1"/>
  <c r="O79" i="17"/>
  <c r="P79" i="17"/>
  <c r="Q79" i="17"/>
  <c r="G80" i="17"/>
  <c r="H80" i="17"/>
  <c r="I80" i="17"/>
  <c r="J80" i="17"/>
  <c r="L80" i="17" s="1"/>
  <c r="K80" i="17"/>
  <c r="M80" i="17" s="1"/>
  <c r="O80" i="17"/>
  <c r="P80" i="17"/>
  <c r="Q80" i="17"/>
  <c r="G81" i="17"/>
  <c r="H81" i="17"/>
  <c r="I81" i="17"/>
  <c r="J81" i="17"/>
  <c r="K81" i="17"/>
  <c r="L81" i="17"/>
  <c r="M81" i="17"/>
  <c r="O81" i="17"/>
  <c r="P81" i="17"/>
  <c r="Q81" i="17"/>
  <c r="G82" i="17"/>
  <c r="H82" i="17"/>
  <c r="I82" i="17"/>
  <c r="J82" i="17"/>
  <c r="K82" i="17"/>
  <c r="M82" i="17" s="1"/>
  <c r="L82" i="17"/>
  <c r="O82" i="17"/>
  <c r="P82" i="17"/>
  <c r="Q82" i="17"/>
  <c r="G83" i="17"/>
  <c r="H83" i="17"/>
  <c r="I83" i="17"/>
  <c r="J83" i="17"/>
  <c r="L83" i="17" s="1"/>
  <c r="K83" i="17"/>
  <c r="M83" i="17" s="1"/>
  <c r="O83" i="17"/>
  <c r="P83" i="17"/>
  <c r="Q83" i="17"/>
  <c r="G84" i="17"/>
  <c r="H84" i="17"/>
  <c r="I84" i="17"/>
  <c r="J84" i="17"/>
  <c r="L84" i="17" s="1"/>
  <c r="K84" i="17"/>
  <c r="M84" i="17" s="1"/>
  <c r="O84" i="17"/>
  <c r="P84" i="17"/>
  <c r="Q84" i="17"/>
  <c r="G85" i="17"/>
  <c r="H85" i="17"/>
  <c r="I85" i="17"/>
  <c r="J85" i="17"/>
  <c r="L85" i="17" s="1"/>
  <c r="K85" i="17"/>
  <c r="M85" i="17" s="1"/>
  <c r="O85" i="17"/>
  <c r="P85" i="17"/>
  <c r="Q85" i="17"/>
  <c r="G86" i="17"/>
  <c r="H86" i="17"/>
  <c r="I86" i="17"/>
  <c r="J86" i="17"/>
  <c r="L86" i="17" s="1"/>
  <c r="K86" i="17"/>
  <c r="M86" i="17" s="1"/>
  <c r="O86" i="17"/>
  <c r="P86" i="17"/>
  <c r="Q86" i="17"/>
  <c r="G87" i="17"/>
  <c r="H87" i="17"/>
  <c r="I87" i="17"/>
  <c r="J87" i="17"/>
  <c r="L87" i="17" s="1"/>
  <c r="K87" i="17"/>
  <c r="M87" i="17" s="1"/>
  <c r="O87" i="17"/>
  <c r="P87" i="17"/>
  <c r="Q87" i="17"/>
  <c r="G88" i="17"/>
  <c r="H88" i="17"/>
  <c r="I88" i="17"/>
  <c r="J88" i="17"/>
  <c r="L88" i="17" s="1"/>
  <c r="K88" i="17"/>
  <c r="M88" i="17" s="1"/>
  <c r="O88" i="17"/>
  <c r="P88" i="17"/>
  <c r="Q88" i="17"/>
  <c r="G89" i="17"/>
  <c r="H89" i="17"/>
  <c r="I89" i="17"/>
  <c r="J89" i="17"/>
  <c r="L89" i="17" s="1"/>
  <c r="K89" i="17"/>
  <c r="M89" i="17" s="1"/>
  <c r="O89" i="17"/>
  <c r="P89" i="17"/>
  <c r="Q89" i="17"/>
  <c r="G90" i="17"/>
  <c r="H90" i="17"/>
  <c r="I90" i="17"/>
  <c r="J90" i="17"/>
  <c r="L90" i="17" s="1"/>
  <c r="K90" i="17"/>
  <c r="M90" i="17" s="1"/>
  <c r="O90" i="17"/>
  <c r="P90" i="17"/>
  <c r="Q90" i="17"/>
  <c r="G91" i="17"/>
  <c r="H91" i="17"/>
  <c r="I91" i="17"/>
  <c r="J91" i="17"/>
  <c r="K91" i="17"/>
  <c r="M91" i="17" s="1"/>
  <c r="L91" i="17"/>
  <c r="O91" i="17"/>
  <c r="P91" i="17"/>
  <c r="Q91" i="17"/>
  <c r="G92" i="17"/>
  <c r="H92" i="17"/>
  <c r="I92" i="17"/>
  <c r="J92" i="17"/>
  <c r="K92" i="17"/>
  <c r="M92" i="17" s="1"/>
  <c r="L92" i="17"/>
  <c r="O92" i="17"/>
  <c r="P92" i="17"/>
  <c r="Q92" i="17"/>
  <c r="G93" i="17"/>
  <c r="H93" i="17"/>
  <c r="I93" i="17"/>
  <c r="J93" i="17"/>
  <c r="L93" i="17" s="1"/>
  <c r="K93" i="17"/>
  <c r="M93" i="17" s="1"/>
  <c r="O93" i="17"/>
  <c r="P93" i="17"/>
  <c r="Q93" i="17"/>
  <c r="G94" i="17"/>
  <c r="H94" i="17"/>
  <c r="I94" i="17"/>
  <c r="J94" i="17"/>
  <c r="L94" i="17" s="1"/>
  <c r="K94" i="17"/>
  <c r="M94" i="17"/>
  <c r="O94" i="17"/>
  <c r="P94" i="17"/>
  <c r="Q94" i="17"/>
  <c r="G95" i="17"/>
  <c r="H95" i="17"/>
  <c r="I95" i="17"/>
  <c r="J95" i="17"/>
  <c r="L95" i="17" s="1"/>
  <c r="K95" i="17"/>
  <c r="M95" i="17" s="1"/>
  <c r="O95" i="17"/>
  <c r="P95" i="17"/>
  <c r="Q95" i="17"/>
  <c r="G96" i="17"/>
  <c r="H96" i="17"/>
  <c r="I96" i="17"/>
  <c r="J96" i="17"/>
  <c r="L96" i="17" s="1"/>
  <c r="K96" i="17"/>
  <c r="M96" i="17" s="1"/>
  <c r="N96" i="17" s="1"/>
  <c r="O96" i="17"/>
  <c r="P96" i="17"/>
  <c r="Q96" i="17"/>
  <c r="G97" i="17"/>
  <c r="H97" i="17"/>
  <c r="I97" i="17"/>
  <c r="J97" i="17"/>
  <c r="L97" i="17" s="1"/>
  <c r="K97" i="17"/>
  <c r="M97" i="17" s="1"/>
  <c r="O97" i="17"/>
  <c r="P97" i="17"/>
  <c r="Q97" i="17"/>
  <c r="G98" i="17"/>
  <c r="H98" i="17"/>
  <c r="I98" i="17"/>
  <c r="J98" i="17"/>
  <c r="L98" i="17" s="1"/>
  <c r="K98" i="17"/>
  <c r="M98" i="17" s="1"/>
  <c r="O98" i="17"/>
  <c r="P98" i="17"/>
  <c r="Q98" i="17"/>
  <c r="G99" i="17"/>
  <c r="H99" i="17"/>
  <c r="I99" i="17"/>
  <c r="J99" i="17"/>
  <c r="K99" i="17"/>
  <c r="M99" i="17" s="1"/>
  <c r="L99" i="17"/>
  <c r="O99" i="17"/>
  <c r="P99" i="17"/>
  <c r="Q99" i="17"/>
  <c r="G100" i="17"/>
  <c r="H100" i="17"/>
  <c r="I100" i="17"/>
  <c r="J100" i="17"/>
  <c r="L100" i="17" s="1"/>
  <c r="K100" i="17"/>
  <c r="M100" i="17" s="1"/>
  <c r="O100" i="17"/>
  <c r="P100" i="17"/>
  <c r="Q100" i="17"/>
  <c r="G101" i="17"/>
  <c r="H101" i="17"/>
  <c r="I101" i="17"/>
  <c r="J101" i="17"/>
  <c r="L101" i="17" s="1"/>
  <c r="K101" i="17"/>
  <c r="M101" i="17" s="1"/>
  <c r="O101" i="17"/>
  <c r="P101" i="17"/>
  <c r="Q101" i="17"/>
  <c r="G102" i="17"/>
  <c r="H102" i="17"/>
  <c r="I102" i="17"/>
  <c r="J102" i="17"/>
  <c r="L102" i="17" s="1"/>
  <c r="K102" i="17"/>
  <c r="M102" i="17" s="1"/>
  <c r="O102" i="17"/>
  <c r="P102" i="17"/>
  <c r="Q102" i="17"/>
  <c r="G103" i="17"/>
  <c r="H103" i="17"/>
  <c r="I103" i="17"/>
  <c r="J103" i="17"/>
  <c r="L103" i="17" s="1"/>
  <c r="K103" i="17"/>
  <c r="M103" i="17" s="1"/>
  <c r="O103" i="17"/>
  <c r="P103" i="17"/>
  <c r="Q103" i="17"/>
  <c r="G104" i="17"/>
  <c r="H104" i="17"/>
  <c r="I104" i="17"/>
  <c r="J104" i="17"/>
  <c r="L104" i="17" s="1"/>
  <c r="K104" i="17"/>
  <c r="M104" i="17" s="1"/>
  <c r="O104" i="17"/>
  <c r="P104" i="17"/>
  <c r="Q104" i="17"/>
  <c r="G105" i="17"/>
  <c r="H105" i="17"/>
  <c r="I105" i="17"/>
  <c r="J105" i="17"/>
  <c r="K105" i="17"/>
  <c r="L105" i="17"/>
  <c r="M105" i="17"/>
  <c r="O105" i="17"/>
  <c r="P105" i="17"/>
  <c r="Q105" i="17"/>
  <c r="G106" i="17"/>
  <c r="H106" i="17"/>
  <c r="I106" i="17"/>
  <c r="J106" i="17"/>
  <c r="L106" i="17" s="1"/>
  <c r="K106" i="17"/>
  <c r="M106" i="17" s="1"/>
  <c r="O106" i="17"/>
  <c r="P106" i="17"/>
  <c r="Q106" i="17"/>
  <c r="G107" i="17"/>
  <c r="H107" i="17"/>
  <c r="I107" i="17"/>
  <c r="J107" i="17"/>
  <c r="K107" i="17"/>
  <c r="M107" i="17" s="1"/>
  <c r="L107" i="17"/>
  <c r="O107" i="17"/>
  <c r="P107" i="17"/>
  <c r="Q107" i="17"/>
  <c r="G108" i="17"/>
  <c r="H108" i="17"/>
  <c r="I108" i="17"/>
  <c r="J108" i="17"/>
  <c r="L108" i="17" s="1"/>
  <c r="K108" i="17"/>
  <c r="M108" i="17" s="1"/>
  <c r="O108" i="17"/>
  <c r="P108" i="17"/>
  <c r="Q108" i="17"/>
  <c r="G109" i="17"/>
  <c r="H109" i="17"/>
  <c r="I109" i="17"/>
  <c r="J109" i="17"/>
  <c r="L109" i="17" s="1"/>
  <c r="K109" i="17"/>
  <c r="M109" i="17" s="1"/>
  <c r="O109" i="17"/>
  <c r="P109" i="17"/>
  <c r="Q109" i="17"/>
  <c r="G110" i="17"/>
  <c r="H110" i="17"/>
  <c r="I110" i="17"/>
  <c r="J110" i="17"/>
  <c r="L110" i="17" s="1"/>
  <c r="K110" i="17"/>
  <c r="M110" i="17"/>
  <c r="O110" i="17"/>
  <c r="P110" i="17"/>
  <c r="Q110" i="17"/>
  <c r="G111" i="17"/>
  <c r="H111" i="17"/>
  <c r="I111" i="17"/>
  <c r="J111" i="17"/>
  <c r="L111" i="17" s="1"/>
  <c r="K111" i="17"/>
  <c r="M111" i="17" s="1"/>
  <c r="N111" i="17" s="1"/>
  <c r="O111" i="17"/>
  <c r="P111" i="17"/>
  <c r="Q111" i="17"/>
  <c r="G112" i="17"/>
  <c r="H112" i="17"/>
  <c r="I112" i="17"/>
  <c r="J112" i="17"/>
  <c r="L112" i="17" s="1"/>
  <c r="K112" i="17"/>
  <c r="M112" i="17" s="1"/>
  <c r="N112" i="17" s="1"/>
  <c r="O112" i="17"/>
  <c r="P112" i="17"/>
  <c r="Q112" i="17"/>
  <c r="G113" i="17"/>
  <c r="H113" i="17"/>
  <c r="I113" i="17"/>
  <c r="J113" i="17"/>
  <c r="K113" i="17"/>
  <c r="M113" i="17" s="1"/>
  <c r="L113" i="17"/>
  <c r="O113" i="17"/>
  <c r="P113" i="17"/>
  <c r="Q113" i="17"/>
  <c r="G114" i="17"/>
  <c r="H114" i="17"/>
  <c r="I114" i="17"/>
  <c r="J114" i="17"/>
  <c r="L114" i="17" s="1"/>
  <c r="K114" i="17"/>
  <c r="M114" i="17" s="1"/>
  <c r="O114" i="17"/>
  <c r="P114" i="17"/>
  <c r="Q114" i="17"/>
  <c r="G115" i="17"/>
  <c r="H115" i="17"/>
  <c r="I115" i="17"/>
  <c r="J115" i="17"/>
  <c r="L115" i="17" s="1"/>
  <c r="N115" i="17" s="1"/>
  <c r="K115" i="17"/>
  <c r="M115" i="17" s="1"/>
  <c r="O115" i="17"/>
  <c r="P115" i="17"/>
  <c r="Q115" i="17"/>
  <c r="G116" i="17"/>
  <c r="H116" i="17"/>
  <c r="I116" i="17"/>
  <c r="J116" i="17"/>
  <c r="K116" i="17"/>
  <c r="M116" i="17" s="1"/>
  <c r="L116" i="17"/>
  <c r="O116" i="17"/>
  <c r="P116" i="17"/>
  <c r="Q116" i="17"/>
  <c r="G117" i="17"/>
  <c r="H117" i="17"/>
  <c r="I117" i="17"/>
  <c r="J117" i="17"/>
  <c r="L117" i="17" s="1"/>
  <c r="K117" i="17"/>
  <c r="M117" i="17" s="1"/>
  <c r="N117" i="17" s="1"/>
  <c r="O117" i="17"/>
  <c r="P117" i="17"/>
  <c r="Q117" i="17"/>
  <c r="G118" i="17"/>
  <c r="H118" i="17"/>
  <c r="I118" i="17"/>
  <c r="J118" i="17"/>
  <c r="L118" i="17" s="1"/>
  <c r="K118" i="17"/>
  <c r="M118" i="17"/>
  <c r="O118" i="17"/>
  <c r="P118" i="17"/>
  <c r="Q118" i="17"/>
  <c r="G119" i="17"/>
  <c r="H119" i="17"/>
  <c r="I119" i="17"/>
  <c r="J119" i="17"/>
  <c r="L119" i="17" s="1"/>
  <c r="K119" i="17"/>
  <c r="M119" i="17" s="1"/>
  <c r="N119" i="17" s="1"/>
  <c r="O119" i="17"/>
  <c r="P119" i="17"/>
  <c r="Q119" i="17"/>
  <c r="G120" i="17"/>
  <c r="H120" i="17"/>
  <c r="I120" i="17"/>
  <c r="J120" i="17"/>
  <c r="L120" i="17" s="1"/>
  <c r="K120" i="17"/>
  <c r="M120" i="17" s="1"/>
  <c r="O120" i="17"/>
  <c r="P120" i="17"/>
  <c r="Q120" i="17"/>
  <c r="G121" i="17"/>
  <c r="H121" i="17"/>
  <c r="I121" i="17"/>
  <c r="J121" i="17"/>
  <c r="K121" i="17"/>
  <c r="M121" i="17" s="1"/>
  <c r="L121" i="17"/>
  <c r="O121" i="17"/>
  <c r="P121" i="17"/>
  <c r="Q121" i="17"/>
  <c r="G122" i="17"/>
  <c r="H122" i="17"/>
  <c r="I122" i="17"/>
  <c r="J122" i="17"/>
  <c r="L122" i="17" s="1"/>
  <c r="K122" i="17"/>
  <c r="M122" i="17" s="1"/>
  <c r="O122" i="17"/>
  <c r="P122" i="17"/>
  <c r="Q122" i="17"/>
  <c r="G123" i="17"/>
  <c r="H123" i="17"/>
  <c r="I123" i="17"/>
  <c r="J123" i="17"/>
  <c r="L123" i="17" s="1"/>
  <c r="N123" i="17" s="1"/>
  <c r="K123" i="17"/>
  <c r="M123" i="17" s="1"/>
  <c r="O123" i="17"/>
  <c r="P123" i="17"/>
  <c r="Q123" i="17"/>
  <c r="G124" i="17"/>
  <c r="H124" i="17"/>
  <c r="I124" i="17"/>
  <c r="J124" i="17"/>
  <c r="L124" i="17" s="1"/>
  <c r="K124" i="17"/>
  <c r="M124" i="17" s="1"/>
  <c r="O124" i="17"/>
  <c r="P124" i="17"/>
  <c r="Q124" i="17"/>
  <c r="G125" i="17"/>
  <c r="H125" i="17"/>
  <c r="I125" i="17"/>
  <c r="J125" i="17"/>
  <c r="L125" i="17" s="1"/>
  <c r="K125" i="17"/>
  <c r="M125" i="17" s="1"/>
  <c r="O125" i="17"/>
  <c r="P125" i="17"/>
  <c r="Q125" i="17"/>
  <c r="G126" i="17"/>
  <c r="H126" i="17"/>
  <c r="I126" i="17"/>
  <c r="J126" i="17"/>
  <c r="L126" i="17" s="1"/>
  <c r="K126" i="17"/>
  <c r="M126" i="17" s="1"/>
  <c r="O126" i="17"/>
  <c r="P126" i="17"/>
  <c r="Q126" i="17"/>
  <c r="G127" i="17"/>
  <c r="H127" i="17"/>
  <c r="I127" i="17"/>
  <c r="J127" i="17"/>
  <c r="L127" i="17" s="1"/>
  <c r="K127" i="17"/>
  <c r="M127" i="17" s="1"/>
  <c r="O127" i="17"/>
  <c r="P127" i="17"/>
  <c r="Q127" i="17"/>
  <c r="G128" i="17"/>
  <c r="H128" i="17"/>
  <c r="I128" i="17"/>
  <c r="J128" i="17"/>
  <c r="L128" i="17" s="1"/>
  <c r="K128" i="17"/>
  <c r="M128" i="17" s="1"/>
  <c r="O128" i="17"/>
  <c r="P128" i="17"/>
  <c r="Q128" i="17"/>
  <c r="G129" i="17"/>
  <c r="H129" i="17"/>
  <c r="I129" i="17"/>
  <c r="J129" i="17"/>
  <c r="K129" i="17"/>
  <c r="M129" i="17" s="1"/>
  <c r="L129" i="17"/>
  <c r="O129" i="17"/>
  <c r="P129" i="17"/>
  <c r="Q129" i="17"/>
  <c r="G130" i="17"/>
  <c r="H130" i="17"/>
  <c r="I130" i="17"/>
  <c r="J130" i="17"/>
  <c r="K130" i="17"/>
  <c r="M130" i="17" s="1"/>
  <c r="L130" i="17"/>
  <c r="O130" i="17"/>
  <c r="P130" i="17"/>
  <c r="Q130" i="17"/>
  <c r="G131" i="17"/>
  <c r="H131" i="17"/>
  <c r="I131" i="17"/>
  <c r="J131" i="17"/>
  <c r="K131" i="17"/>
  <c r="M131" i="17" s="1"/>
  <c r="L131" i="17"/>
  <c r="O131" i="17"/>
  <c r="P131" i="17"/>
  <c r="Q131" i="17"/>
  <c r="G132" i="17"/>
  <c r="H132" i="17"/>
  <c r="I132" i="17"/>
  <c r="J132" i="17"/>
  <c r="L132" i="17" s="1"/>
  <c r="K132" i="17"/>
  <c r="M132" i="17" s="1"/>
  <c r="O132" i="17"/>
  <c r="P132" i="17"/>
  <c r="Q132" i="17"/>
  <c r="G133" i="17"/>
  <c r="H133" i="17"/>
  <c r="I133" i="17"/>
  <c r="J133" i="17"/>
  <c r="L133" i="17" s="1"/>
  <c r="K133" i="17"/>
  <c r="M133" i="17" s="1"/>
  <c r="O133" i="17"/>
  <c r="P133" i="17"/>
  <c r="Q133" i="17"/>
  <c r="G134" i="17"/>
  <c r="H134" i="17"/>
  <c r="I134" i="17"/>
  <c r="J134" i="17"/>
  <c r="L134" i="17" s="1"/>
  <c r="K134" i="17"/>
  <c r="M134" i="17" s="1"/>
  <c r="O134" i="17"/>
  <c r="P134" i="17"/>
  <c r="Q134" i="17"/>
  <c r="G135" i="17"/>
  <c r="H135" i="17"/>
  <c r="I135" i="17"/>
  <c r="J135" i="17"/>
  <c r="L135" i="17" s="1"/>
  <c r="K135" i="17"/>
  <c r="M135" i="17"/>
  <c r="O135" i="17"/>
  <c r="P135" i="17"/>
  <c r="Q135" i="17"/>
  <c r="G136" i="17"/>
  <c r="H136" i="17"/>
  <c r="I136" i="17"/>
  <c r="J136" i="17"/>
  <c r="L136" i="17" s="1"/>
  <c r="K136" i="17"/>
  <c r="M136" i="17" s="1"/>
  <c r="O136" i="17"/>
  <c r="P136" i="17"/>
  <c r="Q136" i="17"/>
  <c r="G137" i="17"/>
  <c r="H137" i="17"/>
  <c r="I137" i="17"/>
  <c r="J137" i="17"/>
  <c r="L137" i="17" s="1"/>
  <c r="K137" i="17"/>
  <c r="M137" i="17" s="1"/>
  <c r="O137" i="17"/>
  <c r="P137" i="17"/>
  <c r="Q137" i="17"/>
  <c r="G138" i="17"/>
  <c r="H138" i="17"/>
  <c r="I138" i="17"/>
  <c r="J138" i="17"/>
  <c r="L138" i="17" s="1"/>
  <c r="K138" i="17"/>
  <c r="M138" i="17" s="1"/>
  <c r="O138" i="17"/>
  <c r="P138" i="17"/>
  <c r="Q138" i="17"/>
  <c r="G139" i="17"/>
  <c r="H139" i="17"/>
  <c r="I139" i="17"/>
  <c r="J139" i="17"/>
  <c r="L139" i="17" s="1"/>
  <c r="K139" i="17"/>
  <c r="M139" i="17" s="1"/>
  <c r="O139" i="17"/>
  <c r="P139" i="17"/>
  <c r="Q139" i="17"/>
  <c r="G140" i="17"/>
  <c r="H140" i="17"/>
  <c r="I140" i="17"/>
  <c r="J140" i="17"/>
  <c r="L140" i="17" s="1"/>
  <c r="K140" i="17"/>
  <c r="M140" i="17" s="1"/>
  <c r="O140" i="17"/>
  <c r="P140" i="17"/>
  <c r="Q140" i="17"/>
  <c r="G141" i="17"/>
  <c r="H141" i="17"/>
  <c r="I141" i="17"/>
  <c r="J141" i="17"/>
  <c r="L141" i="17" s="1"/>
  <c r="K141" i="17"/>
  <c r="M141" i="17" s="1"/>
  <c r="O141" i="17"/>
  <c r="P141" i="17"/>
  <c r="Q141" i="17"/>
  <c r="G142" i="17"/>
  <c r="H142" i="17"/>
  <c r="I142" i="17"/>
  <c r="J142" i="17"/>
  <c r="L142" i="17" s="1"/>
  <c r="K142" i="17"/>
  <c r="M142" i="17" s="1"/>
  <c r="O142" i="17"/>
  <c r="P142" i="17"/>
  <c r="Q142" i="17"/>
  <c r="G143" i="17"/>
  <c r="H143" i="17"/>
  <c r="I143" i="17"/>
  <c r="J143" i="17"/>
  <c r="L143" i="17" s="1"/>
  <c r="K143" i="17"/>
  <c r="M143" i="17" s="1"/>
  <c r="O143" i="17"/>
  <c r="P143" i="17"/>
  <c r="Q143" i="17"/>
  <c r="G144" i="17"/>
  <c r="H144" i="17"/>
  <c r="I144" i="17"/>
  <c r="J144" i="17"/>
  <c r="K144" i="17"/>
  <c r="L144" i="17"/>
  <c r="M144" i="17"/>
  <c r="O144" i="17"/>
  <c r="P144" i="17"/>
  <c r="Q144" i="17"/>
  <c r="G145" i="17"/>
  <c r="H145" i="17"/>
  <c r="I145" i="17"/>
  <c r="J145" i="17"/>
  <c r="L145" i="17" s="1"/>
  <c r="K145" i="17"/>
  <c r="M145" i="17"/>
  <c r="O145" i="17"/>
  <c r="P145" i="17"/>
  <c r="Q145" i="17"/>
  <c r="G146" i="17"/>
  <c r="H146" i="17"/>
  <c r="I146" i="17"/>
  <c r="J146" i="17"/>
  <c r="L146" i="17" s="1"/>
  <c r="K146" i="17"/>
  <c r="M146" i="17" s="1"/>
  <c r="N146" i="17" s="1"/>
  <c r="O146" i="17"/>
  <c r="P146" i="17"/>
  <c r="Q146" i="17"/>
  <c r="G147" i="17"/>
  <c r="H147" i="17"/>
  <c r="I147" i="17"/>
  <c r="J147" i="17"/>
  <c r="L147" i="17" s="1"/>
  <c r="N147" i="17" s="1"/>
  <c r="K147" i="17"/>
  <c r="M147" i="17" s="1"/>
  <c r="O147" i="17"/>
  <c r="P147" i="17"/>
  <c r="Q147" i="17"/>
  <c r="G148" i="17"/>
  <c r="H148" i="17"/>
  <c r="I148" i="17"/>
  <c r="J148" i="17"/>
  <c r="L148" i="17" s="1"/>
  <c r="K148" i="17"/>
  <c r="M148" i="17" s="1"/>
  <c r="O148" i="17"/>
  <c r="P148" i="17"/>
  <c r="Q148" i="17"/>
  <c r="G149" i="17"/>
  <c r="H149" i="17"/>
  <c r="I149" i="17"/>
  <c r="J149" i="17"/>
  <c r="L149" i="17" s="1"/>
  <c r="K149" i="17"/>
  <c r="M149" i="17" s="1"/>
  <c r="O149" i="17"/>
  <c r="P149" i="17"/>
  <c r="Q149" i="17"/>
  <c r="G150" i="17"/>
  <c r="H150" i="17"/>
  <c r="I150" i="17"/>
  <c r="J150" i="17"/>
  <c r="L150" i="17" s="1"/>
  <c r="K150" i="17"/>
  <c r="M150" i="17" s="1"/>
  <c r="O150" i="17"/>
  <c r="P150" i="17"/>
  <c r="Q150" i="17"/>
  <c r="G151" i="17"/>
  <c r="H151" i="17"/>
  <c r="I151" i="17"/>
  <c r="J151" i="17"/>
  <c r="L151" i="17" s="1"/>
  <c r="K151" i="17"/>
  <c r="M151" i="17" s="1"/>
  <c r="O151" i="17"/>
  <c r="P151" i="17"/>
  <c r="Q151" i="17"/>
  <c r="G152" i="17"/>
  <c r="H152" i="17"/>
  <c r="I152" i="17"/>
  <c r="J152" i="17"/>
  <c r="L152" i="17" s="1"/>
  <c r="K152" i="17"/>
  <c r="M152" i="17" s="1"/>
  <c r="O152" i="17"/>
  <c r="P152" i="17"/>
  <c r="Q152" i="17"/>
  <c r="G153" i="17"/>
  <c r="H153" i="17"/>
  <c r="I153" i="17"/>
  <c r="J153" i="17"/>
  <c r="L153" i="17" s="1"/>
  <c r="K153" i="17"/>
  <c r="M153" i="17" s="1"/>
  <c r="O153" i="17"/>
  <c r="P153" i="17"/>
  <c r="Q153" i="17"/>
  <c r="G154" i="17"/>
  <c r="H154" i="17"/>
  <c r="I154" i="17"/>
  <c r="J154" i="17"/>
  <c r="L154" i="17" s="1"/>
  <c r="K154" i="17"/>
  <c r="M154" i="17" s="1"/>
  <c r="O154" i="17"/>
  <c r="P154" i="17"/>
  <c r="Q154" i="17"/>
  <c r="G155" i="17"/>
  <c r="H155" i="17"/>
  <c r="I155" i="17"/>
  <c r="J155" i="17"/>
  <c r="K155" i="17"/>
  <c r="M155" i="17" s="1"/>
  <c r="L155" i="17"/>
  <c r="O155" i="17"/>
  <c r="P155" i="17"/>
  <c r="Q155" i="17"/>
  <c r="G156" i="17"/>
  <c r="H156" i="17"/>
  <c r="I156" i="17"/>
  <c r="J156" i="17"/>
  <c r="K156" i="17"/>
  <c r="M156" i="17" s="1"/>
  <c r="L156" i="17"/>
  <c r="O156" i="17"/>
  <c r="P156" i="17"/>
  <c r="Q156" i="17"/>
  <c r="G157" i="17"/>
  <c r="H157" i="17"/>
  <c r="I157" i="17"/>
  <c r="J157" i="17"/>
  <c r="L157" i="17" s="1"/>
  <c r="K157" i="17"/>
  <c r="M157" i="17" s="1"/>
  <c r="N157" i="17" s="1"/>
  <c r="O157" i="17"/>
  <c r="P157" i="17"/>
  <c r="Q157" i="17"/>
  <c r="G158" i="17"/>
  <c r="H158" i="17"/>
  <c r="I158" i="17"/>
  <c r="J158" i="17"/>
  <c r="L158" i="17" s="1"/>
  <c r="K158" i="17"/>
  <c r="M158" i="17" s="1"/>
  <c r="O158" i="17"/>
  <c r="P158" i="17"/>
  <c r="Q158" i="17"/>
  <c r="G159" i="17"/>
  <c r="H159" i="17"/>
  <c r="I159" i="17"/>
  <c r="J159" i="17"/>
  <c r="L159" i="17" s="1"/>
  <c r="K159" i="17"/>
  <c r="M159" i="17"/>
  <c r="O159" i="17"/>
  <c r="P159" i="17"/>
  <c r="Q159" i="17"/>
  <c r="G160" i="17"/>
  <c r="H160" i="17"/>
  <c r="I160" i="17"/>
  <c r="J160" i="17"/>
  <c r="L160" i="17" s="1"/>
  <c r="K160" i="17"/>
  <c r="M160" i="17" s="1"/>
  <c r="O160" i="17"/>
  <c r="P160" i="17"/>
  <c r="Q160" i="17"/>
  <c r="G161" i="17"/>
  <c r="H161" i="17"/>
  <c r="I161" i="17"/>
  <c r="J161" i="17"/>
  <c r="L161" i="17" s="1"/>
  <c r="K161" i="17"/>
  <c r="M161" i="17" s="1"/>
  <c r="O161" i="17"/>
  <c r="P161" i="17"/>
  <c r="Q161" i="17"/>
  <c r="G162" i="17"/>
  <c r="H162" i="17"/>
  <c r="I162" i="17"/>
  <c r="J162" i="17"/>
  <c r="L162" i="17" s="1"/>
  <c r="K162" i="17"/>
  <c r="M162" i="17" s="1"/>
  <c r="O162" i="17"/>
  <c r="P162" i="17"/>
  <c r="Q162" i="17"/>
  <c r="G163" i="17"/>
  <c r="H163" i="17"/>
  <c r="I163" i="17"/>
  <c r="J163" i="17"/>
  <c r="K163" i="17"/>
  <c r="M163" i="17" s="1"/>
  <c r="L163" i="17"/>
  <c r="O163" i="17"/>
  <c r="P163" i="17"/>
  <c r="Q163" i="17"/>
  <c r="G164" i="17"/>
  <c r="H164" i="17"/>
  <c r="I164" i="17"/>
  <c r="J164" i="17"/>
  <c r="L164" i="17" s="1"/>
  <c r="K164" i="17"/>
  <c r="M164" i="17" s="1"/>
  <c r="O164" i="17"/>
  <c r="P164" i="17"/>
  <c r="Q164" i="17"/>
  <c r="G165" i="17"/>
  <c r="H165" i="17"/>
  <c r="I165" i="17"/>
  <c r="J165" i="17"/>
  <c r="L165" i="17" s="1"/>
  <c r="K165" i="17"/>
  <c r="M165" i="17" s="1"/>
  <c r="O165" i="17"/>
  <c r="P165" i="17"/>
  <c r="Q165" i="17"/>
  <c r="G166" i="17"/>
  <c r="H166" i="17"/>
  <c r="I166" i="17"/>
  <c r="J166" i="17"/>
  <c r="L166" i="17" s="1"/>
  <c r="K166" i="17"/>
  <c r="M166" i="17" s="1"/>
  <c r="O166" i="17"/>
  <c r="P166" i="17"/>
  <c r="Q166" i="17"/>
  <c r="G167" i="17"/>
  <c r="H167" i="17"/>
  <c r="I167" i="17"/>
  <c r="J167" i="17"/>
  <c r="L167" i="17" s="1"/>
  <c r="K167" i="17"/>
  <c r="M167" i="17" s="1"/>
  <c r="O167" i="17"/>
  <c r="P167" i="17"/>
  <c r="Q167" i="17"/>
  <c r="G168" i="17"/>
  <c r="H168" i="17"/>
  <c r="I168" i="17"/>
  <c r="J168" i="17"/>
  <c r="L168" i="17" s="1"/>
  <c r="K168" i="17"/>
  <c r="M168" i="17" s="1"/>
  <c r="O168" i="17"/>
  <c r="P168" i="17"/>
  <c r="Q168" i="17"/>
  <c r="G169" i="17"/>
  <c r="H169" i="17"/>
  <c r="I169" i="17"/>
  <c r="J169" i="17"/>
  <c r="K169" i="17"/>
  <c r="L169" i="17"/>
  <c r="M169" i="17"/>
  <c r="O169" i="17"/>
  <c r="P169" i="17"/>
  <c r="Q169" i="17"/>
  <c r="G170" i="17"/>
  <c r="H170" i="17"/>
  <c r="I170" i="17"/>
  <c r="J170" i="17"/>
  <c r="K170" i="17"/>
  <c r="M170" i="17" s="1"/>
  <c r="L170" i="17"/>
  <c r="O170" i="17"/>
  <c r="P170" i="17"/>
  <c r="Q170" i="17"/>
  <c r="G171" i="17"/>
  <c r="H171" i="17"/>
  <c r="I171" i="17"/>
  <c r="J171" i="17"/>
  <c r="L171" i="17" s="1"/>
  <c r="K171" i="17"/>
  <c r="M171" i="17" s="1"/>
  <c r="O171" i="17"/>
  <c r="P171" i="17"/>
  <c r="Q171" i="17"/>
  <c r="G172" i="17"/>
  <c r="H172" i="17"/>
  <c r="I172" i="17"/>
  <c r="J172" i="17"/>
  <c r="L172" i="17" s="1"/>
  <c r="K172" i="17"/>
  <c r="M172" i="17" s="1"/>
  <c r="O172" i="17"/>
  <c r="P172" i="17"/>
  <c r="Q172" i="17"/>
  <c r="G173" i="17"/>
  <c r="H173" i="17"/>
  <c r="I173" i="17"/>
  <c r="J173" i="17"/>
  <c r="L173" i="17" s="1"/>
  <c r="K173" i="17"/>
  <c r="M173" i="17" s="1"/>
  <c r="O173" i="17"/>
  <c r="P173" i="17"/>
  <c r="Q173" i="17"/>
  <c r="G174" i="17"/>
  <c r="H174" i="17"/>
  <c r="I174" i="17"/>
  <c r="J174" i="17"/>
  <c r="L174" i="17" s="1"/>
  <c r="K174" i="17"/>
  <c r="M174" i="17" s="1"/>
  <c r="O174" i="17"/>
  <c r="P174" i="17"/>
  <c r="Q174" i="17"/>
  <c r="G175" i="17"/>
  <c r="H175" i="17"/>
  <c r="I175" i="17"/>
  <c r="J175" i="17"/>
  <c r="L175" i="17" s="1"/>
  <c r="K175" i="17"/>
  <c r="M175" i="17" s="1"/>
  <c r="O175" i="17"/>
  <c r="P175" i="17"/>
  <c r="Q175" i="17"/>
  <c r="G176" i="17"/>
  <c r="H176" i="17"/>
  <c r="I176" i="17"/>
  <c r="J176" i="17"/>
  <c r="L176" i="17" s="1"/>
  <c r="K176" i="17"/>
  <c r="M176" i="17" s="1"/>
  <c r="O176" i="17"/>
  <c r="P176" i="17"/>
  <c r="Q176" i="17"/>
  <c r="G177" i="17"/>
  <c r="H177" i="17"/>
  <c r="I177" i="17"/>
  <c r="J177" i="17"/>
  <c r="L177" i="17" s="1"/>
  <c r="K177" i="17"/>
  <c r="M177" i="17" s="1"/>
  <c r="N177" i="17" s="1"/>
  <c r="O177" i="17"/>
  <c r="P177" i="17"/>
  <c r="Q177" i="17"/>
  <c r="G178" i="17"/>
  <c r="H178" i="17"/>
  <c r="I178" i="17"/>
  <c r="J178" i="17"/>
  <c r="L178" i="17" s="1"/>
  <c r="K178" i="17"/>
  <c r="M178" i="17" s="1"/>
  <c r="O178" i="17"/>
  <c r="P178" i="17"/>
  <c r="Q178" i="17"/>
  <c r="G179" i="17"/>
  <c r="H179" i="17"/>
  <c r="I179" i="17"/>
  <c r="J179" i="17"/>
  <c r="K179" i="17"/>
  <c r="M179" i="17" s="1"/>
  <c r="L179" i="17"/>
  <c r="O179" i="17"/>
  <c r="P179" i="17"/>
  <c r="Q179" i="17"/>
  <c r="G180" i="17"/>
  <c r="H180" i="17"/>
  <c r="I180" i="17"/>
  <c r="J180" i="17"/>
  <c r="K180" i="17"/>
  <c r="L180" i="17"/>
  <c r="M180" i="17"/>
  <c r="N180" i="17" s="1"/>
  <c r="O180" i="17"/>
  <c r="P180" i="17"/>
  <c r="Q180" i="17"/>
  <c r="G181" i="17"/>
  <c r="H181" i="17"/>
  <c r="I181" i="17"/>
  <c r="J181" i="17"/>
  <c r="L181" i="17" s="1"/>
  <c r="K181" i="17"/>
  <c r="M181" i="17" s="1"/>
  <c r="O181" i="17"/>
  <c r="P181" i="17"/>
  <c r="Q181" i="17"/>
  <c r="G182" i="17"/>
  <c r="H182" i="17"/>
  <c r="I182" i="17"/>
  <c r="J182" i="17"/>
  <c r="L182" i="17" s="1"/>
  <c r="K182" i="17"/>
  <c r="M182" i="17" s="1"/>
  <c r="O182" i="17"/>
  <c r="P182" i="17"/>
  <c r="Q182" i="17"/>
  <c r="G183" i="17"/>
  <c r="H183" i="17"/>
  <c r="I183" i="17"/>
  <c r="J183" i="17"/>
  <c r="L183" i="17" s="1"/>
  <c r="K183" i="17"/>
  <c r="M183" i="17" s="1"/>
  <c r="O183" i="17"/>
  <c r="P183" i="17"/>
  <c r="Q183" i="17"/>
  <c r="G184" i="17"/>
  <c r="H184" i="17"/>
  <c r="I184" i="17"/>
  <c r="J184" i="17"/>
  <c r="L184" i="17" s="1"/>
  <c r="K184" i="17"/>
  <c r="M184" i="17" s="1"/>
  <c r="O184" i="17"/>
  <c r="P184" i="17"/>
  <c r="Q184" i="17"/>
  <c r="G185" i="17"/>
  <c r="H185" i="17"/>
  <c r="I185" i="17"/>
  <c r="J185" i="17"/>
  <c r="L185" i="17" s="1"/>
  <c r="K185" i="17"/>
  <c r="M185" i="17" s="1"/>
  <c r="O185" i="17"/>
  <c r="P185" i="17"/>
  <c r="Q185" i="17"/>
  <c r="G186" i="17"/>
  <c r="H186" i="17"/>
  <c r="I186" i="17"/>
  <c r="J186" i="17"/>
  <c r="L186" i="17" s="1"/>
  <c r="K186" i="17"/>
  <c r="M186" i="17" s="1"/>
  <c r="O186" i="17"/>
  <c r="P186" i="17"/>
  <c r="Q186" i="17"/>
  <c r="G187" i="17"/>
  <c r="H187" i="17"/>
  <c r="I187" i="17"/>
  <c r="J187" i="17"/>
  <c r="L187" i="17" s="1"/>
  <c r="K187" i="17"/>
  <c r="M187" i="17" s="1"/>
  <c r="O187" i="17"/>
  <c r="P187" i="17"/>
  <c r="Q187" i="17"/>
  <c r="G188" i="17"/>
  <c r="H188" i="17"/>
  <c r="I188" i="17"/>
  <c r="J188" i="17"/>
  <c r="L188" i="17" s="1"/>
  <c r="K188" i="17"/>
  <c r="M188" i="17" s="1"/>
  <c r="O188" i="17"/>
  <c r="P188" i="17"/>
  <c r="Q188" i="17"/>
  <c r="G189" i="17"/>
  <c r="H189" i="17"/>
  <c r="I189" i="17"/>
  <c r="J189" i="17"/>
  <c r="L189" i="17" s="1"/>
  <c r="K189" i="17"/>
  <c r="M189" i="17" s="1"/>
  <c r="O189" i="17"/>
  <c r="P189" i="17"/>
  <c r="Q189" i="17"/>
  <c r="G190" i="17"/>
  <c r="H190" i="17"/>
  <c r="I190" i="17"/>
  <c r="J190" i="17"/>
  <c r="L190" i="17" s="1"/>
  <c r="K190" i="17"/>
  <c r="M190" i="17"/>
  <c r="O190" i="17"/>
  <c r="P190" i="17"/>
  <c r="Q190" i="17"/>
  <c r="G191" i="17"/>
  <c r="H191" i="17"/>
  <c r="I191" i="17"/>
  <c r="J191" i="17"/>
  <c r="L191" i="17" s="1"/>
  <c r="K191" i="17"/>
  <c r="M191" i="17" s="1"/>
  <c r="N191" i="17" s="1"/>
  <c r="O191" i="17"/>
  <c r="P191" i="17"/>
  <c r="Q191" i="17"/>
  <c r="G192" i="17"/>
  <c r="H192" i="17"/>
  <c r="I192" i="17"/>
  <c r="J192" i="17"/>
  <c r="L192" i="17" s="1"/>
  <c r="K192" i="17"/>
  <c r="M192" i="17"/>
  <c r="O192" i="17"/>
  <c r="P192" i="17"/>
  <c r="Q192" i="17"/>
  <c r="G193" i="17"/>
  <c r="H193" i="17"/>
  <c r="I193" i="17"/>
  <c r="J193" i="17"/>
  <c r="L193" i="17" s="1"/>
  <c r="K193" i="17"/>
  <c r="M193" i="17" s="1"/>
  <c r="O193" i="17"/>
  <c r="P193" i="17"/>
  <c r="Q193" i="17"/>
  <c r="G194" i="17"/>
  <c r="H194" i="17"/>
  <c r="I194" i="17"/>
  <c r="J194" i="17"/>
  <c r="K194" i="17"/>
  <c r="M194" i="17" s="1"/>
  <c r="L194" i="17"/>
  <c r="N194" i="17" s="1"/>
  <c r="O194" i="17"/>
  <c r="P194" i="17"/>
  <c r="Q194" i="17"/>
  <c r="G195" i="17"/>
  <c r="H195" i="17"/>
  <c r="I195" i="17"/>
  <c r="J195" i="17"/>
  <c r="L195" i="17" s="1"/>
  <c r="K195" i="17"/>
  <c r="M195" i="17" s="1"/>
  <c r="O195" i="17"/>
  <c r="P195" i="17"/>
  <c r="Q195" i="17"/>
  <c r="G196" i="17"/>
  <c r="H196" i="17"/>
  <c r="I196" i="17"/>
  <c r="J196" i="17"/>
  <c r="L196" i="17" s="1"/>
  <c r="K196" i="17"/>
  <c r="M196" i="17" s="1"/>
  <c r="O196" i="17"/>
  <c r="P196" i="17"/>
  <c r="Q196" i="17"/>
  <c r="G197" i="17"/>
  <c r="H197" i="17"/>
  <c r="I197" i="17"/>
  <c r="J197" i="17"/>
  <c r="L197" i="17" s="1"/>
  <c r="K197" i="17"/>
  <c r="M197" i="17" s="1"/>
  <c r="N197" i="17" s="1"/>
  <c r="O197" i="17"/>
  <c r="P197" i="17"/>
  <c r="Q197" i="17"/>
  <c r="G198" i="17"/>
  <c r="H198" i="17"/>
  <c r="I198" i="17"/>
  <c r="J198" i="17"/>
  <c r="L198" i="17" s="1"/>
  <c r="K198" i="17"/>
  <c r="M198" i="17" s="1"/>
  <c r="O198" i="17"/>
  <c r="P198" i="17"/>
  <c r="Q198" i="17"/>
  <c r="G199" i="17"/>
  <c r="H199" i="17"/>
  <c r="I199" i="17"/>
  <c r="J199" i="17"/>
  <c r="L199" i="17" s="1"/>
  <c r="K199" i="17"/>
  <c r="M199" i="17" s="1"/>
  <c r="O199" i="17"/>
  <c r="P199" i="17"/>
  <c r="Q199" i="17"/>
  <c r="G200" i="17"/>
  <c r="H200" i="17"/>
  <c r="I200" i="17"/>
  <c r="J200" i="17"/>
  <c r="L200" i="17" s="1"/>
  <c r="K200" i="17"/>
  <c r="M200" i="17" s="1"/>
  <c r="O200" i="17"/>
  <c r="P200" i="17"/>
  <c r="Q200" i="17"/>
  <c r="G201" i="17"/>
  <c r="H201" i="17"/>
  <c r="I201" i="17"/>
  <c r="J201" i="17"/>
  <c r="L201" i="17" s="1"/>
  <c r="K201" i="17"/>
  <c r="M201" i="17" s="1"/>
  <c r="O201" i="17"/>
  <c r="P201" i="17"/>
  <c r="Q201" i="17"/>
  <c r="G202" i="17"/>
  <c r="H202" i="17"/>
  <c r="I202" i="17"/>
  <c r="J202" i="17"/>
  <c r="L202" i="17" s="1"/>
  <c r="K202" i="17"/>
  <c r="M202" i="17" s="1"/>
  <c r="O202" i="17"/>
  <c r="P202" i="17"/>
  <c r="Q202" i="17"/>
  <c r="G203" i="17"/>
  <c r="H203" i="17"/>
  <c r="I203" i="17"/>
  <c r="J203" i="17"/>
  <c r="K203" i="17"/>
  <c r="M203" i="17" s="1"/>
  <c r="L203" i="17"/>
  <c r="O203" i="17"/>
  <c r="P203" i="17"/>
  <c r="Q203" i="17"/>
  <c r="G204" i="17"/>
  <c r="H204" i="17"/>
  <c r="I204" i="17"/>
  <c r="J204" i="17"/>
  <c r="K204" i="17"/>
  <c r="L204" i="17"/>
  <c r="M204" i="17"/>
  <c r="N204" i="17" s="1"/>
  <c r="O204" i="17"/>
  <c r="P204" i="17"/>
  <c r="Q204" i="17"/>
  <c r="G205" i="17"/>
  <c r="H205" i="17"/>
  <c r="I205" i="17"/>
  <c r="J205" i="17"/>
  <c r="L205" i="17" s="1"/>
  <c r="K205" i="17"/>
  <c r="M205" i="17" s="1"/>
  <c r="N205" i="17" s="1"/>
  <c r="O205" i="17"/>
  <c r="P205" i="17"/>
  <c r="Q205" i="17"/>
  <c r="G206" i="17"/>
  <c r="H206" i="17"/>
  <c r="I206" i="17"/>
  <c r="J206" i="17"/>
  <c r="L206" i="17" s="1"/>
  <c r="K206" i="17"/>
  <c r="M206" i="17" s="1"/>
  <c r="O206" i="17"/>
  <c r="P206" i="17"/>
  <c r="Q206" i="17"/>
  <c r="G207" i="17"/>
  <c r="H207" i="17"/>
  <c r="I207" i="17"/>
  <c r="J207" i="17"/>
  <c r="L207" i="17" s="1"/>
  <c r="K207" i="17"/>
  <c r="M207" i="17" s="1"/>
  <c r="O207" i="17"/>
  <c r="P207" i="17"/>
  <c r="Q207" i="17"/>
  <c r="G208" i="17"/>
  <c r="H208" i="17"/>
  <c r="I208" i="17"/>
  <c r="J208" i="17"/>
  <c r="L208" i="17" s="1"/>
  <c r="K208" i="17"/>
  <c r="M208" i="17" s="1"/>
  <c r="O208" i="17"/>
  <c r="P208" i="17"/>
  <c r="Q208" i="17"/>
  <c r="G209" i="17"/>
  <c r="H209" i="17"/>
  <c r="I209" i="17"/>
  <c r="J209" i="17"/>
  <c r="L209" i="17" s="1"/>
  <c r="K209" i="17"/>
  <c r="M209" i="17" s="1"/>
  <c r="O209" i="17"/>
  <c r="P209" i="17"/>
  <c r="Q209" i="17"/>
  <c r="G210" i="17"/>
  <c r="H210" i="17"/>
  <c r="I210" i="17"/>
  <c r="J210" i="17"/>
  <c r="L210" i="17" s="1"/>
  <c r="K210" i="17"/>
  <c r="M210" i="17" s="1"/>
  <c r="O210" i="17"/>
  <c r="P210" i="17"/>
  <c r="Q210" i="17"/>
  <c r="G211" i="17"/>
  <c r="H211" i="17"/>
  <c r="I211" i="17"/>
  <c r="J211" i="17"/>
  <c r="L211" i="17" s="1"/>
  <c r="N211" i="17" s="1"/>
  <c r="K211" i="17"/>
  <c r="M211" i="17" s="1"/>
  <c r="O211" i="17"/>
  <c r="P211" i="17"/>
  <c r="Q211" i="17"/>
  <c r="G212" i="17"/>
  <c r="H212" i="17"/>
  <c r="I212" i="17"/>
  <c r="J212" i="17"/>
  <c r="L212" i="17" s="1"/>
  <c r="K212" i="17"/>
  <c r="M212" i="17"/>
  <c r="O212" i="17"/>
  <c r="P212" i="17"/>
  <c r="Q212" i="17"/>
  <c r="G213" i="17"/>
  <c r="H213" i="17"/>
  <c r="I213" i="17"/>
  <c r="J213" i="17"/>
  <c r="L213" i="17" s="1"/>
  <c r="K213" i="17"/>
  <c r="M213" i="17" s="1"/>
  <c r="O213" i="17"/>
  <c r="P213" i="17"/>
  <c r="Q213" i="17"/>
  <c r="G214" i="17"/>
  <c r="H214" i="17"/>
  <c r="I214" i="17"/>
  <c r="J214" i="17"/>
  <c r="L214" i="17" s="1"/>
  <c r="K214" i="17"/>
  <c r="M214" i="17" s="1"/>
  <c r="O214" i="17"/>
  <c r="P214" i="17"/>
  <c r="Q214" i="17"/>
  <c r="G215" i="17"/>
  <c r="H215" i="17"/>
  <c r="I215" i="17"/>
  <c r="J215" i="17"/>
  <c r="K215" i="17"/>
  <c r="M215" i="17" s="1"/>
  <c r="L215" i="17"/>
  <c r="O215" i="17"/>
  <c r="P215" i="17"/>
  <c r="Q215" i="17"/>
  <c r="G216" i="17"/>
  <c r="H216" i="17"/>
  <c r="I216" i="17"/>
  <c r="J216" i="17"/>
  <c r="L216" i="17" s="1"/>
  <c r="K216" i="17"/>
  <c r="M216" i="17"/>
  <c r="O216" i="17"/>
  <c r="P216" i="17"/>
  <c r="Q216" i="17"/>
  <c r="G217" i="17"/>
  <c r="H217" i="17"/>
  <c r="I217" i="17"/>
  <c r="J217" i="17"/>
  <c r="L217" i="17" s="1"/>
  <c r="K217" i="17"/>
  <c r="M217" i="17" s="1"/>
  <c r="O217" i="17"/>
  <c r="P217" i="17"/>
  <c r="Q217" i="17"/>
  <c r="G218" i="17"/>
  <c r="H218" i="17"/>
  <c r="I218" i="17"/>
  <c r="J218" i="17"/>
  <c r="L218" i="17" s="1"/>
  <c r="K218" i="17"/>
  <c r="M218" i="17" s="1"/>
  <c r="O218" i="17"/>
  <c r="P218" i="17"/>
  <c r="Q218" i="17"/>
  <c r="G219" i="17"/>
  <c r="H219" i="17"/>
  <c r="I219" i="17"/>
  <c r="J219" i="17"/>
  <c r="L219" i="17" s="1"/>
  <c r="K219" i="17"/>
  <c r="M219" i="17" s="1"/>
  <c r="O219" i="17"/>
  <c r="P219" i="17"/>
  <c r="Q219" i="17"/>
  <c r="G220" i="17"/>
  <c r="H220" i="17"/>
  <c r="I220" i="17"/>
  <c r="J220" i="17"/>
  <c r="L220" i="17" s="1"/>
  <c r="K220" i="17"/>
  <c r="M220" i="17" s="1"/>
  <c r="O220" i="17"/>
  <c r="P220" i="17"/>
  <c r="Q220" i="17"/>
  <c r="G221" i="17"/>
  <c r="H221" i="17"/>
  <c r="I221" i="17"/>
  <c r="J221" i="17"/>
  <c r="L221" i="17" s="1"/>
  <c r="K221" i="17"/>
  <c r="M221" i="17" s="1"/>
  <c r="N221" i="17" s="1"/>
  <c r="O221" i="17"/>
  <c r="P221" i="17"/>
  <c r="Q221" i="17"/>
  <c r="G222" i="17"/>
  <c r="H222" i="17"/>
  <c r="I222" i="17"/>
  <c r="J222" i="17"/>
  <c r="L222" i="17" s="1"/>
  <c r="K222" i="17"/>
  <c r="M222" i="17" s="1"/>
  <c r="N222" i="17" s="1"/>
  <c r="O222" i="17"/>
  <c r="P222" i="17"/>
  <c r="Q222" i="17"/>
  <c r="G223" i="17"/>
  <c r="H223" i="17"/>
  <c r="I223" i="17"/>
  <c r="J223" i="17"/>
  <c r="L223" i="17" s="1"/>
  <c r="K223" i="17"/>
  <c r="M223" i="17" s="1"/>
  <c r="O223" i="17"/>
  <c r="P223" i="17"/>
  <c r="Q223" i="17"/>
  <c r="G224" i="17"/>
  <c r="H224" i="17"/>
  <c r="I224" i="17"/>
  <c r="J224" i="17"/>
  <c r="L224" i="17" s="1"/>
  <c r="K224" i="17"/>
  <c r="M224" i="17" s="1"/>
  <c r="O224" i="17"/>
  <c r="P224" i="17"/>
  <c r="Q224" i="17"/>
  <c r="G225" i="17"/>
  <c r="H225" i="17"/>
  <c r="I225" i="17"/>
  <c r="J225" i="17"/>
  <c r="L225" i="17" s="1"/>
  <c r="K225" i="17"/>
  <c r="M225" i="17" s="1"/>
  <c r="O225" i="17"/>
  <c r="P225" i="17"/>
  <c r="Q225" i="17"/>
  <c r="G226" i="17"/>
  <c r="H226" i="17"/>
  <c r="I226" i="17"/>
  <c r="J226" i="17"/>
  <c r="K226" i="17"/>
  <c r="M226" i="17" s="1"/>
  <c r="L226" i="17"/>
  <c r="N226" i="17" s="1"/>
  <c r="O226" i="17"/>
  <c r="P226" i="17"/>
  <c r="Q226" i="17"/>
  <c r="G227" i="17"/>
  <c r="H227" i="17"/>
  <c r="I227" i="17"/>
  <c r="J227" i="17"/>
  <c r="K227" i="17"/>
  <c r="M227" i="17" s="1"/>
  <c r="L227" i="17"/>
  <c r="N227" i="17" s="1"/>
  <c r="O227" i="17"/>
  <c r="P227" i="17"/>
  <c r="Q227" i="17"/>
  <c r="G228" i="17"/>
  <c r="H228" i="17"/>
  <c r="I228" i="17"/>
  <c r="J228" i="17"/>
  <c r="L228" i="17" s="1"/>
  <c r="K228" i="17"/>
  <c r="M228" i="17" s="1"/>
  <c r="N228" i="17" s="1"/>
  <c r="O228" i="17"/>
  <c r="P228" i="17"/>
  <c r="Q228" i="17"/>
  <c r="G229" i="17"/>
  <c r="H229" i="17"/>
  <c r="I229" i="17"/>
  <c r="J229" i="17"/>
  <c r="K229" i="17"/>
  <c r="M229" i="17" s="1"/>
  <c r="N229" i="17" s="1"/>
  <c r="L229" i="17"/>
  <c r="O229" i="17"/>
  <c r="P229" i="17"/>
  <c r="Q229" i="17"/>
  <c r="G230" i="17"/>
  <c r="H230" i="17"/>
  <c r="I230" i="17"/>
  <c r="J230" i="17"/>
  <c r="L230" i="17" s="1"/>
  <c r="K230" i="17"/>
  <c r="M230" i="17" s="1"/>
  <c r="O230" i="17"/>
  <c r="P230" i="17"/>
  <c r="Q230" i="17"/>
  <c r="G231" i="17"/>
  <c r="H231" i="17"/>
  <c r="I231" i="17"/>
  <c r="J231" i="17"/>
  <c r="L231" i="17" s="1"/>
  <c r="K231" i="17"/>
  <c r="M231" i="17" s="1"/>
  <c r="O231" i="17"/>
  <c r="P231" i="17"/>
  <c r="Q231" i="17"/>
  <c r="G232" i="17"/>
  <c r="H232" i="17"/>
  <c r="I232" i="17"/>
  <c r="J232" i="17"/>
  <c r="L232" i="17" s="1"/>
  <c r="K232" i="17"/>
  <c r="M232" i="17" s="1"/>
  <c r="O232" i="17"/>
  <c r="P232" i="17"/>
  <c r="Q232" i="17"/>
  <c r="G233" i="17"/>
  <c r="H233" i="17"/>
  <c r="I233" i="17"/>
  <c r="J233" i="17"/>
  <c r="L233" i="17" s="1"/>
  <c r="K233" i="17"/>
  <c r="M233" i="17" s="1"/>
  <c r="O233" i="17"/>
  <c r="P233" i="17"/>
  <c r="Q233" i="17"/>
  <c r="G234" i="17"/>
  <c r="H234" i="17"/>
  <c r="I234" i="17"/>
  <c r="J234" i="17"/>
  <c r="L234" i="17" s="1"/>
  <c r="K234" i="17"/>
  <c r="M234" i="17" s="1"/>
  <c r="O234" i="17"/>
  <c r="P234" i="17"/>
  <c r="Q234" i="17"/>
  <c r="G235" i="17"/>
  <c r="H235" i="17"/>
  <c r="I235" i="17"/>
  <c r="J235" i="17"/>
  <c r="L235" i="17" s="1"/>
  <c r="K235" i="17"/>
  <c r="M235" i="17" s="1"/>
  <c r="N235" i="17" s="1"/>
  <c r="O235" i="17"/>
  <c r="P235" i="17"/>
  <c r="Q235" i="17"/>
  <c r="G236" i="17"/>
  <c r="H236" i="17"/>
  <c r="I236" i="17"/>
  <c r="J236" i="17"/>
  <c r="L236" i="17" s="1"/>
  <c r="K236" i="17"/>
  <c r="M236" i="17" s="1"/>
  <c r="N236" i="17" s="1"/>
  <c r="O236" i="17"/>
  <c r="P236" i="17"/>
  <c r="Q236" i="17"/>
  <c r="G237" i="17"/>
  <c r="H237" i="17"/>
  <c r="I237" i="17"/>
  <c r="J237" i="17"/>
  <c r="K237" i="17"/>
  <c r="M237" i="17" s="1"/>
  <c r="L237" i="17"/>
  <c r="O237" i="17"/>
  <c r="P237" i="17"/>
  <c r="Q237" i="17"/>
  <c r="G238" i="17"/>
  <c r="H238" i="17"/>
  <c r="I238" i="17"/>
  <c r="J238" i="17"/>
  <c r="L238" i="17" s="1"/>
  <c r="K238" i="17"/>
  <c r="M238" i="17"/>
  <c r="O238" i="17"/>
  <c r="P238" i="17"/>
  <c r="Q238" i="17"/>
  <c r="G239" i="17"/>
  <c r="H239" i="17"/>
  <c r="I239" i="17"/>
  <c r="J239" i="17"/>
  <c r="L239" i="17" s="1"/>
  <c r="K239" i="17"/>
  <c r="M239" i="17" s="1"/>
  <c r="O239" i="17"/>
  <c r="P239" i="17"/>
  <c r="Q239" i="17"/>
  <c r="G240" i="17"/>
  <c r="H240" i="17"/>
  <c r="I240" i="17"/>
  <c r="J240" i="17"/>
  <c r="L240" i="17" s="1"/>
  <c r="K240" i="17"/>
  <c r="M240" i="17"/>
  <c r="O240" i="17"/>
  <c r="P240" i="17"/>
  <c r="Q240" i="17"/>
  <c r="G241" i="17"/>
  <c r="H241" i="17"/>
  <c r="I241" i="17"/>
  <c r="J241" i="17"/>
  <c r="L241" i="17" s="1"/>
  <c r="K241" i="17"/>
  <c r="M241" i="17" s="1"/>
  <c r="O241" i="17"/>
  <c r="P241" i="17"/>
  <c r="Q241" i="17"/>
  <c r="G242" i="17"/>
  <c r="H242" i="17"/>
  <c r="I242" i="17"/>
  <c r="J242" i="17"/>
  <c r="L242" i="17" s="1"/>
  <c r="K242" i="17"/>
  <c r="M242" i="17" s="1"/>
  <c r="O242" i="17"/>
  <c r="P242" i="17"/>
  <c r="Q242" i="17"/>
  <c r="G243" i="17"/>
  <c r="H243" i="17"/>
  <c r="I243" i="17"/>
  <c r="J243" i="17"/>
  <c r="L243" i="17" s="1"/>
  <c r="K243" i="17"/>
  <c r="M243" i="17" s="1"/>
  <c r="O243" i="17"/>
  <c r="P243" i="17"/>
  <c r="Q243" i="17"/>
  <c r="G244" i="17"/>
  <c r="H244" i="17"/>
  <c r="I244" i="17"/>
  <c r="J244" i="17"/>
  <c r="L244" i="17" s="1"/>
  <c r="K244" i="17"/>
  <c r="M244" i="17" s="1"/>
  <c r="O244" i="17"/>
  <c r="P244" i="17"/>
  <c r="Q244" i="17"/>
  <c r="G245" i="17"/>
  <c r="H245" i="17"/>
  <c r="I245" i="17"/>
  <c r="J245" i="17"/>
  <c r="L245" i="17" s="1"/>
  <c r="K245" i="17"/>
  <c r="M245" i="17" s="1"/>
  <c r="O245" i="17"/>
  <c r="P245" i="17"/>
  <c r="Q245" i="17"/>
  <c r="G246" i="17"/>
  <c r="H246" i="17"/>
  <c r="I246" i="17"/>
  <c r="J246" i="17"/>
  <c r="L246" i="17" s="1"/>
  <c r="K246" i="17"/>
  <c r="M246" i="17" s="1"/>
  <c r="O246" i="17"/>
  <c r="P246" i="17"/>
  <c r="Q246" i="17"/>
  <c r="G247" i="17"/>
  <c r="H247" i="17"/>
  <c r="I247" i="17"/>
  <c r="J247" i="17"/>
  <c r="L247" i="17" s="1"/>
  <c r="K247" i="17"/>
  <c r="M247" i="17" s="1"/>
  <c r="O247" i="17"/>
  <c r="P247" i="17"/>
  <c r="Q247" i="17"/>
  <c r="G248" i="17"/>
  <c r="H248" i="17"/>
  <c r="I248" i="17"/>
  <c r="J248" i="17"/>
  <c r="L248" i="17" s="1"/>
  <c r="K248" i="17"/>
  <c r="M248" i="17"/>
  <c r="O248" i="17"/>
  <c r="P248" i="17"/>
  <c r="Q248" i="17"/>
  <c r="G249" i="17"/>
  <c r="H249" i="17"/>
  <c r="I249" i="17"/>
  <c r="J249" i="17"/>
  <c r="L249" i="17" s="1"/>
  <c r="K249" i="17"/>
  <c r="M249" i="17" s="1"/>
  <c r="O249" i="17"/>
  <c r="P249" i="17"/>
  <c r="Q249" i="17"/>
  <c r="G250" i="17"/>
  <c r="H250" i="17"/>
  <c r="I250" i="17"/>
  <c r="J250" i="17"/>
  <c r="L250" i="17" s="1"/>
  <c r="K250" i="17"/>
  <c r="M250" i="17"/>
  <c r="O250" i="17"/>
  <c r="P250" i="17"/>
  <c r="Q250" i="17"/>
  <c r="G251" i="17"/>
  <c r="H251" i="17"/>
  <c r="I251" i="17"/>
  <c r="J251" i="17"/>
  <c r="K251" i="17"/>
  <c r="M251" i="17" s="1"/>
  <c r="L251" i="17"/>
  <c r="O251" i="17"/>
  <c r="P251" i="17"/>
  <c r="Q251" i="17"/>
  <c r="G252" i="17"/>
  <c r="H252" i="17"/>
  <c r="I252" i="17"/>
  <c r="J252" i="17"/>
  <c r="L252" i="17" s="1"/>
  <c r="K252" i="17"/>
  <c r="M252" i="17" s="1"/>
  <c r="O252" i="17"/>
  <c r="P252" i="17"/>
  <c r="Q252" i="17"/>
  <c r="G253" i="17"/>
  <c r="H253" i="17"/>
  <c r="I253" i="17"/>
  <c r="J253" i="17"/>
  <c r="L253" i="17" s="1"/>
  <c r="K253" i="17"/>
  <c r="M253" i="17" s="1"/>
  <c r="O253" i="17"/>
  <c r="P253" i="17"/>
  <c r="Q253" i="17"/>
  <c r="G254" i="17"/>
  <c r="H254" i="17"/>
  <c r="I254" i="17"/>
  <c r="J254" i="17"/>
  <c r="L254" i="17" s="1"/>
  <c r="K254" i="17"/>
  <c r="M254" i="17" s="1"/>
  <c r="O254" i="17"/>
  <c r="P254" i="17"/>
  <c r="Q254" i="17"/>
  <c r="G255" i="17"/>
  <c r="H255" i="17"/>
  <c r="I255" i="17"/>
  <c r="J255" i="17"/>
  <c r="L255" i="17" s="1"/>
  <c r="K255" i="17"/>
  <c r="M255" i="17" s="1"/>
  <c r="O255" i="17"/>
  <c r="P255" i="17"/>
  <c r="Q255" i="17"/>
  <c r="G256" i="17"/>
  <c r="H256" i="17"/>
  <c r="I256" i="17"/>
  <c r="J256" i="17"/>
  <c r="L256" i="17" s="1"/>
  <c r="K256" i="17"/>
  <c r="M256" i="17"/>
  <c r="O256" i="17"/>
  <c r="P256" i="17"/>
  <c r="Q256" i="17"/>
  <c r="G257" i="17"/>
  <c r="H257" i="17"/>
  <c r="I257" i="17"/>
  <c r="J257" i="17"/>
  <c r="L257" i="17" s="1"/>
  <c r="K257" i="17"/>
  <c r="M257" i="17" s="1"/>
  <c r="O257" i="17"/>
  <c r="P257" i="17"/>
  <c r="Q257" i="17"/>
  <c r="G258" i="17"/>
  <c r="H258" i="17"/>
  <c r="I258" i="17"/>
  <c r="J258" i="17"/>
  <c r="L258" i="17" s="1"/>
  <c r="K258" i="17"/>
  <c r="M258" i="17" s="1"/>
  <c r="O258" i="17"/>
  <c r="P258" i="17"/>
  <c r="Q258" i="17"/>
  <c r="G259" i="17"/>
  <c r="H259" i="17"/>
  <c r="I259" i="17"/>
  <c r="J259" i="17"/>
  <c r="L259" i="17" s="1"/>
  <c r="K259" i="17"/>
  <c r="M259" i="17" s="1"/>
  <c r="O259" i="17"/>
  <c r="P259" i="17"/>
  <c r="Q259" i="17"/>
  <c r="G260" i="17"/>
  <c r="H260" i="17"/>
  <c r="I260" i="17"/>
  <c r="J260" i="17"/>
  <c r="L260" i="17" s="1"/>
  <c r="K260" i="17"/>
  <c r="M260" i="17" s="1"/>
  <c r="O260" i="17"/>
  <c r="P260" i="17"/>
  <c r="Q260" i="17"/>
  <c r="G261" i="17"/>
  <c r="H261" i="17"/>
  <c r="I261" i="17"/>
  <c r="J261" i="17"/>
  <c r="L261" i="17" s="1"/>
  <c r="K261" i="17"/>
  <c r="M261" i="17" s="1"/>
  <c r="O261" i="17"/>
  <c r="P261" i="17"/>
  <c r="Q261" i="17"/>
  <c r="G262" i="17"/>
  <c r="H262" i="17"/>
  <c r="I262" i="17"/>
  <c r="J262" i="17"/>
  <c r="L262" i="17" s="1"/>
  <c r="K262" i="17"/>
  <c r="M262" i="17" s="1"/>
  <c r="O262" i="17"/>
  <c r="P262" i="17"/>
  <c r="Q262" i="17"/>
  <c r="G263" i="17"/>
  <c r="H263" i="17"/>
  <c r="I263" i="17"/>
  <c r="J263" i="17"/>
  <c r="L263" i="17" s="1"/>
  <c r="K263" i="17"/>
  <c r="M263" i="17" s="1"/>
  <c r="O263" i="17"/>
  <c r="P263" i="17"/>
  <c r="Q263" i="17"/>
  <c r="G264" i="17"/>
  <c r="H264" i="17"/>
  <c r="I264" i="17"/>
  <c r="J264" i="17"/>
  <c r="L264" i="17" s="1"/>
  <c r="K264" i="17"/>
  <c r="M264" i="17" s="1"/>
  <c r="O264" i="17"/>
  <c r="P264" i="17"/>
  <c r="Q264" i="17"/>
  <c r="G265" i="17"/>
  <c r="H265" i="17"/>
  <c r="I265" i="17"/>
  <c r="J265" i="17"/>
  <c r="L265" i="17" s="1"/>
  <c r="K265" i="17"/>
  <c r="M265" i="17" s="1"/>
  <c r="O265" i="17"/>
  <c r="P265" i="17"/>
  <c r="Q265" i="17"/>
  <c r="G266" i="17"/>
  <c r="H266" i="17"/>
  <c r="I266" i="17"/>
  <c r="J266" i="17"/>
  <c r="L266" i="17" s="1"/>
  <c r="K266" i="17"/>
  <c r="M266" i="17"/>
  <c r="O266" i="17"/>
  <c r="P266" i="17"/>
  <c r="Q266" i="17"/>
  <c r="G267" i="17"/>
  <c r="H267" i="17"/>
  <c r="I267" i="17"/>
  <c r="J267" i="17"/>
  <c r="K267" i="17"/>
  <c r="M267" i="17" s="1"/>
  <c r="L267" i="17"/>
  <c r="O267" i="17"/>
  <c r="P267" i="17"/>
  <c r="Q267" i="17"/>
  <c r="G268" i="17"/>
  <c r="H268" i="17"/>
  <c r="I268" i="17"/>
  <c r="J268" i="17"/>
  <c r="L268" i="17" s="1"/>
  <c r="K268" i="17"/>
  <c r="M268" i="17" s="1"/>
  <c r="O268" i="17"/>
  <c r="P268" i="17"/>
  <c r="Q268" i="17"/>
  <c r="G269" i="17"/>
  <c r="H269" i="17"/>
  <c r="I269" i="17"/>
  <c r="J269" i="17"/>
  <c r="K269" i="17"/>
  <c r="M269" i="17" s="1"/>
  <c r="L269" i="17"/>
  <c r="O269" i="17"/>
  <c r="P269" i="17"/>
  <c r="Q269" i="17"/>
  <c r="G270" i="17"/>
  <c r="H270" i="17"/>
  <c r="I270" i="17"/>
  <c r="J270" i="17"/>
  <c r="L270" i="17" s="1"/>
  <c r="K270" i="17"/>
  <c r="M270" i="17" s="1"/>
  <c r="O270" i="17"/>
  <c r="P270" i="17"/>
  <c r="Q270" i="17"/>
  <c r="G271" i="17"/>
  <c r="H271" i="17"/>
  <c r="I271" i="17"/>
  <c r="J271" i="17"/>
  <c r="L271" i="17" s="1"/>
  <c r="K271" i="17"/>
  <c r="M271" i="17" s="1"/>
  <c r="N271" i="17" s="1"/>
  <c r="O271" i="17"/>
  <c r="P271" i="17"/>
  <c r="Q271" i="17"/>
  <c r="G272" i="17"/>
  <c r="H272" i="17"/>
  <c r="I272" i="17"/>
  <c r="J272" i="17"/>
  <c r="L272" i="17" s="1"/>
  <c r="K272" i="17"/>
  <c r="M272" i="17" s="1"/>
  <c r="O272" i="17"/>
  <c r="P272" i="17"/>
  <c r="Q272" i="17"/>
  <c r="G273" i="17"/>
  <c r="H273" i="17"/>
  <c r="I273" i="17"/>
  <c r="J273" i="17"/>
  <c r="L273" i="17" s="1"/>
  <c r="K273" i="17"/>
  <c r="M273" i="17" s="1"/>
  <c r="O273" i="17"/>
  <c r="P273" i="17"/>
  <c r="Q273" i="17"/>
  <c r="G274" i="17"/>
  <c r="H274" i="17"/>
  <c r="I274" i="17"/>
  <c r="J274" i="17"/>
  <c r="L274" i="17" s="1"/>
  <c r="K274" i="17"/>
  <c r="M274" i="17"/>
  <c r="O274" i="17"/>
  <c r="P274" i="17"/>
  <c r="Q274" i="17"/>
  <c r="G275" i="17"/>
  <c r="H275" i="17"/>
  <c r="I275" i="17"/>
  <c r="J275" i="17"/>
  <c r="L275" i="17" s="1"/>
  <c r="K275" i="17"/>
  <c r="M275" i="17" s="1"/>
  <c r="O275" i="17"/>
  <c r="P275" i="17"/>
  <c r="Q275" i="17"/>
  <c r="G276" i="17"/>
  <c r="H276" i="17"/>
  <c r="I276" i="17"/>
  <c r="J276" i="17"/>
  <c r="L276" i="17" s="1"/>
  <c r="K276" i="17"/>
  <c r="M276" i="17" s="1"/>
  <c r="O276" i="17"/>
  <c r="P276" i="17"/>
  <c r="Q276" i="17"/>
  <c r="G277" i="17"/>
  <c r="H277" i="17"/>
  <c r="I277" i="17"/>
  <c r="J277" i="17"/>
  <c r="L277" i="17" s="1"/>
  <c r="K277" i="17"/>
  <c r="M277" i="17" s="1"/>
  <c r="O277" i="17"/>
  <c r="P277" i="17"/>
  <c r="Q277" i="17"/>
  <c r="G278" i="17"/>
  <c r="H278" i="17"/>
  <c r="I278" i="17"/>
  <c r="J278" i="17"/>
  <c r="L278" i="17" s="1"/>
  <c r="K278" i="17"/>
  <c r="M278" i="17" s="1"/>
  <c r="O278" i="17"/>
  <c r="P278" i="17"/>
  <c r="Q278" i="17"/>
  <c r="G279" i="17"/>
  <c r="H279" i="17"/>
  <c r="I279" i="17"/>
  <c r="J279" i="17"/>
  <c r="L279" i="17" s="1"/>
  <c r="K279" i="17"/>
  <c r="M279" i="17" s="1"/>
  <c r="O279" i="17"/>
  <c r="P279" i="17"/>
  <c r="Q279" i="17"/>
  <c r="G280" i="17"/>
  <c r="H280" i="17"/>
  <c r="I280" i="17"/>
  <c r="J280" i="17"/>
  <c r="L280" i="17" s="1"/>
  <c r="K280" i="17"/>
  <c r="M280" i="17"/>
  <c r="O280" i="17"/>
  <c r="P280" i="17"/>
  <c r="Q280" i="17"/>
  <c r="G281" i="17"/>
  <c r="H281" i="17"/>
  <c r="I281" i="17"/>
  <c r="J281" i="17"/>
  <c r="L281" i="17" s="1"/>
  <c r="K281" i="17"/>
  <c r="M281" i="17" s="1"/>
  <c r="O281" i="17"/>
  <c r="P281" i="17"/>
  <c r="Q281" i="17"/>
  <c r="G282" i="17"/>
  <c r="H282" i="17"/>
  <c r="I282" i="17"/>
  <c r="J282" i="17"/>
  <c r="L282" i="17" s="1"/>
  <c r="K282" i="17"/>
  <c r="M282" i="17" s="1"/>
  <c r="O282" i="17"/>
  <c r="P282" i="17"/>
  <c r="Q282" i="17"/>
  <c r="G283" i="17"/>
  <c r="H283" i="17"/>
  <c r="I283" i="17"/>
  <c r="J283" i="17"/>
  <c r="L283" i="17" s="1"/>
  <c r="K283" i="17"/>
  <c r="M283" i="17" s="1"/>
  <c r="O283" i="17"/>
  <c r="P283" i="17"/>
  <c r="Q283" i="17"/>
  <c r="G284" i="17"/>
  <c r="H284" i="17"/>
  <c r="I284" i="17"/>
  <c r="J284" i="17"/>
  <c r="L284" i="17" s="1"/>
  <c r="K284" i="17"/>
  <c r="M284" i="17" s="1"/>
  <c r="O284" i="17"/>
  <c r="P284" i="17"/>
  <c r="Q284" i="17"/>
  <c r="G285" i="17"/>
  <c r="H285" i="17"/>
  <c r="I285" i="17"/>
  <c r="J285" i="17"/>
  <c r="K285" i="17"/>
  <c r="L285" i="17"/>
  <c r="M285" i="17"/>
  <c r="O285" i="17"/>
  <c r="P285" i="17"/>
  <c r="Q285" i="17"/>
  <c r="G286" i="17"/>
  <c r="H286" i="17"/>
  <c r="I286" i="17"/>
  <c r="J286" i="17"/>
  <c r="L286" i="17" s="1"/>
  <c r="K286" i="17"/>
  <c r="M286" i="17" s="1"/>
  <c r="O286" i="17"/>
  <c r="P286" i="17"/>
  <c r="Q286" i="17"/>
  <c r="G287" i="17"/>
  <c r="H287" i="17"/>
  <c r="I287" i="17"/>
  <c r="J287" i="17"/>
  <c r="L287" i="17" s="1"/>
  <c r="K287" i="17"/>
  <c r="M287" i="17" s="1"/>
  <c r="O287" i="17"/>
  <c r="P287" i="17"/>
  <c r="Q287" i="17"/>
  <c r="G288" i="17"/>
  <c r="H288" i="17"/>
  <c r="I288" i="17"/>
  <c r="J288" i="17"/>
  <c r="L288" i="17" s="1"/>
  <c r="K288" i="17"/>
  <c r="M288" i="17" s="1"/>
  <c r="O288" i="17"/>
  <c r="P288" i="17"/>
  <c r="Q288" i="17"/>
  <c r="G289" i="17"/>
  <c r="H289" i="17"/>
  <c r="I289" i="17"/>
  <c r="J289" i="17"/>
  <c r="L289" i="17" s="1"/>
  <c r="K289" i="17"/>
  <c r="M289" i="17" s="1"/>
  <c r="O289" i="17"/>
  <c r="P289" i="17"/>
  <c r="Q289" i="17"/>
  <c r="G290" i="17"/>
  <c r="H290" i="17"/>
  <c r="I290" i="17"/>
  <c r="J290" i="17"/>
  <c r="L290" i="17" s="1"/>
  <c r="K290" i="17"/>
  <c r="M290" i="17" s="1"/>
  <c r="O290" i="17"/>
  <c r="P290" i="17"/>
  <c r="Q290" i="17"/>
  <c r="G291" i="17"/>
  <c r="H291" i="17"/>
  <c r="I291" i="17"/>
  <c r="J291" i="17"/>
  <c r="L291" i="17" s="1"/>
  <c r="K291" i="17"/>
  <c r="M291" i="17" s="1"/>
  <c r="O291" i="17"/>
  <c r="P291" i="17"/>
  <c r="Q291" i="17"/>
  <c r="G292" i="17"/>
  <c r="H292" i="17"/>
  <c r="I292" i="17"/>
  <c r="J292" i="17"/>
  <c r="L292" i="17" s="1"/>
  <c r="K292" i="17"/>
  <c r="M292" i="17" s="1"/>
  <c r="O292" i="17"/>
  <c r="P292" i="17"/>
  <c r="Q292" i="17"/>
  <c r="G293" i="17"/>
  <c r="H293" i="17"/>
  <c r="I293" i="17"/>
  <c r="J293" i="17"/>
  <c r="L293" i="17" s="1"/>
  <c r="K293" i="17"/>
  <c r="M293" i="17" s="1"/>
  <c r="N293" i="17" s="1"/>
  <c r="O293" i="17"/>
  <c r="P293" i="17"/>
  <c r="Q293" i="17"/>
  <c r="G294" i="17"/>
  <c r="H294" i="17"/>
  <c r="I294" i="17"/>
  <c r="J294" i="17"/>
  <c r="L294" i="17" s="1"/>
  <c r="K294" i="17"/>
  <c r="M294" i="17" s="1"/>
  <c r="O294" i="17"/>
  <c r="P294" i="17"/>
  <c r="Q294" i="17"/>
  <c r="G295" i="17"/>
  <c r="H295" i="17"/>
  <c r="I295" i="17"/>
  <c r="J295" i="17"/>
  <c r="L295" i="17" s="1"/>
  <c r="K295" i="17"/>
  <c r="M295" i="17" s="1"/>
  <c r="O295" i="17"/>
  <c r="P295" i="17"/>
  <c r="Q295" i="17"/>
  <c r="G296" i="17"/>
  <c r="H296" i="17"/>
  <c r="I296" i="17"/>
  <c r="J296" i="17"/>
  <c r="L296" i="17" s="1"/>
  <c r="K296" i="17"/>
  <c r="M296" i="17" s="1"/>
  <c r="O296" i="17"/>
  <c r="P296" i="17"/>
  <c r="Q296" i="17"/>
  <c r="G297" i="17"/>
  <c r="H297" i="17"/>
  <c r="I297" i="17"/>
  <c r="J297" i="17"/>
  <c r="K297" i="17"/>
  <c r="M297" i="17" s="1"/>
  <c r="L297" i="17"/>
  <c r="O297" i="17"/>
  <c r="P297" i="17"/>
  <c r="Q297" i="17"/>
  <c r="G298" i="17"/>
  <c r="H298" i="17"/>
  <c r="I298" i="17"/>
  <c r="J298" i="17"/>
  <c r="L298" i="17" s="1"/>
  <c r="K298" i="17"/>
  <c r="M298" i="17" s="1"/>
  <c r="O298" i="17"/>
  <c r="P298" i="17"/>
  <c r="Q298" i="17"/>
  <c r="G299" i="17"/>
  <c r="H299" i="17"/>
  <c r="I299" i="17"/>
  <c r="J299" i="17"/>
  <c r="K299" i="17"/>
  <c r="M299" i="17" s="1"/>
  <c r="L299" i="17"/>
  <c r="O299" i="17"/>
  <c r="P299" i="17"/>
  <c r="Q299" i="17"/>
  <c r="G300" i="17"/>
  <c r="H300" i="17"/>
  <c r="I300" i="17"/>
  <c r="J300" i="17"/>
  <c r="K300" i="17"/>
  <c r="M300" i="17" s="1"/>
  <c r="L300" i="17"/>
  <c r="O300" i="17"/>
  <c r="P300" i="17"/>
  <c r="Q300" i="17"/>
  <c r="G301" i="17"/>
  <c r="H301" i="17"/>
  <c r="I301" i="17"/>
  <c r="J301" i="17"/>
  <c r="L301" i="17" s="1"/>
  <c r="K301" i="17"/>
  <c r="M301" i="17" s="1"/>
  <c r="O301" i="17"/>
  <c r="P301" i="17"/>
  <c r="Q301" i="17"/>
  <c r="G302" i="17"/>
  <c r="H302" i="17"/>
  <c r="I302" i="17"/>
  <c r="J302" i="17"/>
  <c r="L302" i="17" s="1"/>
  <c r="K302" i="17"/>
  <c r="M302" i="17" s="1"/>
  <c r="O302" i="17"/>
  <c r="P302" i="17"/>
  <c r="Q302" i="17"/>
  <c r="G303" i="17"/>
  <c r="H303" i="17"/>
  <c r="I303" i="17"/>
  <c r="J303" i="17"/>
  <c r="L303" i="17" s="1"/>
  <c r="K303" i="17"/>
  <c r="M303" i="17" s="1"/>
  <c r="O303" i="17"/>
  <c r="P303" i="17"/>
  <c r="Q303" i="17"/>
  <c r="G304" i="17"/>
  <c r="H304" i="17"/>
  <c r="I304" i="17"/>
  <c r="J304" i="17"/>
  <c r="K304" i="17"/>
  <c r="M304" i="17" s="1"/>
  <c r="N304" i="17" s="1"/>
  <c r="L304" i="17"/>
  <c r="O304" i="17"/>
  <c r="P304" i="17"/>
  <c r="Q304" i="17"/>
  <c r="G305" i="17"/>
  <c r="H305" i="17"/>
  <c r="I305" i="17"/>
  <c r="J305" i="17"/>
  <c r="L305" i="17" s="1"/>
  <c r="K305" i="17"/>
  <c r="M305" i="17"/>
  <c r="O305" i="17"/>
  <c r="P305" i="17"/>
  <c r="Q305" i="17"/>
  <c r="G306" i="17"/>
  <c r="H306" i="17"/>
  <c r="I306" i="17"/>
  <c r="J306" i="17"/>
  <c r="L306" i="17" s="1"/>
  <c r="K306" i="17"/>
  <c r="M306" i="17" s="1"/>
  <c r="N306" i="17" s="1"/>
  <c r="O306" i="17"/>
  <c r="P306" i="17"/>
  <c r="Q306" i="17"/>
  <c r="G307" i="17"/>
  <c r="H307" i="17"/>
  <c r="I307" i="17"/>
  <c r="J307" i="17"/>
  <c r="K307" i="17"/>
  <c r="L307" i="17"/>
  <c r="M307" i="17"/>
  <c r="O307" i="17"/>
  <c r="P307" i="17"/>
  <c r="Q307" i="17"/>
  <c r="G308" i="17"/>
  <c r="H308" i="17"/>
  <c r="I308" i="17"/>
  <c r="J308" i="17"/>
  <c r="L308" i="17" s="1"/>
  <c r="K308" i="17"/>
  <c r="M308" i="17" s="1"/>
  <c r="O308" i="17"/>
  <c r="P308" i="17"/>
  <c r="Q308" i="17"/>
  <c r="G309" i="17"/>
  <c r="H309" i="17"/>
  <c r="I309" i="17"/>
  <c r="J309" i="17"/>
  <c r="L309" i="17" s="1"/>
  <c r="K309" i="17"/>
  <c r="M309" i="17" s="1"/>
  <c r="O309" i="17"/>
  <c r="P309" i="17"/>
  <c r="Q309" i="17"/>
  <c r="G310" i="17"/>
  <c r="H310" i="17"/>
  <c r="I310" i="17"/>
  <c r="J310" i="17"/>
  <c r="L310" i="17" s="1"/>
  <c r="K310" i="17"/>
  <c r="M310" i="17" s="1"/>
  <c r="O310" i="17"/>
  <c r="P310" i="17"/>
  <c r="Q310" i="17"/>
  <c r="G311" i="17"/>
  <c r="H311" i="17"/>
  <c r="I311" i="17"/>
  <c r="J311" i="17"/>
  <c r="L311" i="17" s="1"/>
  <c r="K311" i="17"/>
  <c r="M311" i="17" s="1"/>
  <c r="O311" i="17"/>
  <c r="P311" i="17"/>
  <c r="Q311" i="17"/>
  <c r="G312" i="17"/>
  <c r="H312" i="17"/>
  <c r="I312" i="17"/>
  <c r="J312" i="17"/>
  <c r="L312" i="17" s="1"/>
  <c r="K312" i="17"/>
  <c r="M312" i="17" s="1"/>
  <c r="O312" i="17"/>
  <c r="P312" i="17"/>
  <c r="Q312" i="17"/>
  <c r="G313" i="17"/>
  <c r="H313" i="17"/>
  <c r="I313" i="17"/>
  <c r="J313" i="17"/>
  <c r="L313" i="17" s="1"/>
  <c r="K313" i="17"/>
  <c r="M313" i="17" s="1"/>
  <c r="O313" i="17"/>
  <c r="P313" i="17"/>
  <c r="Q313" i="17"/>
  <c r="G314" i="17"/>
  <c r="H314" i="17"/>
  <c r="I314" i="17"/>
  <c r="J314" i="17"/>
  <c r="L314" i="17" s="1"/>
  <c r="K314" i="17"/>
  <c r="M314" i="17"/>
  <c r="N314" i="17" s="1"/>
  <c r="O314" i="17"/>
  <c r="P314" i="17"/>
  <c r="Q314" i="17"/>
  <c r="G315" i="17"/>
  <c r="H315" i="17"/>
  <c r="I315" i="17"/>
  <c r="J315" i="17"/>
  <c r="L315" i="17" s="1"/>
  <c r="K315" i="17"/>
  <c r="M315" i="17" s="1"/>
  <c r="O315" i="17"/>
  <c r="P315" i="17"/>
  <c r="Q315" i="17"/>
  <c r="G316" i="17"/>
  <c r="H316" i="17"/>
  <c r="I316" i="17"/>
  <c r="J316" i="17"/>
  <c r="L316" i="17" s="1"/>
  <c r="K316" i="17"/>
  <c r="M316" i="17" s="1"/>
  <c r="O316" i="17"/>
  <c r="P316" i="17"/>
  <c r="Q316" i="17"/>
  <c r="G317" i="17"/>
  <c r="H317" i="17"/>
  <c r="I317" i="17"/>
  <c r="J317" i="17"/>
  <c r="L317" i="17" s="1"/>
  <c r="K317" i="17"/>
  <c r="M317" i="17" s="1"/>
  <c r="O317" i="17"/>
  <c r="P317" i="17"/>
  <c r="Q317" i="17"/>
  <c r="G318" i="17"/>
  <c r="H318" i="17"/>
  <c r="I318" i="17"/>
  <c r="J318" i="17"/>
  <c r="L318" i="17" s="1"/>
  <c r="K318" i="17"/>
  <c r="M318" i="17" s="1"/>
  <c r="O318" i="17"/>
  <c r="P318" i="17"/>
  <c r="Q318" i="17"/>
  <c r="G319" i="17"/>
  <c r="H319" i="17"/>
  <c r="I319" i="17"/>
  <c r="J319" i="17"/>
  <c r="L319" i="17" s="1"/>
  <c r="K319" i="17"/>
  <c r="M319" i="17" s="1"/>
  <c r="O319" i="17"/>
  <c r="P319" i="17"/>
  <c r="Q319" i="17"/>
  <c r="G320" i="17"/>
  <c r="H320" i="17"/>
  <c r="I320" i="17"/>
  <c r="J320" i="17"/>
  <c r="L320" i="17" s="1"/>
  <c r="K320" i="17"/>
  <c r="M320" i="17" s="1"/>
  <c r="O320" i="17"/>
  <c r="P320" i="17"/>
  <c r="Q320" i="17"/>
  <c r="G321" i="17"/>
  <c r="H321" i="17"/>
  <c r="I321" i="17"/>
  <c r="J321" i="17"/>
  <c r="L321" i="17" s="1"/>
  <c r="K321" i="17"/>
  <c r="M321" i="17"/>
  <c r="O321" i="17"/>
  <c r="P321" i="17"/>
  <c r="Q321" i="17"/>
  <c r="G322" i="17"/>
  <c r="H322" i="17"/>
  <c r="I322" i="17"/>
  <c r="J322" i="17"/>
  <c r="L322" i="17" s="1"/>
  <c r="K322" i="17"/>
  <c r="M322" i="17" s="1"/>
  <c r="O322" i="17"/>
  <c r="P322" i="17"/>
  <c r="Q322" i="17"/>
  <c r="G323" i="17"/>
  <c r="H323" i="17"/>
  <c r="I323" i="17"/>
  <c r="J323" i="17"/>
  <c r="L323" i="17" s="1"/>
  <c r="K323" i="17"/>
  <c r="M323" i="17"/>
  <c r="O323" i="17"/>
  <c r="P323" i="17"/>
  <c r="Q323" i="17"/>
  <c r="G324" i="17"/>
  <c r="H324" i="17"/>
  <c r="I324" i="17"/>
  <c r="J324" i="17"/>
  <c r="L324" i="17" s="1"/>
  <c r="K324" i="17"/>
  <c r="M324" i="17" s="1"/>
  <c r="O324" i="17"/>
  <c r="P324" i="17"/>
  <c r="Q324" i="17"/>
  <c r="G325" i="17"/>
  <c r="H325" i="17"/>
  <c r="I325" i="17"/>
  <c r="J325" i="17"/>
  <c r="L325" i="17" s="1"/>
  <c r="K325" i="17"/>
  <c r="M325" i="17" s="1"/>
  <c r="O325" i="17"/>
  <c r="P325" i="17"/>
  <c r="Q325" i="17"/>
  <c r="G326" i="17"/>
  <c r="H326" i="17"/>
  <c r="I326" i="17"/>
  <c r="J326" i="17"/>
  <c r="L326" i="17" s="1"/>
  <c r="K326" i="17"/>
  <c r="M326" i="17" s="1"/>
  <c r="O326" i="17"/>
  <c r="P326" i="17"/>
  <c r="Q326" i="17"/>
  <c r="G327" i="17"/>
  <c r="H327" i="17"/>
  <c r="I327" i="17"/>
  <c r="J327" i="17"/>
  <c r="L327" i="17" s="1"/>
  <c r="K327" i="17"/>
  <c r="M327" i="17" s="1"/>
  <c r="O327" i="17"/>
  <c r="P327" i="17"/>
  <c r="Q327" i="17"/>
  <c r="G328" i="17"/>
  <c r="H328" i="17"/>
  <c r="I328" i="17"/>
  <c r="J328" i="17"/>
  <c r="K328" i="17"/>
  <c r="M328" i="17" s="1"/>
  <c r="L328" i="17"/>
  <c r="O328" i="17"/>
  <c r="P328" i="17"/>
  <c r="Q328" i="17"/>
  <c r="G329" i="17"/>
  <c r="H329" i="17"/>
  <c r="I329" i="17"/>
  <c r="J329" i="17"/>
  <c r="L329" i="17" s="1"/>
  <c r="K329" i="17"/>
  <c r="M329" i="17" s="1"/>
  <c r="O329" i="17"/>
  <c r="P329" i="17"/>
  <c r="Q329" i="17"/>
  <c r="G330" i="17"/>
  <c r="H330" i="17"/>
  <c r="I330" i="17"/>
  <c r="J330" i="17"/>
  <c r="L330" i="17" s="1"/>
  <c r="K330" i="17"/>
  <c r="M330" i="17"/>
  <c r="O330" i="17"/>
  <c r="P330" i="17"/>
  <c r="Q330" i="17"/>
  <c r="G331" i="17"/>
  <c r="H331" i="17"/>
  <c r="I331" i="17"/>
  <c r="J331" i="17"/>
  <c r="L331" i="17" s="1"/>
  <c r="K331" i="17"/>
  <c r="M331" i="17" s="1"/>
  <c r="O331" i="17"/>
  <c r="P331" i="17"/>
  <c r="Q331" i="17"/>
  <c r="G332" i="17"/>
  <c r="H332" i="17"/>
  <c r="I332" i="17"/>
  <c r="J332" i="17"/>
  <c r="L332" i="17" s="1"/>
  <c r="K332" i="17"/>
  <c r="M332" i="17" s="1"/>
  <c r="O332" i="17"/>
  <c r="P332" i="17"/>
  <c r="Q332" i="17"/>
  <c r="G333" i="17"/>
  <c r="H333" i="17"/>
  <c r="I333" i="17"/>
  <c r="J333" i="17"/>
  <c r="L333" i="17" s="1"/>
  <c r="K333" i="17"/>
  <c r="M333" i="17" s="1"/>
  <c r="O333" i="17"/>
  <c r="P333" i="17"/>
  <c r="Q333" i="17"/>
  <c r="G334" i="17"/>
  <c r="H334" i="17"/>
  <c r="I334" i="17"/>
  <c r="J334" i="17"/>
  <c r="L334" i="17" s="1"/>
  <c r="K334" i="17"/>
  <c r="M334" i="17"/>
  <c r="O334" i="17"/>
  <c r="P334" i="17"/>
  <c r="Q334" i="17"/>
  <c r="G335" i="17"/>
  <c r="H335" i="17"/>
  <c r="I335" i="17"/>
  <c r="J335" i="17"/>
  <c r="L335" i="17" s="1"/>
  <c r="K335" i="17"/>
  <c r="M335" i="17" s="1"/>
  <c r="O335" i="17"/>
  <c r="P335" i="17"/>
  <c r="Q335" i="17"/>
  <c r="G336" i="17"/>
  <c r="H336" i="17"/>
  <c r="I336" i="17"/>
  <c r="J336" i="17"/>
  <c r="L336" i="17" s="1"/>
  <c r="K336" i="17"/>
  <c r="M336" i="17" s="1"/>
  <c r="O336" i="17"/>
  <c r="P336" i="17"/>
  <c r="Q336" i="17"/>
  <c r="G337" i="17"/>
  <c r="H337" i="17"/>
  <c r="I337" i="17"/>
  <c r="J337" i="17"/>
  <c r="L337" i="17" s="1"/>
  <c r="K337" i="17"/>
  <c r="M337" i="17" s="1"/>
  <c r="O337" i="17"/>
  <c r="P337" i="17"/>
  <c r="Q337" i="17"/>
  <c r="G338" i="17"/>
  <c r="H338" i="17"/>
  <c r="I338" i="17"/>
  <c r="J338" i="17"/>
  <c r="L338" i="17" s="1"/>
  <c r="K338" i="17"/>
  <c r="M338" i="17"/>
  <c r="O338" i="17"/>
  <c r="P338" i="17"/>
  <c r="Q338" i="17"/>
  <c r="G339" i="17"/>
  <c r="H339" i="17"/>
  <c r="I339" i="17"/>
  <c r="J339" i="17"/>
  <c r="K339" i="17"/>
  <c r="L339" i="17"/>
  <c r="M339" i="17"/>
  <c r="O339" i="17"/>
  <c r="P339" i="17"/>
  <c r="Q339" i="17"/>
  <c r="G340" i="17"/>
  <c r="H340" i="17"/>
  <c r="I340" i="17"/>
  <c r="J340" i="17"/>
  <c r="L340" i="17" s="1"/>
  <c r="K340" i="17"/>
  <c r="M340" i="17" s="1"/>
  <c r="O340" i="17"/>
  <c r="P340" i="17"/>
  <c r="Q340" i="17"/>
  <c r="G341" i="17"/>
  <c r="H341" i="17"/>
  <c r="I341" i="17"/>
  <c r="J341" i="17"/>
  <c r="L341" i="17" s="1"/>
  <c r="K341" i="17"/>
  <c r="M341" i="17" s="1"/>
  <c r="O341" i="17"/>
  <c r="P341" i="17"/>
  <c r="Q341" i="17"/>
  <c r="G342" i="17"/>
  <c r="H342" i="17"/>
  <c r="I342" i="17"/>
  <c r="J342" i="17"/>
  <c r="L342" i="17" s="1"/>
  <c r="K342" i="17"/>
  <c r="M342" i="17" s="1"/>
  <c r="O342" i="17"/>
  <c r="P342" i="17"/>
  <c r="Q342" i="17"/>
  <c r="G343" i="17"/>
  <c r="H343" i="17"/>
  <c r="I343" i="17"/>
  <c r="J343" i="17"/>
  <c r="L343" i="17" s="1"/>
  <c r="K343" i="17"/>
  <c r="M343" i="17" s="1"/>
  <c r="O343" i="17"/>
  <c r="P343" i="17"/>
  <c r="Q343" i="17"/>
  <c r="G344" i="17"/>
  <c r="H344" i="17"/>
  <c r="I344" i="17"/>
  <c r="J344" i="17"/>
  <c r="L344" i="17" s="1"/>
  <c r="K344" i="17"/>
  <c r="M344" i="17" s="1"/>
  <c r="O344" i="17"/>
  <c r="P344" i="17"/>
  <c r="Q344" i="17"/>
  <c r="G345" i="17"/>
  <c r="H345" i="17"/>
  <c r="I345" i="17"/>
  <c r="J345" i="17"/>
  <c r="L345" i="17" s="1"/>
  <c r="K345" i="17"/>
  <c r="M345" i="17" s="1"/>
  <c r="O345" i="17"/>
  <c r="P345" i="17"/>
  <c r="Q345" i="17"/>
  <c r="G346" i="17"/>
  <c r="H346" i="17"/>
  <c r="I346" i="17"/>
  <c r="J346" i="17"/>
  <c r="L346" i="17" s="1"/>
  <c r="K346" i="17"/>
  <c r="M346" i="17" s="1"/>
  <c r="O346" i="17"/>
  <c r="P346" i="17"/>
  <c r="Q346" i="17"/>
  <c r="G347" i="17"/>
  <c r="H347" i="17"/>
  <c r="I347" i="17"/>
  <c r="J347" i="17"/>
  <c r="L347" i="17" s="1"/>
  <c r="K347" i="17"/>
  <c r="M347" i="17" s="1"/>
  <c r="O347" i="17"/>
  <c r="P347" i="17"/>
  <c r="Q347" i="17"/>
  <c r="G348" i="17"/>
  <c r="H348" i="17"/>
  <c r="I348" i="17"/>
  <c r="J348" i="17"/>
  <c r="L348" i="17" s="1"/>
  <c r="K348" i="17"/>
  <c r="M348" i="17" s="1"/>
  <c r="O348" i="17"/>
  <c r="P348" i="17"/>
  <c r="Q348" i="17"/>
  <c r="G349" i="17"/>
  <c r="H349" i="17"/>
  <c r="I349" i="17"/>
  <c r="J349" i="17"/>
  <c r="K349" i="17"/>
  <c r="M349" i="17" s="1"/>
  <c r="L349" i="17"/>
  <c r="O349" i="17"/>
  <c r="P349" i="17"/>
  <c r="Q349" i="17"/>
  <c r="G350" i="17"/>
  <c r="H350" i="17"/>
  <c r="I350" i="17"/>
  <c r="J350" i="17"/>
  <c r="L350" i="17" s="1"/>
  <c r="K350" i="17"/>
  <c r="M350" i="17" s="1"/>
  <c r="O350" i="17"/>
  <c r="P350" i="17"/>
  <c r="Q350" i="17"/>
  <c r="G351" i="17"/>
  <c r="H351" i="17"/>
  <c r="I351" i="17"/>
  <c r="J351" i="17"/>
  <c r="L351" i="17" s="1"/>
  <c r="K351" i="17"/>
  <c r="M351" i="17" s="1"/>
  <c r="O351" i="17"/>
  <c r="P351" i="17"/>
  <c r="Q351" i="17"/>
  <c r="G352" i="17"/>
  <c r="H352" i="17"/>
  <c r="I352" i="17"/>
  <c r="J352" i="17"/>
  <c r="L352" i="17" s="1"/>
  <c r="K352" i="17"/>
  <c r="M352" i="17" s="1"/>
  <c r="O352" i="17"/>
  <c r="P352" i="17"/>
  <c r="Q352" i="17"/>
  <c r="G353" i="17"/>
  <c r="H353" i="17"/>
  <c r="I353" i="17"/>
  <c r="J353" i="17"/>
  <c r="L353" i="17" s="1"/>
  <c r="K353" i="17"/>
  <c r="M353" i="17" s="1"/>
  <c r="O353" i="17"/>
  <c r="P353" i="17"/>
  <c r="Q353" i="17"/>
  <c r="G354" i="17"/>
  <c r="H354" i="17"/>
  <c r="I354" i="17"/>
  <c r="J354" i="17"/>
  <c r="L354" i="17" s="1"/>
  <c r="K354" i="17"/>
  <c r="M354" i="17" s="1"/>
  <c r="O354" i="17"/>
  <c r="P354" i="17"/>
  <c r="Q354" i="17"/>
  <c r="G355" i="17"/>
  <c r="H355" i="17"/>
  <c r="I355" i="17"/>
  <c r="J355" i="17"/>
  <c r="K355" i="17"/>
  <c r="M355" i="17" s="1"/>
  <c r="L355" i="17"/>
  <c r="O355" i="17"/>
  <c r="P355" i="17"/>
  <c r="Q355" i="17"/>
  <c r="G356" i="17"/>
  <c r="H356" i="17"/>
  <c r="I356" i="17"/>
  <c r="J356" i="17"/>
  <c r="K356" i="17"/>
  <c r="M356" i="17" s="1"/>
  <c r="L356" i="17"/>
  <c r="O356" i="17"/>
  <c r="P356" i="17"/>
  <c r="Q356" i="17"/>
  <c r="G357" i="17"/>
  <c r="H357" i="17"/>
  <c r="I357" i="17"/>
  <c r="J357" i="17"/>
  <c r="L357" i="17" s="1"/>
  <c r="K357" i="17"/>
  <c r="M357" i="17" s="1"/>
  <c r="O357" i="17"/>
  <c r="P357" i="17"/>
  <c r="Q357" i="17"/>
  <c r="G358" i="17"/>
  <c r="H358" i="17"/>
  <c r="I358" i="17"/>
  <c r="J358" i="17"/>
  <c r="L358" i="17" s="1"/>
  <c r="K358" i="17"/>
  <c r="M358" i="17"/>
  <c r="O358" i="17"/>
  <c r="P358" i="17"/>
  <c r="Q358" i="17"/>
  <c r="G359" i="17"/>
  <c r="H359" i="17"/>
  <c r="I359" i="17"/>
  <c r="J359" i="17"/>
  <c r="L359" i="17" s="1"/>
  <c r="K359" i="17"/>
  <c r="M359" i="17" s="1"/>
  <c r="O359" i="17"/>
  <c r="P359" i="17"/>
  <c r="Q359" i="17"/>
  <c r="G360" i="17"/>
  <c r="H360" i="17"/>
  <c r="I360" i="17"/>
  <c r="J360" i="17"/>
  <c r="L360" i="17" s="1"/>
  <c r="K360" i="17"/>
  <c r="M360" i="17" s="1"/>
  <c r="O360" i="17"/>
  <c r="P360" i="17"/>
  <c r="Q360" i="17"/>
  <c r="G361" i="17"/>
  <c r="H361" i="17"/>
  <c r="I361" i="17"/>
  <c r="J361" i="17"/>
  <c r="L361" i="17" s="1"/>
  <c r="K361" i="17"/>
  <c r="M361" i="17"/>
  <c r="O361" i="17"/>
  <c r="P361" i="17"/>
  <c r="Q361" i="17"/>
  <c r="G362" i="17"/>
  <c r="H362" i="17"/>
  <c r="I362" i="17"/>
  <c r="J362" i="17"/>
  <c r="L362" i="17" s="1"/>
  <c r="K362" i="17"/>
  <c r="M362" i="17" s="1"/>
  <c r="N362" i="17" s="1"/>
  <c r="O362" i="17"/>
  <c r="P362" i="17"/>
  <c r="Q362" i="17"/>
  <c r="G363" i="17"/>
  <c r="H363" i="17"/>
  <c r="I363" i="17"/>
  <c r="J363" i="17"/>
  <c r="L363" i="17" s="1"/>
  <c r="K363" i="17"/>
  <c r="M363" i="17" s="1"/>
  <c r="O363" i="17"/>
  <c r="P363" i="17"/>
  <c r="Q363" i="17"/>
  <c r="G364" i="17"/>
  <c r="H364" i="17"/>
  <c r="I364" i="17"/>
  <c r="J364" i="17"/>
  <c r="L364" i="17" s="1"/>
  <c r="K364" i="17"/>
  <c r="M364" i="17" s="1"/>
  <c r="O364" i="17"/>
  <c r="P364" i="17"/>
  <c r="Q364" i="17"/>
  <c r="G365" i="17"/>
  <c r="H365" i="17"/>
  <c r="I365" i="17"/>
  <c r="J365" i="17"/>
  <c r="L365" i="17" s="1"/>
  <c r="K365" i="17"/>
  <c r="M365" i="17" s="1"/>
  <c r="O365" i="17"/>
  <c r="P365" i="17"/>
  <c r="Q365" i="17"/>
  <c r="G366" i="17"/>
  <c r="H366" i="17"/>
  <c r="I366" i="17"/>
  <c r="J366" i="17"/>
  <c r="L366" i="17" s="1"/>
  <c r="K366" i="17"/>
  <c r="M366" i="17" s="1"/>
  <c r="O366" i="17"/>
  <c r="P366" i="17"/>
  <c r="Q366" i="17"/>
  <c r="G367" i="17"/>
  <c r="H367" i="17"/>
  <c r="I367" i="17"/>
  <c r="J367" i="17"/>
  <c r="L367" i="17" s="1"/>
  <c r="K367" i="17"/>
  <c r="M367" i="17" s="1"/>
  <c r="O367" i="17"/>
  <c r="P367" i="17"/>
  <c r="Q367" i="17"/>
  <c r="G368" i="17"/>
  <c r="H368" i="17"/>
  <c r="I368" i="17"/>
  <c r="J368" i="17"/>
  <c r="K368" i="17"/>
  <c r="M368" i="17" s="1"/>
  <c r="L368" i="17"/>
  <c r="O368" i="17"/>
  <c r="P368" i="17"/>
  <c r="Q368" i="17"/>
  <c r="G369" i="17"/>
  <c r="H369" i="17"/>
  <c r="I369" i="17"/>
  <c r="J369" i="17"/>
  <c r="L369" i="17" s="1"/>
  <c r="K369" i="17"/>
  <c r="M369" i="17"/>
  <c r="O369" i="17"/>
  <c r="P369" i="17"/>
  <c r="Q369" i="17"/>
  <c r="G370" i="17"/>
  <c r="H370" i="17"/>
  <c r="I370" i="17"/>
  <c r="J370" i="17"/>
  <c r="L370" i="17" s="1"/>
  <c r="K370" i="17"/>
  <c r="M370" i="17" s="1"/>
  <c r="N370" i="17" s="1"/>
  <c r="O370" i="17"/>
  <c r="P370" i="17"/>
  <c r="Q370" i="17"/>
  <c r="G371" i="17"/>
  <c r="H371" i="17"/>
  <c r="I371" i="17"/>
  <c r="J371" i="17"/>
  <c r="K371" i="17"/>
  <c r="M371" i="17" s="1"/>
  <c r="L371" i="17"/>
  <c r="O371" i="17"/>
  <c r="P371" i="17"/>
  <c r="Q371" i="17"/>
  <c r="G372" i="17"/>
  <c r="H372" i="17"/>
  <c r="I372" i="17"/>
  <c r="J372" i="17"/>
  <c r="L372" i="17" s="1"/>
  <c r="K372" i="17"/>
  <c r="M372" i="17" s="1"/>
  <c r="O372" i="17"/>
  <c r="P372" i="17"/>
  <c r="Q372" i="17"/>
  <c r="G373" i="17"/>
  <c r="H373" i="17"/>
  <c r="I373" i="17"/>
  <c r="J373" i="17"/>
  <c r="L373" i="17" s="1"/>
  <c r="K373" i="17"/>
  <c r="M373" i="17" s="1"/>
  <c r="O373" i="17"/>
  <c r="P373" i="17"/>
  <c r="Q373" i="17"/>
  <c r="G374" i="17"/>
  <c r="H374" i="17"/>
  <c r="I374" i="17"/>
  <c r="J374" i="17"/>
  <c r="L374" i="17" s="1"/>
  <c r="K374" i="17"/>
  <c r="M374" i="17"/>
  <c r="O374" i="17"/>
  <c r="P374" i="17"/>
  <c r="Q374" i="17"/>
  <c r="G375" i="17"/>
  <c r="H375" i="17"/>
  <c r="I375" i="17"/>
  <c r="J375" i="17"/>
  <c r="L375" i="17" s="1"/>
  <c r="K375" i="17"/>
  <c r="M375" i="17" s="1"/>
  <c r="O375" i="17"/>
  <c r="P375" i="17"/>
  <c r="Q375" i="17"/>
  <c r="G376" i="17"/>
  <c r="H376" i="17"/>
  <c r="I376" i="17"/>
  <c r="J376" i="17"/>
  <c r="L376" i="17" s="1"/>
  <c r="K376" i="17"/>
  <c r="M376" i="17" s="1"/>
  <c r="O376" i="17"/>
  <c r="P376" i="17"/>
  <c r="Q376" i="17"/>
  <c r="G377" i="17"/>
  <c r="H377" i="17"/>
  <c r="I377" i="17"/>
  <c r="J377" i="17"/>
  <c r="L377" i="17" s="1"/>
  <c r="K377" i="17"/>
  <c r="M377" i="17"/>
  <c r="O377" i="17"/>
  <c r="P377" i="17"/>
  <c r="Q377" i="17"/>
  <c r="G378" i="17"/>
  <c r="H378" i="17"/>
  <c r="I378" i="17"/>
  <c r="J378" i="17"/>
  <c r="L378" i="17" s="1"/>
  <c r="K378" i="17"/>
  <c r="M378" i="17" s="1"/>
  <c r="N378" i="17" s="1"/>
  <c r="O378" i="17"/>
  <c r="P378" i="17"/>
  <c r="Q378" i="17"/>
  <c r="G379" i="17"/>
  <c r="H379" i="17"/>
  <c r="I379" i="17"/>
  <c r="J379" i="17"/>
  <c r="L379" i="17" s="1"/>
  <c r="K379" i="17"/>
  <c r="M379" i="17" s="1"/>
  <c r="O379" i="17"/>
  <c r="P379" i="17"/>
  <c r="Q379" i="17"/>
  <c r="G380" i="17"/>
  <c r="H380" i="17"/>
  <c r="I380" i="17"/>
  <c r="J380" i="17"/>
  <c r="K380" i="17"/>
  <c r="M380" i="17" s="1"/>
  <c r="L380" i="17"/>
  <c r="O380" i="17"/>
  <c r="P380" i="17"/>
  <c r="Q380" i="17"/>
  <c r="G381" i="17"/>
  <c r="H381" i="17"/>
  <c r="I381" i="17"/>
  <c r="J381" i="17"/>
  <c r="L381" i="17" s="1"/>
  <c r="K381" i="17"/>
  <c r="M381" i="17" s="1"/>
  <c r="O381" i="17"/>
  <c r="P381" i="17"/>
  <c r="Q381" i="17"/>
  <c r="G382" i="17"/>
  <c r="H382" i="17"/>
  <c r="I382" i="17"/>
  <c r="J382" i="17"/>
  <c r="L382" i="17" s="1"/>
  <c r="K382" i="17"/>
  <c r="M382" i="17"/>
  <c r="O382" i="17"/>
  <c r="P382" i="17"/>
  <c r="Q382" i="17"/>
  <c r="G383" i="17"/>
  <c r="H383" i="17"/>
  <c r="I383" i="17"/>
  <c r="J383" i="17"/>
  <c r="L383" i="17" s="1"/>
  <c r="K383" i="17"/>
  <c r="M383" i="17" s="1"/>
  <c r="O383" i="17"/>
  <c r="P383" i="17"/>
  <c r="Q383" i="17"/>
  <c r="G384" i="17"/>
  <c r="H384" i="17"/>
  <c r="I384" i="17"/>
  <c r="J384" i="17"/>
  <c r="K384" i="17"/>
  <c r="M384" i="17" s="1"/>
  <c r="L384" i="17"/>
  <c r="O384" i="17"/>
  <c r="P384" i="17"/>
  <c r="Q384" i="17"/>
  <c r="G385" i="17"/>
  <c r="H385" i="17"/>
  <c r="I385" i="17"/>
  <c r="J385" i="17"/>
  <c r="L385" i="17" s="1"/>
  <c r="K385" i="17"/>
  <c r="M385" i="17" s="1"/>
  <c r="O385" i="17"/>
  <c r="P385" i="17"/>
  <c r="Q385" i="17"/>
  <c r="G386" i="17"/>
  <c r="H386" i="17"/>
  <c r="I386" i="17"/>
  <c r="J386" i="17"/>
  <c r="L386" i="17" s="1"/>
  <c r="K386" i="17"/>
  <c r="M386" i="17" s="1"/>
  <c r="O386" i="17"/>
  <c r="P386" i="17"/>
  <c r="Q386" i="17"/>
  <c r="G387" i="17"/>
  <c r="H387" i="17"/>
  <c r="I387" i="17"/>
  <c r="J387" i="17"/>
  <c r="L387" i="17" s="1"/>
  <c r="K387" i="17"/>
  <c r="M387" i="17" s="1"/>
  <c r="O387" i="17"/>
  <c r="P387" i="17"/>
  <c r="Q387" i="17"/>
  <c r="G388" i="17"/>
  <c r="H388" i="17"/>
  <c r="I388" i="17"/>
  <c r="J388" i="17"/>
  <c r="L388" i="17" s="1"/>
  <c r="K388" i="17"/>
  <c r="M388" i="17" s="1"/>
  <c r="O388" i="17"/>
  <c r="P388" i="17"/>
  <c r="Q388" i="17"/>
  <c r="G389" i="17"/>
  <c r="H389" i="17"/>
  <c r="I389" i="17"/>
  <c r="J389" i="17"/>
  <c r="L389" i="17" s="1"/>
  <c r="K389" i="17"/>
  <c r="M389" i="17" s="1"/>
  <c r="O389" i="17"/>
  <c r="P389" i="17"/>
  <c r="Q389" i="17"/>
  <c r="G390" i="17"/>
  <c r="H390" i="17"/>
  <c r="I390" i="17"/>
  <c r="J390" i="17"/>
  <c r="L390" i="17" s="1"/>
  <c r="K390" i="17"/>
  <c r="M390" i="17"/>
  <c r="O390" i="17"/>
  <c r="P390" i="17"/>
  <c r="Q390" i="17"/>
  <c r="G391" i="17"/>
  <c r="H391" i="17"/>
  <c r="I391" i="17"/>
  <c r="J391" i="17"/>
  <c r="L391" i="17" s="1"/>
  <c r="K391" i="17"/>
  <c r="M391" i="17" s="1"/>
  <c r="O391" i="17"/>
  <c r="P391" i="17"/>
  <c r="Q391" i="17"/>
  <c r="G392" i="17"/>
  <c r="H392" i="17"/>
  <c r="I392" i="17"/>
  <c r="J392" i="17"/>
  <c r="K392" i="17"/>
  <c r="M392" i="17" s="1"/>
  <c r="L392" i="17"/>
  <c r="O392" i="17"/>
  <c r="P392" i="17"/>
  <c r="Q392" i="17"/>
  <c r="G393" i="17"/>
  <c r="H393" i="17"/>
  <c r="I393" i="17"/>
  <c r="J393" i="17"/>
  <c r="L393" i="17" s="1"/>
  <c r="K393" i="17"/>
  <c r="M393" i="17"/>
  <c r="O393" i="17"/>
  <c r="P393" i="17"/>
  <c r="Q393" i="17"/>
  <c r="G394" i="17"/>
  <c r="H394" i="17"/>
  <c r="I394" i="17"/>
  <c r="J394" i="17"/>
  <c r="L394" i="17" s="1"/>
  <c r="K394" i="17"/>
  <c r="M394" i="17" s="1"/>
  <c r="N394" i="17" s="1"/>
  <c r="O394" i="17"/>
  <c r="P394" i="17"/>
  <c r="Q394" i="17"/>
  <c r="G395" i="17"/>
  <c r="H395" i="17"/>
  <c r="I395" i="17"/>
  <c r="J395" i="17"/>
  <c r="K395" i="17"/>
  <c r="M395" i="17" s="1"/>
  <c r="L395" i="17"/>
  <c r="O395" i="17"/>
  <c r="P395" i="17"/>
  <c r="Q395" i="17"/>
  <c r="G396" i="17"/>
  <c r="H396" i="17"/>
  <c r="I396" i="17"/>
  <c r="J396" i="17"/>
  <c r="K396" i="17"/>
  <c r="M396" i="17" s="1"/>
  <c r="L396" i="17"/>
  <c r="O396" i="17"/>
  <c r="P396" i="17"/>
  <c r="Q396" i="17"/>
  <c r="G397" i="17"/>
  <c r="H397" i="17"/>
  <c r="I397" i="17"/>
  <c r="J397" i="17"/>
  <c r="L397" i="17" s="1"/>
  <c r="K397" i="17"/>
  <c r="M397" i="17" s="1"/>
  <c r="O397" i="17"/>
  <c r="P397" i="17"/>
  <c r="Q397" i="17"/>
  <c r="G398" i="17"/>
  <c r="H398" i="17"/>
  <c r="I398" i="17"/>
  <c r="J398" i="17"/>
  <c r="L398" i="17" s="1"/>
  <c r="K398" i="17"/>
  <c r="M398" i="17" s="1"/>
  <c r="O398" i="17"/>
  <c r="P398" i="17"/>
  <c r="Q398" i="17"/>
  <c r="G399" i="17"/>
  <c r="H399" i="17"/>
  <c r="I399" i="17"/>
  <c r="J399" i="17"/>
  <c r="L399" i="17" s="1"/>
  <c r="K399" i="17"/>
  <c r="M399" i="17" s="1"/>
  <c r="O399" i="17"/>
  <c r="P399" i="17"/>
  <c r="Q399" i="17"/>
  <c r="G400" i="17"/>
  <c r="H400" i="17"/>
  <c r="I400" i="17"/>
  <c r="J400" i="17"/>
  <c r="L400" i="17" s="1"/>
  <c r="K400" i="17"/>
  <c r="M400" i="17" s="1"/>
  <c r="O400" i="17"/>
  <c r="P400" i="17"/>
  <c r="Q400" i="17"/>
  <c r="G401" i="17"/>
  <c r="H401" i="17"/>
  <c r="I401" i="17"/>
  <c r="J401" i="17"/>
  <c r="L401" i="17" s="1"/>
  <c r="K401" i="17"/>
  <c r="M401" i="17" s="1"/>
  <c r="O401" i="17"/>
  <c r="P401" i="17"/>
  <c r="Q401" i="17"/>
  <c r="G402" i="17"/>
  <c r="H402" i="17"/>
  <c r="I402" i="17"/>
  <c r="J402" i="17"/>
  <c r="L402" i="17" s="1"/>
  <c r="K402" i="17"/>
  <c r="M402" i="17" s="1"/>
  <c r="O402" i="17"/>
  <c r="P402" i="17"/>
  <c r="Q402" i="17"/>
  <c r="G403" i="17"/>
  <c r="H403" i="17"/>
  <c r="I403" i="17"/>
  <c r="J403" i="17"/>
  <c r="L403" i="17" s="1"/>
  <c r="K403" i="17"/>
  <c r="M403" i="17" s="1"/>
  <c r="O403" i="17"/>
  <c r="P403" i="17"/>
  <c r="Q403" i="17"/>
  <c r="G404" i="17"/>
  <c r="H404" i="17"/>
  <c r="I404" i="17"/>
  <c r="J404" i="17"/>
  <c r="K404" i="17"/>
  <c r="M404" i="17" s="1"/>
  <c r="L404" i="17"/>
  <c r="O404" i="17"/>
  <c r="P404" i="17"/>
  <c r="Q404" i="17"/>
  <c r="G405" i="17"/>
  <c r="H405" i="17"/>
  <c r="I405" i="17"/>
  <c r="J405" i="17"/>
  <c r="L405" i="17" s="1"/>
  <c r="K405" i="17"/>
  <c r="M405" i="17" s="1"/>
  <c r="N405" i="17" s="1"/>
  <c r="O405" i="17"/>
  <c r="P405" i="17"/>
  <c r="Q405" i="17"/>
  <c r="G406" i="17"/>
  <c r="H406" i="17"/>
  <c r="I406" i="17"/>
  <c r="J406" i="17"/>
  <c r="L406" i="17" s="1"/>
  <c r="K406" i="17"/>
  <c r="M406" i="17"/>
  <c r="O406" i="17"/>
  <c r="P406" i="17"/>
  <c r="Q406" i="17"/>
  <c r="G407" i="17"/>
  <c r="H407" i="17"/>
  <c r="I407" i="17"/>
  <c r="J407" i="17"/>
  <c r="L407" i="17" s="1"/>
  <c r="K407" i="17"/>
  <c r="M407" i="17" s="1"/>
  <c r="O407" i="17"/>
  <c r="P407" i="17"/>
  <c r="Q407" i="17"/>
  <c r="G408" i="17"/>
  <c r="H408" i="17"/>
  <c r="I408" i="17"/>
  <c r="J408" i="17"/>
  <c r="K408" i="17"/>
  <c r="M408" i="17" s="1"/>
  <c r="L408" i="17"/>
  <c r="O408" i="17"/>
  <c r="P408" i="17"/>
  <c r="Q408" i="17"/>
  <c r="G409" i="17"/>
  <c r="H409" i="17"/>
  <c r="I409" i="17"/>
  <c r="J409" i="17"/>
  <c r="L409" i="17" s="1"/>
  <c r="K409" i="17"/>
  <c r="M409" i="17"/>
  <c r="O409" i="17"/>
  <c r="P409" i="17"/>
  <c r="Q409" i="17"/>
  <c r="G410" i="17"/>
  <c r="H410" i="17"/>
  <c r="I410" i="17"/>
  <c r="J410" i="17"/>
  <c r="L410" i="17" s="1"/>
  <c r="K410" i="17"/>
  <c r="M410" i="17" s="1"/>
  <c r="N410" i="17" s="1"/>
  <c r="O410" i="17"/>
  <c r="P410" i="17"/>
  <c r="Q410" i="17"/>
  <c r="G411" i="17"/>
  <c r="H411" i="17"/>
  <c r="I411" i="17"/>
  <c r="J411" i="17"/>
  <c r="L411" i="17" s="1"/>
  <c r="K411" i="17"/>
  <c r="M411" i="17" s="1"/>
  <c r="O411" i="17"/>
  <c r="P411" i="17"/>
  <c r="Q411" i="17"/>
  <c r="G412" i="17"/>
  <c r="H412" i="17"/>
  <c r="I412" i="17"/>
  <c r="J412" i="17"/>
  <c r="L412" i="17" s="1"/>
  <c r="K412" i="17"/>
  <c r="M412" i="17" s="1"/>
  <c r="O412" i="17"/>
  <c r="P412" i="17"/>
  <c r="Q412" i="17"/>
  <c r="G413" i="17"/>
  <c r="H413" i="17"/>
  <c r="I413" i="17"/>
  <c r="J413" i="17"/>
  <c r="L413" i="17" s="1"/>
  <c r="K413" i="17"/>
  <c r="M413" i="17" s="1"/>
  <c r="N413" i="17" s="1"/>
  <c r="O413" i="17"/>
  <c r="P413" i="17"/>
  <c r="Q413" i="17"/>
  <c r="G414" i="17"/>
  <c r="H414" i="17"/>
  <c r="I414" i="17"/>
  <c r="J414" i="17"/>
  <c r="L414" i="17" s="1"/>
  <c r="K414" i="17"/>
  <c r="M414" i="17" s="1"/>
  <c r="O414" i="17"/>
  <c r="P414" i="17"/>
  <c r="Q414" i="17"/>
  <c r="G415" i="17"/>
  <c r="H415" i="17"/>
  <c r="I415" i="17"/>
  <c r="J415" i="17"/>
  <c r="L415" i="17" s="1"/>
  <c r="K415" i="17"/>
  <c r="M415" i="17" s="1"/>
  <c r="O415" i="17"/>
  <c r="P415" i="17"/>
  <c r="Q415" i="17"/>
  <c r="G416" i="17"/>
  <c r="H416" i="17"/>
  <c r="I416" i="17"/>
  <c r="J416" i="17"/>
  <c r="L416" i="17" s="1"/>
  <c r="K416" i="17"/>
  <c r="M416" i="17" s="1"/>
  <c r="O416" i="17"/>
  <c r="P416" i="17"/>
  <c r="Q416" i="17"/>
  <c r="G417" i="17"/>
  <c r="H417" i="17"/>
  <c r="I417" i="17"/>
  <c r="J417" i="17"/>
  <c r="L417" i="17" s="1"/>
  <c r="K417" i="17"/>
  <c r="M417" i="17"/>
  <c r="O417" i="17"/>
  <c r="P417" i="17"/>
  <c r="Q417" i="17"/>
  <c r="G418" i="17"/>
  <c r="H418" i="17"/>
  <c r="I418" i="17"/>
  <c r="J418" i="17"/>
  <c r="L418" i="17" s="1"/>
  <c r="K418" i="17"/>
  <c r="M418" i="17" s="1"/>
  <c r="O418" i="17"/>
  <c r="P418" i="17"/>
  <c r="Q418" i="17"/>
  <c r="G419" i="17"/>
  <c r="H419" i="17"/>
  <c r="I419" i="17"/>
  <c r="J419" i="17"/>
  <c r="K419" i="17"/>
  <c r="M419" i="17" s="1"/>
  <c r="L419" i="17"/>
  <c r="O419" i="17"/>
  <c r="P419" i="17"/>
  <c r="Q419" i="17"/>
  <c r="G420" i="17"/>
  <c r="H420" i="17"/>
  <c r="I420" i="17"/>
  <c r="J420" i="17"/>
  <c r="K420" i="17"/>
  <c r="M420" i="17" s="1"/>
  <c r="L420" i="17"/>
  <c r="O420" i="17"/>
  <c r="P420" i="17"/>
  <c r="Q420" i="17"/>
  <c r="G421" i="17"/>
  <c r="H421" i="17"/>
  <c r="I421" i="17"/>
  <c r="J421" i="17"/>
  <c r="L421" i="17" s="1"/>
  <c r="K421" i="17"/>
  <c r="M421" i="17" s="1"/>
  <c r="O421" i="17"/>
  <c r="P421" i="17"/>
  <c r="Q421" i="17"/>
  <c r="G422" i="17"/>
  <c r="H422" i="17"/>
  <c r="I422" i="17"/>
  <c r="J422" i="17"/>
  <c r="L422" i="17" s="1"/>
  <c r="K422" i="17"/>
  <c r="M422" i="17"/>
  <c r="O422" i="17"/>
  <c r="P422" i="17"/>
  <c r="Q422" i="17"/>
  <c r="G423" i="17"/>
  <c r="H423" i="17"/>
  <c r="I423" i="17"/>
  <c r="J423" i="17"/>
  <c r="L423" i="17" s="1"/>
  <c r="K423" i="17"/>
  <c r="M423" i="17" s="1"/>
  <c r="O423" i="17"/>
  <c r="P423" i="17"/>
  <c r="Q423" i="17"/>
  <c r="G424" i="17"/>
  <c r="H424" i="17"/>
  <c r="I424" i="17"/>
  <c r="J424" i="17"/>
  <c r="L424" i="17" s="1"/>
  <c r="K424" i="17"/>
  <c r="M424" i="17" s="1"/>
  <c r="O424" i="17"/>
  <c r="P424" i="17"/>
  <c r="Q424" i="17"/>
  <c r="G425" i="17"/>
  <c r="H425" i="17"/>
  <c r="I425" i="17"/>
  <c r="J425" i="17"/>
  <c r="L425" i="17" s="1"/>
  <c r="K425" i="17"/>
  <c r="M425" i="17"/>
  <c r="O425" i="17"/>
  <c r="P425" i="17"/>
  <c r="Q425" i="17"/>
  <c r="G426" i="17"/>
  <c r="H426" i="17"/>
  <c r="I426" i="17"/>
  <c r="J426" i="17"/>
  <c r="L426" i="17" s="1"/>
  <c r="K426" i="17"/>
  <c r="M426" i="17" s="1"/>
  <c r="N426" i="17" s="1"/>
  <c r="O426" i="17"/>
  <c r="P426" i="17"/>
  <c r="Q426" i="17"/>
  <c r="G427" i="17"/>
  <c r="H427" i="17"/>
  <c r="I427" i="17"/>
  <c r="J427" i="17"/>
  <c r="K427" i="17"/>
  <c r="M427" i="17" s="1"/>
  <c r="L427" i="17"/>
  <c r="O427" i="17"/>
  <c r="P427" i="17"/>
  <c r="Q427" i="17"/>
  <c r="G428" i="17"/>
  <c r="H428" i="17"/>
  <c r="I428" i="17"/>
  <c r="J428" i="17"/>
  <c r="L428" i="17" s="1"/>
  <c r="K428" i="17"/>
  <c r="M428" i="17" s="1"/>
  <c r="O428" i="17"/>
  <c r="P428" i="17"/>
  <c r="Q428" i="17"/>
  <c r="G429" i="17"/>
  <c r="H429" i="17"/>
  <c r="I429" i="17"/>
  <c r="J429" i="17"/>
  <c r="L429" i="17" s="1"/>
  <c r="K429" i="17"/>
  <c r="M429" i="17" s="1"/>
  <c r="O429" i="17"/>
  <c r="P429" i="17"/>
  <c r="Q429" i="17"/>
  <c r="G430" i="17"/>
  <c r="H430" i="17"/>
  <c r="I430" i="17"/>
  <c r="J430" i="17"/>
  <c r="L430" i="17" s="1"/>
  <c r="K430" i="17"/>
  <c r="M430" i="17"/>
  <c r="O430" i="17"/>
  <c r="P430" i="17"/>
  <c r="Q430" i="17"/>
  <c r="G431" i="17"/>
  <c r="H431" i="17"/>
  <c r="I431" i="17"/>
  <c r="J431" i="17"/>
  <c r="L431" i="17" s="1"/>
  <c r="K431" i="17"/>
  <c r="M431" i="17" s="1"/>
  <c r="O431" i="17"/>
  <c r="P431" i="17"/>
  <c r="Q431" i="17"/>
  <c r="G432" i="17"/>
  <c r="H432" i="17"/>
  <c r="I432" i="17"/>
  <c r="J432" i="17"/>
  <c r="K432" i="17"/>
  <c r="M432" i="17" s="1"/>
  <c r="L432" i="17"/>
  <c r="O432" i="17"/>
  <c r="P432" i="17"/>
  <c r="Q432" i="17"/>
  <c r="G433" i="17"/>
  <c r="H433" i="17"/>
  <c r="I433" i="17"/>
  <c r="J433" i="17"/>
  <c r="L433" i="17" s="1"/>
  <c r="K433" i="17"/>
  <c r="M433" i="17"/>
  <c r="O433" i="17"/>
  <c r="P433" i="17"/>
  <c r="Q433" i="17"/>
  <c r="G434" i="17"/>
  <c r="H434" i="17"/>
  <c r="I434" i="17"/>
  <c r="J434" i="17"/>
  <c r="L434" i="17" s="1"/>
  <c r="K434" i="17"/>
  <c r="M434" i="17" s="1"/>
  <c r="O434" i="17"/>
  <c r="P434" i="17"/>
  <c r="Q434" i="17"/>
  <c r="G435" i="17"/>
  <c r="H435" i="17"/>
  <c r="I435" i="17"/>
  <c r="J435" i="17"/>
  <c r="K435" i="17"/>
  <c r="M435" i="17" s="1"/>
  <c r="L435" i="17"/>
  <c r="O435" i="17"/>
  <c r="P435" i="17"/>
  <c r="Q435" i="17"/>
  <c r="G436" i="17"/>
  <c r="H436" i="17"/>
  <c r="I436" i="17"/>
  <c r="J436" i="17"/>
  <c r="L436" i="17" s="1"/>
  <c r="K436" i="17"/>
  <c r="M436" i="17" s="1"/>
  <c r="O436" i="17"/>
  <c r="P436" i="17"/>
  <c r="Q436" i="17"/>
  <c r="G437" i="17"/>
  <c r="H437" i="17"/>
  <c r="I437" i="17"/>
  <c r="J437" i="17"/>
  <c r="L437" i="17" s="1"/>
  <c r="K437" i="17"/>
  <c r="M437" i="17" s="1"/>
  <c r="O437" i="17"/>
  <c r="P437" i="17"/>
  <c r="Q437" i="17"/>
  <c r="G438" i="17"/>
  <c r="H438" i="17"/>
  <c r="I438" i="17"/>
  <c r="J438" i="17"/>
  <c r="L438" i="17" s="1"/>
  <c r="K438" i="17"/>
  <c r="M438" i="17"/>
  <c r="O438" i="17"/>
  <c r="P438" i="17"/>
  <c r="Q438" i="17"/>
  <c r="G439" i="17"/>
  <c r="H439" i="17"/>
  <c r="I439" i="17"/>
  <c r="J439" i="17"/>
  <c r="L439" i="17" s="1"/>
  <c r="K439" i="17"/>
  <c r="M439" i="17" s="1"/>
  <c r="O439" i="17"/>
  <c r="P439" i="17"/>
  <c r="Q439" i="17"/>
  <c r="G440" i="17"/>
  <c r="H440" i="17"/>
  <c r="I440" i="17"/>
  <c r="J440" i="17"/>
  <c r="K440" i="17"/>
  <c r="M440" i="17" s="1"/>
  <c r="L440" i="17"/>
  <c r="O440" i="17"/>
  <c r="P440" i="17"/>
  <c r="Q440" i="17"/>
  <c r="G441" i="17"/>
  <c r="H441" i="17"/>
  <c r="I441" i="17"/>
  <c r="J441" i="17"/>
  <c r="L441" i="17" s="1"/>
  <c r="K441" i="17"/>
  <c r="M441" i="17" s="1"/>
  <c r="O441" i="17"/>
  <c r="P441" i="17"/>
  <c r="Q441" i="17"/>
  <c r="G442" i="17"/>
  <c r="H442" i="17"/>
  <c r="I442" i="17"/>
  <c r="J442" i="17"/>
  <c r="L442" i="17" s="1"/>
  <c r="K442" i="17"/>
  <c r="M442" i="17" s="1"/>
  <c r="O442" i="17"/>
  <c r="P442" i="17"/>
  <c r="Q442" i="17"/>
  <c r="G443" i="17"/>
  <c r="H443" i="17"/>
  <c r="I443" i="17"/>
  <c r="J443" i="17"/>
  <c r="K443" i="17"/>
  <c r="M443" i="17" s="1"/>
  <c r="L443" i="17"/>
  <c r="O443" i="17"/>
  <c r="P443" i="17"/>
  <c r="Q443" i="17"/>
  <c r="G444" i="17"/>
  <c r="H444" i="17"/>
  <c r="I444" i="17"/>
  <c r="J444" i="17"/>
  <c r="K444" i="17"/>
  <c r="M444" i="17" s="1"/>
  <c r="L444" i="17"/>
  <c r="O444" i="17"/>
  <c r="P444" i="17"/>
  <c r="Q444" i="17"/>
  <c r="G445" i="17"/>
  <c r="H445" i="17"/>
  <c r="I445" i="17"/>
  <c r="J445" i="17"/>
  <c r="L445" i="17" s="1"/>
  <c r="K445" i="17"/>
  <c r="M445" i="17" s="1"/>
  <c r="N445" i="17" s="1"/>
  <c r="O445" i="17"/>
  <c r="P445" i="17"/>
  <c r="Q445" i="17"/>
  <c r="G446" i="17"/>
  <c r="H446" i="17"/>
  <c r="I446" i="17"/>
  <c r="J446" i="17"/>
  <c r="L446" i="17" s="1"/>
  <c r="K446" i="17"/>
  <c r="M446" i="17" s="1"/>
  <c r="O446" i="17"/>
  <c r="P446" i="17"/>
  <c r="Q446" i="17"/>
  <c r="G447" i="17"/>
  <c r="H447" i="17"/>
  <c r="I447" i="17"/>
  <c r="J447" i="17"/>
  <c r="L447" i="17" s="1"/>
  <c r="K447" i="17"/>
  <c r="M447" i="17" s="1"/>
  <c r="O447" i="17"/>
  <c r="P447" i="17"/>
  <c r="Q447" i="17"/>
  <c r="G448" i="17"/>
  <c r="H448" i="17"/>
  <c r="I448" i="17"/>
  <c r="J448" i="17"/>
  <c r="L448" i="17" s="1"/>
  <c r="K448" i="17"/>
  <c r="M448" i="17"/>
  <c r="O448" i="17"/>
  <c r="P448" i="17"/>
  <c r="Q448" i="17"/>
  <c r="G449" i="17"/>
  <c r="H449" i="17"/>
  <c r="I449" i="17"/>
  <c r="J449" i="17"/>
  <c r="L449" i="17" s="1"/>
  <c r="K449" i="17"/>
  <c r="M449" i="17" s="1"/>
  <c r="O449" i="17"/>
  <c r="P449" i="17"/>
  <c r="Q449" i="17"/>
  <c r="G450" i="17"/>
  <c r="H450" i="17"/>
  <c r="I450" i="17"/>
  <c r="J450" i="17"/>
  <c r="L450" i="17" s="1"/>
  <c r="K450" i="17"/>
  <c r="M450" i="17" s="1"/>
  <c r="O450" i="17"/>
  <c r="P450" i="17"/>
  <c r="Q450" i="17"/>
  <c r="G451" i="17"/>
  <c r="H451" i="17"/>
  <c r="I451" i="17"/>
  <c r="J451" i="17"/>
  <c r="L451" i="17" s="1"/>
  <c r="K451" i="17"/>
  <c r="M451" i="17" s="1"/>
  <c r="O451" i="17"/>
  <c r="P451" i="17"/>
  <c r="Q451" i="17"/>
  <c r="G452" i="17"/>
  <c r="H452" i="17"/>
  <c r="I452" i="17"/>
  <c r="J452" i="17"/>
  <c r="K452" i="17"/>
  <c r="M452" i="17" s="1"/>
  <c r="L452" i="17"/>
  <c r="O452" i="17"/>
  <c r="P452" i="17"/>
  <c r="Q452" i="17"/>
  <c r="G453" i="17"/>
  <c r="H453" i="17"/>
  <c r="I453" i="17"/>
  <c r="J453" i="17"/>
  <c r="L453" i="17" s="1"/>
  <c r="K453" i="17"/>
  <c r="M453" i="17" s="1"/>
  <c r="O453" i="17"/>
  <c r="P453" i="17"/>
  <c r="Q453" i="17"/>
  <c r="G454" i="17"/>
  <c r="H454" i="17"/>
  <c r="I454" i="17"/>
  <c r="J454" i="17"/>
  <c r="L454" i="17" s="1"/>
  <c r="K454" i="17"/>
  <c r="M454" i="17"/>
  <c r="O454" i="17"/>
  <c r="P454" i="17"/>
  <c r="Q454" i="17"/>
  <c r="G455" i="17"/>
  <c r="H455" i="17"/>
  <c r="I455" i="17"/>
  <c r="J455" i="17"/>
  <c r="L455" i="17" s="1"/>
  <c r="K455" i="17"/>
  <c r="M455" i="17" s="1"/>
  <c r="O455" i="17"/>
  <c r="P455" i="17"/>
  <c r="Q455" i="17"/>
  <c r="G456" i="17"/>
  <c r="H456" i="17"/>
  <c r="I456" i="17"/>
  <c r="J456" i="17"/>
  <c r="L456" i="17" s="1"/>
  <c r="K456" i="17"/>
  <c r="M456" i="17" s="1"/>
  <c r="N456" i="17" s="1"/>
  <c r="O456" i="17"/>
  <c r="P456" i="17"/>
  <c r="Q456" i="17"/>
  <c r="G457" i="17"/>
  <c r="H457" i="17"/>
  <c r="I457" i="17"/>
  <c r="J457" i="17"/>
  <c r="K457" i="17"/>
  <c r="M457" i="17" s="1"/>
  <c r="L457" i="17"/>
  <c r="O457" i="17"/>
  <c r="P457" i="17"/>
  <c r="Q457" i="17"/>
  <c r="G458" i="17"/>
  <c r="H458" i="17"/>
  <c r="I458" i="17"/>
  <c r="J458" i="17"/>
  <c r="L458" i="17" s="1"/>
  <c r="K458" i="17"/>
  <c r="M458" i="17" s="1"/>
  <c r="O458" i="17"/>
  <c r="P458" i="17"/>
  <c r="Q458" i="17"/>
  <c r="G459" i="17"/>
  <c r="H459" i="17"/>
  <c r="I459" i="17"/>
  <c r="J459" i="17"/>
  <c r="L459" i="17" s="1"/>
  <c r="K459" i="17"/>
  <c r="M459" i="17" s="1"/>
  <c r="O459" i="17"/>
  <c r="P459" i="17"/>
  <c r="Q459" i="17"/>
  <c r="G460" i="17"/>
  <c r="H460" i="17"/>
  <c r="I460" i="17"/>
  <c r="J460" i="17"/>
  <c r="L460" i="17" s="1"/>
  <c r="K460" i="17"/>
  <c r="M460" i="17" s="1"/>
  <c r="O460" i="17"/>
  <c r="P460" i="17"/>
  <c r="Q460" i="17"/>
  <c r="G461" i="17"/>
  <c r="H461" i="17"/>
  <c r="I461" i="17"/>
  <c r="J461" i="17"/>
  <c r="L461" i="17" s="1"/>
  <c r="K461" i="17"/>
  <c r="M461" i="17" s="1"/>
  <c r="O461" i="17"/>
  <c r="P461" i="17"/>
  <c r="Q461" i="17"/>
  <c r="G462" i="17"/>
  <c r="H462" i="17"/>
  <c r="I462" i="17"/>
  <c r="J462" i="17"/>
  <c r="L462" i="17" s="1"/>
  <c r="K462" i="17"/>
  <c r="M462" i="17" s="1"/>
  <c r="O462" i="17"/>
  <c r="P462" i="17"/>
  <c r="Q462" i="17"/>
  <c r="G463" i="17"/>
  <c r="H463" i="17"/>
  <c r="I463" i="17"/>
  <c r="J463" i="17"/>
  <c r="L463" i="17" s="1"/>
  <c r="K463" i="17"/>
  <c r="M463" i="17"/>
  <c r="O463" i="17"/>
  <c r="P463" i="17"/>
  <c r="Q463" i="17"/>
  <c r="G464" i="17"/>
  <c r="H464" i="17"/>
  <c r="I464" i="17"/>
  <c r="J464" i="17"/>
  <c r="L464" i="17" s="1"/>
  <c r="K464" i="17"/>
  <c r="M464" i="17"/>
  <c r="O464" i="17"/>
  <c r="P464" i="17"/>
  <c r="Q464" i="17"/>
  <c r="G465" i="17"/>
  <c r="H465" i="17"/>
  <c r="I465" i="17"/>
  <c r="J465" i="17"/>
  <c r="L465" i="17" s="1"/>
  <c r="K465" i="17"/>
  <c r="M465" i="17" s="1"/>
  <c r="O465" i="17"/>
  <c r="P465" i="17"/>
  <c r="Q465" i="17"/>
  <c r="G466" i="17"/>
  <c r="H466" i="17"/>
  <c r="I466" i="17"/>
  <c r="J466" i="17"/>
  <c r="L466" i="17" s="1"/>
  <c r="K466" i="17"/>
  <c r="M466" i="17" s="1"/>
  <c r="O466" i="17"/>
  <c r="P466" i="17"/>
  <c r="Q466" i="17"/>
  <c r="G467" i="17"/>
  <c r="H467" i="17"/>
  <c r="I467" i="17"/>
  <c r="J467" i="17"/>
  <c r="K467" i="17"/>
  <c r="M467" i="17" s="1"/>
  <c r="L467" i="17"/>
  <c r="O467" i="17"/>
  <c r="P467" i="17"/>
  <c r="Q467" i="17"/>
  <c r="G468" i="17"/>
  <c r="H468" i="17"/>
  <c r="I468" i="17"/>
  <c r="J468" i="17"/>
  <c r="L468" i="17" s="1"/>
  <c r="K468" i="17"/>
  <c r="M468" i="17" s="1"/>
  <c r="O468" i="17"/>
  <c r="P468" i="17"/>
  <c r="Q468" i="17"/>
  <c r="G469" i="17"/>
  <c r="H469" i="17"/>
  <c r="I469" i="17"/>
  <c r="J469" i="17"/>
  <c r="L469" i="17" s="1"/>
  <c r="K469" i="17"/>
  <c r="M469" i="17" s="1"/>
  <c r="O469" i="17"/>
  <c r="P469" i="17"/>
  <c r="Q469" i="17"/>
  <c r="G470" i="17"/>
  <c r="H470" i="17"/>
  <c r="I470" i="17"/>
  <c r="J470" i="17"/>
  <c r="L470" i="17" s="1"/>
  <c r="K470" i="17"/>
  <c r="M470" i="17" s="1"/>
  <c r="O470" i="17"/>
  <c r="P470" i="17"/>
  <c r="Q470" i="17"/>
  <c r="G471" i="17"/>
  <c r="H471" i="17"/>
  <c r="I471" i="17"/>
  <c r="J471" i="17"/>
  <c r="L471" i="17" s="1"/>
  <c r="K471" i="17"/>
  <c r="M471" i="17"/>
  <c r="O471" i="17"/>
  <c r="P471" i="17"/>
  <c r="Q471" i="17"/>
  <c r="G472" i="17"/>
  <c r="H472" i="17"/>
  <c r="I472" i="17"/>
  <c r="J472" i="17"/>
  <c r="L472" i="17" s="1"/>
  <c r="K472" i="17"/>
  <c r="M472" i="17" s="1"/>
  <c r="O472" i="17"/>
  <c r="P472" i="17"/>
  <c r="Q472" i="17"/>
  <c r="G473" i="17"/>
  <c r="H473" i="17"/>
  <c r="I473" i="17"/>
  <c r="J473" i="17"/>
  <c r="L473" i="17" s="1"/>
  <c r="K473" i="17"/>
  <c r="M473" i="17" s="1"/>
  <c r="O473" i="17"/>
  <c r="P473" i="17"/>
  <c r="Q473" i="17"/>
  <c r="G474" i="17"/>
  <c r="H474" i="17"/>
  <c r="I474" i="17"/>
  <c r="J474" i="17"/>
  <c r="L474" i="17" s="1"/>
  <c r="K474" i="17"/>
  <c r="M474" i="17" s="1"/>
  <c r="O474" i="17"/>
  <c r="P474" i="17"/>
  <c r="Q474" i="17"/>
  <c r="G475" i="17"/>
  <c r="H475" i="17"/>
  <c r="I475" i="17"/>
  <c r="J475" i="17"/>
  <c r="K475" i="17"/>
  <c r="M475" i="17" s="1"/>
  <c r="L475" i="17"/>
  <c r="O475" i="17"/>
  <c r="P475" i="17"/>
  <c r="Q475" i="17"/>
  <c r="G476" i="17"/>
  <c r="H476" i="17"/>
  <c r="I476" i="17"/>
  <c r="J476" i="17"/>
  <c r="L476" i="17" s="1"/>
  <c r="K476" i="17"/>
  <c r="M476" i="17" s="1"/>
  <c r="O476" i="17"/>
  <c r="P476" i="17"/>
  <c r="Q476" i="17"/>
  <c r="G477" i="17"/>
  <c r="H477" i="17"/>
  <c r="I477" i="17"/>
  <c r="J477" i="17"/>
  <c r="L477" i="17" s="1"/>
  <c r="K477" i="17"/>
  <c r="M477" i="17" s="1"/>
  <c r="N477" i="17" s="1"/>
  <c r="O477" i="17"/>
  <c r="P477" i="17"/>
  <c r="Q477" i="17"/>
  <c r="G478" i="17"/>
  <c r="H478" i="17"/>
  <c r="I478" i="17"/>
  <c r="J478" i="17"/>
  <c r="L478" i="17" s="1"/>
  <c r="K478" i="17"/>
  <c r="M478" i="17" s="1"/>
  <c r="O478" i="17"/>
  <c r="P478" i="17"/>
  <c r="Q478" i="17"/>
  <c r="G479" i="17"/>
  <c r="H479" i="17"/>
  <c r="I479" i="17"/>
  <c r="J479" i="17"/>
  <c r="L479" i="17" s="1"/>
  <c r="K479" i="17"/>
  <c r="M479" i="17" s="1"/>
  <c r="O479" i="17"/>
  <c r="P479" i="17"/>
  <c r="Q479" i="17"/>
  <c r="G480" i="17"/>
  <c r="H480" i="17"/>
  <c r="I480" i="17"/>
  <c r="J480" i="17"/>
  <c r="L480" i="17" s="1"/>
  <c r="K480" i="17"/>
  <c r="M480" i="17"/>
  <c r="O480" i="17"/>
  <c r="P480" i="17"/>
  <c r="Q480" i="17"/>
  <c r="G481" i="17"/>
  <c r="H481" i="17"/>
  <c r="I481" i="17"/>
  <c r="J481" i="17"/>
  <c r="K481" i="17"/>
  <c r="M481" i="17" s="1"/>
  <c r="L481" i="17"/>
  <c r="O481" i="17"/>
  <c r="P481" i="17"/>
  <c r="Q481" i="17"/>
  <c r="G482" i="17"/>
  <c r="H482" i="17"/>
  <c r="I482" i="17"/>
  <c r="J482" i="17"/>
  <c r="L482" i="17" s="1"/>
  <c r="K482" i="17"/>
  <c r="M482" i="17" s="1"/>
  <c r="O482" i="17"/>
  <c r="P482" i="17"/>
  <c r="Q482" i="17"/>
  <c r="G483" i="17"/>
  <c r="H483" i="17"/>
  <c r="I483" i="17"/>
  <c r="J483" i="17"/>
  <c r="L483" i="17" s="1"/>
  <c r="K483" i="17"/>
  <c r="M483" i="17" s="1"/>
  <c r="O483" i="17"/>
  <c r="P483" i="17"/>
  <c r="Q483" i="17"/>
  <c r="G484" i="17"/>
  <c r="H484" i="17"/>
  <c r="I484" i="17"/>
  <c r="J484" i="17"/>
  <c r="L484" i="17" s="1"/>
  <c r="K484" i="17"/>
  <c r="M484" i="17"/>
  <c r="O484" i="17"/>
  <c r="P484" i="17"/>
  <c r="Q484" i="17"/>
  <c r="G485" i="17"/>
  <c r="H485" i="17"/>
  <c r="I485" i="17"/>
  <c r="J485" i="17"/>
  <c r="L485" i="17" s="1"/>
  <c r="K485" i="17"/>
  <c r="M485" i="17" s="1"/>
  <c r="O485" i="17"/>
  <c r="P485" i="17"/>
  <c r="Q485" i="17"/>
  <c r="G486" i="17"/>
  <c r="H486" i="17"/>
  <c r="I486" i="17"/>
  <c r="J486" i="17"/>
  <c r="L486" i="17" s="1"/>
  <c r="K486" i="17"/>
  <c r="M486" i="17" s="1"/>
  <c r="O486" i="17"/>
  <c r="P486" i="17"/>
  <c r="Q486" i="17"/>
  <c r="G487" i="17"/>
  <c r="H487" i="17"/>
  <c r="I487" i="17"/>
  <c r="J487" i="17"/>
  <c r="K487" i="17"/>
  <c r="M487" i="17" s="1"/>
  <c r="L487" i="17"/>
  <c r="O487" i="17"/>
  <c r="P487" i="17"/>
  <c r="Q487" i="17"/>
  <c r="G488" i="17"/>
  <c r="H488" i="17"/>
  <c r="I488" i="17"/>
  <c r="J488" i="17"/>
  <c r="L488" i="17" s="1"/>
  <c r="K488" i="17"/>
  <c r="M488" i="17"/>
  <c r="O488" i="17"/>
  <c r="P488" i="17"/>
  <c r="Q488" i="17"/>
  <c r="G489" i="17"/>
  <c r="H489" i="17"/>
  <c r="I489" i="17"/>
  <c r="J489" i="17"/>
  <c r="L489" i="17" s="1"/>
  <c r="K489" i="17"/>
  <c r="M489" i="17" s="1"/>
  <c r="O489" i="17"/>
  <c r="P489" i="17"/>
  <c r="Q489" i="17"/>
  <c r="G490" i="17"/>
  <c r="H490" i="17"/>
  <c r="I490" i="17"/>
  <c r="J490" i="17"/>
  <c r="L490" i="17" s="1"/>
  <c r="K490" i="17"/>
  <c r="M490" i="17" s="1"/>
  <c r="O490" i="17"/>
  <c r="P490" i="17"/>
  <c r="Q490" i="17"/>
  <c r="G491" i="17"/>
  <c r="H491" i="17"/>
  <c r="I491" i="17"/>
  <c r="J491" i="17"/>
  <c r="K491" i="17"/>
  <c r="M491" i="17" s="1"/>
  <c r="L491" i="17"/>
  <c r="O491" i="17"/>
  <c r="P491" i="17"/>
  <c r="Q491" i="17"/>
  <c r="G492" i="17"/>
  <c r="H492" i="17"/>
  <c r="I492" i="17"/>
  <c r="J492" i="17"/>
  <c r="L492" i="17" s="1"/>
  <c r="K492" i="17"/>
  <c r="M492" i="17" s="1"/>
  <c r="O492" i="17"/>
  <c r="P492" i="17"/>
  <c r="Q492" i="17"/>
  <c r="G493" i="17"/>
  <c r="H493" i="17"/>
  <c r="I493" i="17"/>
  <c r="J493" i="17"/>
  <c r="L493" i="17" s="1"/>
  <c r="K493" i="17"/>
  <c r="M493" i="17" s="1"/>
  <c r="N493" i="17" s="1"/>
  <c r="O493" i="17"/>
  <c r="P493" i="17"/>
  <c r="Q493" i="17"/>
  <c r="G494" i="17"/>
  <c r="H494" i="17"/>
  <c r="I494" i="17"/>
  <c r="J494" i="17"/>
  <c r="L494" i="17" s="1"/>
  <c r="K494" i="17"/>
  <c r="M494" i="17" s="1"/>
  <c r="O494" i="17"/>
  <c r="P494" i="17"/>
  <c r="Q494" i="17"/>
  <c r="G495" i="17"/>
  <c r="H495" i="17"/>
  <c r="I495" i="17"/>
  <c r="J495" i="17"/>
  <c r="K495" i="17"/>
  <c r="M495" i="17" s="1"/>
  <c r="L495" i="17"/>
  <c r="O495" i="17"/>
  <c r="P495" i="17"/>
  <c r="Q495" i="17"/>
  <c r="G496" i="17"/>
  <c r="H496" i="17"/>
  <c r="I496" i="17"/>
  <c r="J496" i="17"/>
  <c r="L496" i="17" s="1"/>
  <c r="K496" i="17"/>
  <c r="M496" i="17"/>
  <c r="O496" i="17"/>
  <c r="P496" i="17"/>
  <c r="Q496" i="17"/>
  <c r="G497" i="17"/>
  <c r="H497" i="17"/>
  <c r="I497" i="17"/>
  <c r="J497" i="17"/>
  <c r="L497" i="17" s="1"/>
  <c r="K497" i="17"/>
  <c r="M497" i="17" s="1"/>
  <c r="O497" i="17"/>
  <c r="P497" i="17"/>
  <c r="Q497" i="17"/>
  <c r="G498" i="17"/>
  <c r="H498" i="17"/>
  <c r="I498" i="17"/>
  <c r="J498" i="17"/>
  <c r="L498" i="17" s="1"/>
  <c r="K498" i="17"/>
  <c r="M498" i="17" s="1"/>
  <c r="O498" i="17"/>
  <c r="P498" i="17"/>
  <c r="Q498" i="17"/>
  <c r="G499" i="17"/>
  <c r="H499" i="17"/>
  <c r="I499" i="17"/>
  <c r="J499" i="17"/>
  <c r="L499" i="17" s="1"/>
  <c r="K499" i="17"/>
  <c r="M499" i="17"/>
  <c r="N499" i="17" s="1"/>
  <c r="O499" i="17"/>
  <c r="P499" i="17"/>
  <c r="Q499" i="17"/>
  <c r="G500" i="17"/>
  <c r="H500" i="17"/>
  <c r="I500" i="17"/>
  <c r="J500" i="17"/>
  <c r="L500" i="17" s="1"/>
  <c r="K500" i="17"/>
  <c r="M500" i="17" s="1"/>
  <c r="O500" i="17"/>
  <c r="P500" i="17"/>
  <c r="Q500" i="17"/>
  <c r="G501" i="17"/>
  <c r="H501" i="17"/>
  <c r="I501" i="17"/>
  <c r="J501" i="17"/>
  <c r="L501" i="17" s="1"/>
  <c r="K501" i="17"/>
  <c r="M501" i="17" s="1"/>
  <c r="O501" i="17"/>
  <c r="P501" i="17"/>
  <c r="Q501" i="17"/>
  <c r="G502" i="17"/>
  <c r="H502" i="17"/>
  <c r="I502" i="17"/>
  <c r="J502" i="17"/>
  <c r="L502" i="17" s="1"/>
  <c r="K502" i="17"/>
  <c r="M502" i="17"/>
  <c r="O502" i="17"/>
  <c r="P502" i="17"/>
  <c r="Q502" i="17"/>
  <c r="G503" i="17"/>
  <c r="H503" i="17"/>
  <c r="I503" i="17"/>
  <c r="J503" i="17"/>
  <c r="L503" i="17" s="1"/>
  <c r="K503" i="17"/>
  <c r="M503" i="17" s="1"/>
  <c r="O503" i="17"/>
  <c r="P503" i="17"/>
  <c r="Q503" i="17"/>
  <c r="G504" i="17"/>
  <c r="H504" i="17"/>
  <c r="I504" i="17"/>
  <c r="J504" i="17"/>
  <c r="K504" i="17"/>
  <c r="M504" i="17" s="1"/>
  <c r="L504" i="17"/>
  <c r="O504" i="17"/>
  <c r="P504" i="17"/>
  <c r="Q504" i="17"/>
  <c r="G505" i="17"/>
  <c r="H505" i="17"/>
  <c r="I505" i="17"/>
  <c r="J505" i="17"/>
  <c r="L505" i="17" s="1"/>
  <c r="K505" i="17"/>
  <c r="M505" i="17" s="1"/>
  <c r="O505" i="17"/>
  <c r="P505" i="17"/>
  <c r="Q505" i="17"/>
  <c r="G506" i="17"/>
  <c r="H506" i="17"/>
  <c r="I506" i="17"/>
  <c r="J506" i="17"/>
  <c r="L506" i="17" s="1"/>
  <c r="K506" i="17"/>
  <c r="M506" i="17" s="1"/>
  <c r="O506" i="17"/>
  <c r="P506" i="17"/>
  <c r="Q506" i="17"/>
  <c r="G507" i="17"/>
  <c r="H507" i="17"/>
  <c r="I507" i="17"/>
  <c r="J507" i="17"/>
  <c r="L507" i="17" s="1"/>
  <c r="K507" i="17"/>
  <c r="M507" i="17"/>
  <c r="O507" i="17"/>
  <c r="P507" i="17"/>
  <c r="Q507" i="17"/>
  <c r="G508" i="17"/>
  <c r="H508" i="17"/>
  <c r="I508" i="17"/>
  <c r="J508" i="17"/>
  <c r="L508" i="17" s="1"/>
  <c r="K508" i="17"/>
  <c r="M508" i="17" s="1"/>
  <c r="O508" i="17"/>
  <c r="P508" i="17"/>
  <c r="Q508" i="17"/>
  <c r="G509" i="17"/>
  <c r="H509" i="17"/>
  <c r="I509" i="17"/>
  <c r="J509" i="17"/>
  <c r="L509" i="17" s="1"/>
  <c r="K509" i="17"/>
  <c r="M509" i="17" s="1"/>
  <c r="O509" i="17"/>
  <c r="P509" i="17"/>
  <c r="Q509" i="17"/>
  <c r="G510" i="17"/>
  <c r="H510" i="17"/>
  <c r="I510" i="17"/>
  <c r="J510" i="17"/>
  <c r="K510" i="17"/>
  <c r="L510" i="17"/>
  <c r="M510" i="17"/>
  <c r="N510" i="17" s="1"/>
  <c r="O510" i="17"/>
  <c r="P510" i="17"/>
  <c r="Q510" i="17"/>
  <c r="G511" i="17"/>
  <c r="H511" i="17"/>
  <c r="I511" i="17"/>
  <c r="J511" i="17"/>
  <c r="L511" i="17" s="1"/>
  <c r="K511" i="17"/>
  <c r="M511" i="17"/>
  <c r="O511" i="17"/>
  <c r="P511" i="17"/>
  <c r="Q511" i="17"/>
  <c r="G512" i="17"/>
  <c r="H512" i="17"/>
  <c r="I512" i="17"/>
  <c r="J512" i="17"/>
  <c r="L512" i="17" s="1"/>
  <c r="K512" i="17"/>
  <c r="M512" i="17" s="1"/>
  <c r="O512" i="17"/>
  <c r="P512" i="17"/>
  <c r="Q512" i="17"/>
  <c r="G513" i="17"/>
  <c r="H513" i="17"/>
  <c r="I513" i="17"/>
  <c r="J513" i="17"/>
  <c r="L513" i="17" s="1"/>
  <c r="K513" i="17"/>
  <c r="M513" i="17"/>
  <c r="O513" i="17"/>
  <c r="P513" i="17"/>
  <c r="Q513" i="17"/>
  <c r="G514" i="17"/>
  <c r="H514" i="17"/>
  <c r="I514" i="17"/>
  <c r="J514" i="17"/>
  <c r="L514" i="17" s="1"/>
  <c r="K514" i="17"/>
  <c r="M514" i="17" s="1"/>
  <c r="O514" i="17"/>
  <c r="P514" i="17"/>
  <c r="Q514" i="17"/>
  <c r="G515" i="17"/>
  <c r="H515" i="17"/>
  <c r="I515" i="17"/>
  <c r="J515" i="17"/>
  <c r="L515" i="17" s="1"/>
  <c r="K515" i="17"/>
  <c r="M515" i="17" s="1"/>
  <c r="O515" i="17"/>
  <c r="P515" i="17"/>
  <c r="Q515" i="17"/>
  <c r="G516" i="17"/>
  <c r="H516" i="17"/>
  <c r="I516" i="17"/>
  <c r="J516" i="17"/>
  <c r="L516" i="17" s="1"/>
  <c r="K516" i="17"/>
  <c r="M516" i="17" s="1"/>
  <c r="O516" i="17"/>
  <c r="P516" i="17"/>
  <c r="Q516" i="17"/>
  <c r="G517" i="17"/>
  <c r="H517" i="17"/>
  <c r="I517" i="17"/>
  <c r="J517" i="17"/>
  <c r="L517" i="17" s="1"/>
  <c r="K517" i="17"/>
  <c r="M517" i="17" s="1"/>
  <c r="O517" i="17"/>
  <c r="P517" i="17"/>
  <c r="Q517" i="17"/>
  <c r="G518" i="17"/>
  <c r="H518" i="17"/>
  <c r="I518" i="17"/>
  <c r="J518" i="17"/>
  <c r="L518" i="17" s="1"/>
  <c r="K518" i="17"/>
  <c r="M518" i="17" s="1"/>
  <c r="O518" i="17"/>
  <c r="P518" i="17"/>
  <c r="Q518" i="17"/>
  <c r="G519" i="17"/>
  <c r="H519" i="17"/>
  <c r="I519" i="17"/>
  <c r="J519" i="17"/>
  <c r="K519" i="17"/>
  <c r="M519" i="17" s="1"/>
  <c r="L519" i="17"/>
  <c r="O519" i="17"/>
  <c r="P519" i="17"/>
  <c r="Q519" i="17"/>
  <c r="G520" i="17"/>
  <c r="H520" i="17"/>
  <c r="I520" i="17"/>
  <c r="J520" i="17"/>
  <c r="L520" i="17" s="1"/>
  <c r="K520" i="17"/>
  <c r="M520" i="17" s="1"/>
  <c r="O520" i="17"/>
  <c r="P520" i="17"/>
  <c r="Q520" i="17"/>
  <c r="G521" i="17"/>
  <c r="H521" i="17"/>
  <c r="I521" i="17"/>
  <c r="J521" i="17"/>
  <c r="L521" i="17" s="1"/>
  <c r="K521" i="17"/>
  <c r="M521" i="17" s="1"/>
  <c r="O521" i="17"/>
  <c r="P521" i="17"/>
  <c r="Q521" i="17"/>
  <c r="G522" i="17"/>
  <c r="H522" i="17"/>
  <c r="I522" i="17"/>
  <c r="J522" i="17"/>
  <c r="L522" i="17" s="1"/>
  <c r="K522" i="17"/>
  <c r="M522" i="17" s="1"/>
  <c r="O522" i="17"/>
  <c r="P522" i="17"/>
  <c r="Q522" i="17"/>
  <c r="G523" i="17"/>
  <c r="H523" i="17"/>
  <c r="I523" i="17"/>
  <c r="J523" i="17"/>
  <c r="L523" i="17" s="1"/>
  <c r="K523" i="17"/>
  <c r="M523" i="17" s="1"/>
  <c r="O523" i="17"/>
  <c r="P523" i="17"/>
  <c r="Q523" i="17"/>
  <c r="G524" i="17"/>
  <c r="H524" i="17"/>
  <c r="I524" i="17"/>
  <c r="J524" i="17"/>
  <c r="L524" i="17" s="1"/>
  <c r="K524" i="17"/>
  <c r="M524" i="17"/>
  <c r="O524" i="17"/>
  <c r="P524" i="17"/>
  <c r="Q524" i="17"/>
  <c r="G525" i="17"/>
  <c r="H525" i="17"/>
  <c r="I525" i="17"/>
  <c r="J525" i="17"/>
  <c r="L525" i="17" s="1"/>
  <c r="K525" i="17"/>
  <c r="M525" i="17"/>
  <c r="O525" i="17"/>
  <c r="P525" i="17"/>
  <c r="Q525" i="17"/>
  <c r="G526" i="17"/>
  <c r="H526" i="17"/>
  <c r="I526" i="17"/>
  <c r="J526" i="17"/>
  <c r="L526" i="17" s="1"/>
  <c r="K526" i="17"/>
  <c r="M526" i="17" s="1"/>
  <c r="O526" i="17"/>
  <c r="P526" i="17"/>
  <c r="Q526" i="17"/>
  <c r="G527" i="17"/>
  <c r="H527" i="17"/>
  <c r="I527" i="17"/>
  <c r="J527" i="17"/>
  <c r="K527" i="17"/>
  <c r="M527" i="17" s="1"/>
  <c r="L527" i="17"/>
  <c r="O527" i="17"/>
  <c r="P527" i="17"/>
  <c r="Q527" i="17"/>
  <c r="G528" i="17"/>
  <c r="H528" i="17"/>
  <c r="I528" i="17"/>
  <c r="J528" i="17"/>
  <c r="L528" i="17" s="1"/>
  <c r="K528" i="17"/>
  <c r="M528" i="17" s="1"/>
  <c r="O528" i="17"/>
  <c r="P528" i="17"/>
  <c r="Q528" i="17"/>
  <c r="AJ4" i="22" a="1"/>
  <c r="AJ4" i="22" s="1"/>
  <c r="AH4" i="22" s="1" a="1"/>
  <c r="AH4" i="22" s="1"/>
  <c r="AJ2" i="22" s="1"/>
  <c r="AI4" i="22" a="1"/>
  <c r="AI4" i="22" s="1"/>
  <c r="V4" i="22" a="1"/>
  <c r="V4" i="22" s="1"/>
  <c r="Z4" i="22" a="1"/>
  <c r="Z4" i="22" s="1"/>
  <c r="AA2" i="22"/>
  <c r="AB2" i="22" s="1"/>
  <c r="X4" i="22" a="1"/>
  <c r="X4" i="22" s="1"/>
  <c r="W4" i="22" a="1"/>
  <c r="W4" i="22" s="1"/>
  <c r="U4" i="22" s="1" a="1"/>
  <c r="U4" i="22" s="1"/>
  <c r="P2" i="17"/>
  <c r="N5" i="22"/>
  <c r="O5" i="22" s="1"/>
  <c r="N6" i="22"/>
  <c r="O6" i="22" s="1"/>
  <c r="N7" i="22"/>
  <c r="O7" i="22" s="1"/>
  <c r="N8" i="22"/>
  <c r="O8" i="22" s="1"/>
  <c r="N9" i="22"/>
  <c r="O9" i="22" s="1"/>
  <c r="N10" i="22"/>
  <c r="O10" i="22" s="1"/>
  <c r="N11" i="22"/>
  <c r="O11" i="22" s="1"/>
  <c r="N12" i="22"/>
  <c r="O12" i="22" s="1"/>
  <c r="N13" i="22"/>
  <c r="O13" i="22" s="1"/>
  <c r="N14" i="22"/>
  <c r="O14" i="22" s="1"/>
  <c r="N15" i="22"/>
  <c r="O15" i="22" s="1"/>
  <c r="N4" i="22"/>
  <c r="O4" i="22" s="1"/>
  <c r="M5" i="22"/>
  <c r="M6" i="22"/>
  <c r="M7" i="22"/>
  <c r="M8" i="22"/>
  <c r="M9" i="22"/>
  <c r="M10" i="22"/>
  <c r="M11" i="22"/>
  <c r="M12" i="22"/>
  <c r="M13" i="22"/>
  <c r="M14" i="22"/>
  <c r="M15" i="22"/>
  <c r="M4" i="22"/>
  <c r="L2" i="17"/>
  <c r="G2" i="17"/>
  <c r="H2" i="17"/>
  <c r="I2" i="17"/>
  <c r="J2" i="17"/>
  <c r="K2" i="17"/>
  <c r="M2" i="17" s="1"/>
  <c r="Q2" i="17"/>
  <c r="O2" i="17"/>
  <c r="C5" i="28"/>
  <c r="B5" i="28"/>
  <c r="A5" i="28"/>
  <c r="D4" i="28"/>
  <c r="T4" i="28"/>
  <c r="E24" i="22"/>
  <c r="E25" i="22"/>
  <c r="P49" i="28" l="1"/>
  <c r="P41" i="28"/>
  <c r="P33" i="28"/>
  <c r="P25" i="28"/>
  <c r="P17" i="28"/>
  <c r="P48" i="28"/>
  <c r="P40" i="28"/>
  <c r="P32" i="28"/>
  <c r="P24" i="28"/>
  <c r="P16" i="28"/>
  <c r="P47" i="28"/>
  <c r="P39" i="28"/>
  <c r="P31" i="28"/>
  <c r="P23" i="28"/>
  <c r="P15" i="28"/>
  <c r="P46" i="28"/>
  <c r="P38" i="28"/>
  <c r="P30" i="28"/>
  <c r="P22" i="28"/>
  <c r="P14" i="28"/>
  <c r="P45" i="28"/>
  <c r="P37" i="28"/>
  <c r="P29" i="28"/>
  <c r="P21" i="28"/>
  <c r="P13" i="28"/>
  <c r="P52" i="28"/>
  <c r="P44" i="28"/>
  <c r="P36" i="28"/>
  <c r="P28" i="28"/>
  <c r="P20" i="28"/>
  <c r="P12" i="28"/>
  <c r="P51" i="28"/>
  <c r="P43" i="28"/>
  <c r="P35" i="28"/>
  <c r="P27" i="28"/>
  <c r="P19" i="28"/>
  <c r="P11" i="28"/>
  <c r="P50" i="28"/>
  <c r="P42" i="28"/>
  <c r="P34" i="28"/>
  <c r="P26" i="28"/>
  <c r="P18" i="28"/>
  <c r="P10" i="28"/>
  <c r="P9" i="28"/>
  <c r="N132" i="17"/>
  <c r="N248" i="17"/>
  <c r="N212" i="17"/>
  <c r="N354" i="17"/>
  <c r="N178" i="17"/>
  <c r="N104" i="17"/>
  <c r="N272" i="17"/>
  <c r="N261" i="17"/>
  <c r="N165" i="17"/>
  <c r="N47" i="17"/>
  <c r="N402" i="17"/>
  <c r="N246" i="17"/>
  <c r="N199" i="17"/>
  <c r="N88" i="17"/>
  <c r="N491" i="17"/>
  <c r="N454" i="17"/>
  <c r="N514" i="17"/>
  <c r="N490" i="17"/>
  <c r="N386" i="17"/>
  <c r="N317" i="17"/>
  <c r="N287" i="17"/>
  <c r="N232" i="17"/>
  <c r="N207" i="17"/>
  <c r="N206" i="17"/>
  <c r="N148" i="17"/>
  <c r="N140" i="17"/>
  <c r="N288" i="17"/>
  <c r="N208" i="17"/>
  <c r="N425" i="17"/>
  <c r="N419" i="17"/>
  <c r="N417" i="17"/>
  <c r="N411" i="17"/>
  <c r="N395" i="17"/>
  <c r="N355" i="17"/>
  <c r="N353" i="17"/>
  <c r="N137" i="17"/>
  <c r="N462" i="17"/>
  <c r="N461" i="17"/>
  <c r="N240" i="17"/>
  <c r="N52" i="17"/>
  <c r="N44" i="17"/>
  <c r="N36" i="17"/>
  <c r="N28" i="17"/>
  <c r="N20" i="17"/>
  <c r="N12" i="17"/>
  <c r="N3" i="17"/>
  <c r="N516" i="17"/>
  <c r="N496" i="17"/>
  <c r="N409" i="17"/>
  <c r="N387" i="17"/>
  <c r="N379" i="17"/>
  <c r="N377" i="17"/>
  <c r="N363" i="17"/>
  <c r="N361" i="17"/>
  <c r="N332" i="17"/>
  <c r="N323" i="17"/>
  <c r="N321" i="17"/>
  <c r="N509" i="17"/>
  <c r="N500" i="17"/>
  <c r="N451" i="17"/>
  <c r="N450" i="17"/>
  <c r="N247" i="17"/>
  <c r="N184" i="17"/>
  <c r="N114" i="17"/>
  <c r="N106" i="17"/>
  <c r="N98" i="17"/>
  <c r="N90" i="17"/>
  <c r="N82" i="17"/>
  <c r="N11" i="17"/>
  <c r="N524" i="17"/>
  <c r="N401" i="17"/>
  <c r="N393" i="17"/>
  <c r="N145" i="17"/>
  <c r="N468" i="17"/>
  <c r="N335" i="17"/>
  <c r="N311" i="17"/>
  <c r="N166" i="17"/>
  <c r="N143" i="17"/>
  <c r="N142" i="17"/>
  <c r="N495" i="17"/>
  <c r="N443" i="17"/>
  <c r="N403" i="17"/>
  <c r="N385" i="17"/>
  <c r="N371" i="17"/>
  <c r="N369" i="17"/>
  <c r="N521" i="17"/>
  <c r="N303" i="17"/>
  <c r="N479" i="17"/>
  <c r="N5" i="17"/>
  <c r="N501" i="17"/>
  <c r="N478" i="17"/>
  <c r="N453" i="17"/>
  <c r="N436" i="17"/>
  <c r="N435" i="17"/>
  <c r="N428" i="17"/>
  <c r="N322" i="17"/>
  <c r="N295" i="17"/>
  <c r="N277" i="17"/>
  <c r="N172" i="17"/>
  <c r="N158" i="17"/>
  <c r="N150" i="17"/>
  <c r="N149" i="17"/>
  <c r="N121" i="17"/>
  <c r="N59" i="17"/>
  <c r="N51" i="17"/>
  <c r="N43" i="17"/>
  <c r="N35" i="17"/>
  <c r="N27" i="17"/>
  <c r="N19" i="17"/>
  <c r="N4" i="17"/>
  <c r="N475" i="17"/>
  <c r="N469" i="17"/>
  <c r="N434" i="17"/>
  <c r="N331" i="17"/>
  <c r="N259" i="17"/>
  <c r="N198" i="17"/>
  <c r="N141" i="17"/>
  <c r="N103" i="17"/>
  <c r="N95" i="17"/>
  <c r="N17" i="17"/>
  <c r="N10" i="17"/>
  <c r="N485" i="17"/>
  <c r="N345" i="17"/>
  <c r="N196" i="17"/>
  <c r="N190" i="17"/>
  <c r="N187" i="17"/>
  <c r="N179" i="17"/>
  <c r="N153" i="17"/>
  <c r="N118" i="17"/>
  <c r="N110" i="17"/>
  <c r="N467" i="17"/>
  <c r="N330" i="17"/>
  <c r="N299" i="17"/>
  <c r="N258" i="17"/>
  <c r="N256" i="17"/>
  <c r="N250" i="17"/>
  <c r="N489" i="17"/>
  <c r="N483" i="17"/>
  <c r="N474" i="17"/>
  <c r="N438" i="17"/>
  <c r="N312" i="17"/>
  <c r="N310" i="17"/>
  <c r="N282" i="17"/>
  <c r="N266" i="17"/>
  <c r="N264" i="17"/>
  <c r="N203" i="17"/>
  <c r="N186" i="17"/>
  <c r="N138" i="17"/>
  <c r="N108" i="17"/>
  <c r="N100" i="17"/>
  <c r="N92" i="17"/>
  <c r="N84" i="17"/>
  <c r="N76" i="17"/>
  <c r="N62" i="17"/>
  <c r="N54" i="17"/>
  <c r="N46" i="17"/>
  <c r="N527" i="17"/>
  <c r="N519" i="17"/>
  <c r="N505" i="17"/>
  <c r="N487" i="17"/>
  <c r="N482" i="17"/>
  <c r="N481" i="17"/>
  <c r="N455" i="17"/>
  <c r="N350" i="17"/>
  <c r="N349" i="17"/>
  <c r="N318" i="17"/>
  <c r="N309" i="17"/>
  <c r="N297" i="17"/>
  <c r="N296" i="17"/>
  <c r="N274" i="17"/>
  <c r="N253" i="17"/>
  <c r="N218" i="17"/>
  <c r="N216" i="17"/>
  <c r="N201" i="17"/>
  <c r="N176" i="17"/>
  <c r="N129" i="17"/>
  <c r="N75" i="17"/>
  <c r="N68" i="17"/>
  <c r="N61" i="17"/>
  <c r="N523" i="17"/>
  <c r="N522" i="17"/>
  <c r="N515" i="17"/>
  <c r="N513" i="17"/>
  <c r="N507" i="17"/>
  <c r="N492" i="17"/>
  <c r="N486" i="17"/>
  <c r="N463" i="17"/>
  <c r="N447" i="17"/>
  <c r="N446" i="17"/>
  <c r="N439" i="17"/>
  <c r="N432" i="17"/>
  <c r="N418" i="17"/>
  <c r="N347" i="17"/>
  <c r="N346" i="17"/>
  <c r="N338" i="17"/>
  <c r="N291" i="17"/>
  <c r="N285" i="17"/>
  <c r="N269" i="17"/>
  <c r="N233" i="17"/>
  <c r="N219" i="17"/>
  <c r="N193" i="17"/>
  <c r="N171" i="17"/>
  <c r="N164" i="17"/>
  <c r="N131" i="17"/>
  <c r="N124" i="17"/>
  <c r="N102" i="17"/>
  <c r="N65" i="17"/>
  <c r="N58" i="17"/>
  <c r="N50" i="17"/>
  <c r="N42" i="17"/>
  <c r="N34" i="17"/>
  <c r="N26" i="17"/>
  <c r="N502" i="17"/>
  <c r="N242" i="17"/>
  <c r="N528" i="17"/>
  <c r="N520" i="17"/>
  <c r="N508" i="17"/>
  <c r="N484" i="17"/>
  <c r="N476" i="17"/>
  <c r="N464" i="17"/>
  <c r="N416" i="17"/>
  <c r="N408" i="17"/>
  <c r="N400" i="17"/>
  <c r="N392" i="17"/>
  <c r="N384" i="17"/>
  <c r="N376" i="17"/>
  <c r="N368" i="17"/>
  <c r="N360" i="17"/>
  <c r="N352" i="17"/>
  <c r="N302" i="17"/>
  <c r="N298" i="17"/>
  <c r="N276" i="17"/>
  <c r="N275" i="17"/>
  <c r="N252" i="17"/>
  <c r="N251" i="17"/>
  <c r="N245" i="17"/>
  <c r="N239" i="17"/>
  <c r="N238" i="17"/>
  <c r="N234" i="17"/>
  <c r="N183" i="17"/>
  <c r="N169" i="17"/>
  <c r="N162" i="17"/>
  <c r="N155" i="17"/>
  <c r="N130" i="17"/>
  <c r="N116" i="17"/>
  <c r="N109" i="17"/>
  <c r="N57" i="17"/>
  <c r="N49" i="17"/>
  <c r="N41" i="17"/>
  <c r="N33" i="17"/>
  <c r="N25" i="17"/>
  <c r="N18" i="17"/>
  <c r="N69" i="17"/>
  <c r="N63" i="17"/>
  <c r="N56" i="17"/>
  <c r="N48" i="17"/>
  <c r="N40" i="17"/>
  <c r="N32" i="17"/>
  <c r="N512" i="17"/>
  <c r="N504" i="17"/>
  <c r="N498" i="17"/>
  <c r="N497" i="17"/>
  <c r="N459" i="17"/>
  <c r="N458" i="17"/>
  <c r="N457" i="17"/>
  <c r="N429" i="17"/>
  <c r="N423" i="17"/>
  <c r="N422" i="17"/>
  <c r="N415" i="17"/>
  <c r="N399" i="17"/>
  <c r="N398" i="17"/>
  <c r="N391" i="17"/>
  <c r="N390" i="17"/>
  <c r="N383" i="17"/>
  <c r="N382" i="17"/>
  <c r="N375" i="17"/>
  <c r="N374" i="17"/>
  <c r="N367" i="17"/>
  <c r="N366" i="17"/>
  <c r="N359" i="17"/>
  <c r="N358" i="17"/>
  <c r="N351" i="17"/>
  <c r="N344" i="17"/>
  <c r="N343" i="17"/>
  <c r="N342" i="17"/>
  <c r="N336" i="17"/>
  <c r="N315" i="17"/>
  <c r="N307" i="17"/>
  <c r="N301" i="17"/>
  <c r="N283" i="17"/>
  <c r="N267" i="17"/>
  <c r="N244" i="17"/>
  <c r="N243" i="17"/>
  <c r="N237" i="17"/>
  <c r="N231" i="17"/>
  <c r="N230" i="17"/>
  <c r="N225" i="17"/>
  <c r="N223" i="17"/>
  <c r="N210" i="17"/>
  <c r="N209" i="17"/>
  <c r="N182" i="17"/>
  <c r="N181" i="17"/>
  <c r="N154" i="17"/>
  <c r="N152" i="17"/>
  <c r="N134" i="17"/>
  <c r="N122" i="17"/>
  <c r="N107" i="17"/>
  <c r="N99" i="17"/>
  <c r="N91" i="17"/>
  <c r="N83" i="17"/>
  <c r="N9" i="17"/>
  <c r="N480" i="17"/>
  <c r="N442" i="17"/>
  <c r="N441" i="17"/>
  <c r="N341" i="17"/>
  <c r="N334" i="17"/>
  <c r="N329" i="17"/>
  <c r="N328" i="17"/>
  <c r="N320" i="17"/>
  <c r="N290" i="17"/>
  <c r="N273" i="17"/>
  <c r="N257" i="17"/>
  <c r="N249" i="17"/>
  <c r="N215" i="17"/>
  <c r="N189" i="17"/>
  <c r="N175" i="17"/>
  <c r="N174" i="17"/>
  <c r="N173" i="17"/>
  <c r="N167" i="17"/>
  <c r="N161" i="17"/>
  <c r="N159" i="17"/>
  <c r="N133" i="17"/>
  <c r="N128" i="17"/>
  <c r="N151" i="17"/>
  <c r="N139" i="17"/>
  <c r="N113" i="17"/>
  <c r="N105" i="17"/>
  <c r="N97" i="17"/>
  <c r="N89" i="17"/>
  <c r="N81" i="17"/>
  <c r="N74" i="17"/>
  <c r="N60" i="17"/>
  <c r="N53" i="17"/>
  <c r="N525" i="17"/>
  <c r="N517" i="17"/>
  <c r="N488" i="17"/>
  <c r="N472" i="17"/>
  <c r="N440" i="17"/>
  <c r="N427" i="17"/>
  <c r="N420" i="17"/>
  <c r="N412" i="17"/>
  <c r="N404" i="17"/>
  <c r="N396" i="17"/>
  <c r="N388" i="17"/>
  <c r="N380" i="17"/>
  <c r="N372" i="17"/>
  <c r="N364" i="17"/>
  <c r="N356" i="17"/>
  <c r="N339" i="17"/>
  <c r="N333" i="17"/>
  <c r="N327" i="17"/>
  <c r="N325" i="17"/>
  <c r="N319" i="17"/>
  <c r="N313" i="17"/>
  <c r="N280" i="17"/>
  <c r="N263" i="17"/>
  <c r="N255" i="17"/>
  <c r="N214" i="17"/>
  <c r="N213" i="17"/>
  <c r="N144" i="17"/>
  <c r="N73" i="17"/>
  <c r="N13" i="17"/>
  <c r="N470" i="17"/>
  <c r="N506" i="17"/>
  <c r="N460" i="17"/>
  <c r="N526" i="17"/>
  <c r="N518" i="17"/>
  <c r="N503" i="17"/>
  <c r="N494" i="17"/>
  <c r="N466" i="17"/>
  <c r="N465" i="17"/>
  <c r="N431" i="17"/>
  <c r="N430" i="17"/>
  <c r="N424" i="17"/>
  <c r="N326" i="17"/>
  <c r="N452" i="17"/>
  <c r="N471" i="17"/>
  <c r="N421" i="17"/>
  <c r="N414" i="17"/>
  <c r="N433" i="17"/>
  <c r="N407" i="17"/>
  <c r="N406" i="17"/>
  <c r="N449" i="17"/>
  <c r="N511" i="17"/>
  <c r="N473" i="17"/>
  <c r="N444" i="17"/>
  <c r="N397" i="17"/>
  <c r="N389" i="17"/>
  <c r="N381" i="17"/>
  <c r="N373" i="17"/>
  <c r="N365" i="17"/>
  <c r="N357" i="17"/>
  <c r="N448" i="17"/>
  <c r="N437" i="17"/>
  <c r="N294" i="17"/>
  <c r="N340" i="17"/>
  <c r="N308" i="17"/>
  <c r="N289" i="17"/>
  <c r="N270" i="17"/>
  <c r="N220" i="17"/>
  <c r="N300" i="17"/>
  <c r="N262" i="17"/>
  <c r="N217" i="17"/>
  <c r="N292" i="17"/>
  <c r="N281" i="17"/>
  <c r="N268" i="17"/>
  <c r="N170" i="17"/>
  <c r="N163" i="17"/>
  <c r="N156" i="17"/>
  <c r="N324" i="17"/>
  <c r="N337" i="17"/>
  <c r="N305" i="17"/>
  <c r="N286" i="17"/>
  <c r="N254" i="17"/>
  <c r="N348" i="17"/>
  <c r="N316" i="17"/>
  <c r="N279" i="17"/>
  <c r="N260" i="17"/>
  <c r="N202" i="17"/>
  <c r="N195" i="17"/>
  <c r="N188" i="17"/>
  <c r="N284" i="17"/>
  <c r="N278" i="17"/>
  <c r="N265" i="17"/>
  <c r="N241" i="17"/>
  <c r="N185" i="17"/>
  <c r="N200" i="17"/>
  <c r="N168" i="17"/>
  <c r="N136" i="17"/>
  <c r="N127" i="17"/>
  <c r="N101" i="17"/>
  <c r="N94" i="17"/>
  <c r="N87" i="17"/>
  <c r="N80" i="17"/>
  <c r="N45" i="17"/>
  <c r="N38" i="17"/>
  <c r="N31" i="17"/>
  <c r="N24" i="17"/>
  <c r="N93" i="17"/>
  <c r="N86" i="17"/>
  <c r="N79" i="17"/>
  <c r="N72" i="17"/>
  <c r="N37" i="17"/>
  <c r="N30" i="17"/>
  <c r="N23" i="17"/>
  <c r="N16" i="17"/>
  <c r="N224" i="17"/>
  <c r="N192" i="17"/>
  <c r="N160" i="17"/>
  <c r="N135" i="17"/>
  <c r="N126" i="17"/>
  <c r="N85" i="17"/>
  <c r="N78" i="17"/>
  <c r="N71" i="17"/>
  <c r="N29" i="17"/>
  <c r="N22" i="17"/>
  <c r="N15" i="17"/>
  <c r="N8" i="17"/>
  <c r="N125" i="17"/>
  <c r="N120" i="17"/>
  <c r="N77" i="17"/>
  <c r="N70" i="17"/>
  <c r="N64" i="17"/>
  <c r="N21" i="17"/>
  <c r="N14" i="17"/>
  <c r="N7" i="17"/>
  <c r="AI2" i="22"/>
  <c r="V1" i="22"/>
  <c r="X1" i="22"/>
  <c r="W1" i="22"/>
  <c r="E26" i="22"/>
  <c r="U10" i="28" l="1" a="1"/>
  <c r="U10" i="28" s="1"/>
  <c r="U11" i="28" a="1"/>
  <c r="U11" i="28" s="1"/>
  <c r="U12" i="28" a="1"/>
  <c r="U12" i="28" s="1"/>
  <c r="U13" i="28" a="1"/>
  <c r="U13" i="28" s="1"/>
  <c r="U9" i="28" a="1"/>
  <c r="U9" i="28" s="1"/>
  <c r="T16" i="28" s="1" a="1"/>
  <c r="T16" i="28" s="1"/>
  <c r="AA4" i="22" a="1"/>
  <c r="AA4" i="2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68E258-B2B2-4B8E-955B-2660C8FF1FB8}" name="Excel Data Model  Relationship" type="100" refreshedVersion="0">
    <extLst>
      <ext xmlns:x15="http://schemas.microsoft.com/office/spreadsheetml/2010/11/main" uri="{DE250136-89BD-433C-8126-D09CA5730AF9}">
        <x15:connection id="52974769-2c9e-415e-9825-c9234d9d1319"/>
      </ext>
    </extLst>
  </connection>
  <connection id="2" xr16:uid="{A0CC8AB7-6F7D-40F8-8A47-8B6AB7C8AF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<sst xmlns="http://schemas.openxmlformats.org/spreadsheetml/2006/main" count="3648" uniqueCount="163">
  <si>
    <t>PRODUCT ID</t>
  </si>
  <si>
    <t>QUANTITY</t>
  </si>
  <si>
    <t>SALE TYPE</t>
  </si>
  <si>
    <t>PAYMENT MODE</t>
  </si>
  <si>
    <t>DISCOUNT %</t>
  </si>
  <si>
    <t>PRODUCT</t>
  </si>
  <si>
    <t>CATEGORY</t>
  </si>
  <si>
    <t>UOM</t>
  </si>
  <si>
    <t>BUYING PRIZE</t>
  </si>
  <si>
    <t>SELLING PRICE</t>
  </si>
  <si>
    <t xml:space="preserve">Total Buying </t>
  </si>
  <si>
    <t>Total Selling</t>
  </si>
  <si>
    <t>Day</t>
  </si>
  <si>
    <t>Month</t>
  </si>
  <si>
    <t>Year</t>
  </si>
  <si>
    <t>P0024</t>
  </si>
  <si>
    <t>Wholesaler</t>
  </si>
  <si>
    <t>Online</t>
  </si>
  <si>
    <t>P0038</t>
  </si>
  <si>
    <t>Cash</t>
  </si>
  <si>
    <t>P0013</t>
  </si>
  <si>
    <t>Direct Sales</t>
  </si>
  <si>
    <t>P0004</t>
  </si>
  <si>
    <t>P0035</t>
  </si>
  <si>
    <t>P0031</t>
  </si>
  <si>
    <t>P0003</t>
  </si>
  <si>
    <t>P0025</t>
  </si>
  <si>
    <t>P0037</t>
  </si>
  <si>
    <t>P0014</t>
  </si>
  <si>
    <t>P0042</t>
  </si>
  <si>
    <t>P0044</t>
  </si>
  <si>
    <t>P0023</t>
  </si>
  <si>
    <t>P0034</t>
  </si>
  <si>
    <t>P0020</t>
  </si>
  <si>
    <t>P0006</t>
  </si>
  <si>
    <t>P0001</t>
  </si>
  <si>
    <t>P0040</t>
  </si>
  <si>
    <t>P0032</t>
  </si>
  <si>
    <t>P0029</t>
  </si>
  <si>
    <t>P0010</t>
  </si>
  <si>
    <t>P0016</t>
  </si>
  <si>
    <t>P0022</t>
  </si>
  <si>
    <t>P0043</t>
  </si>
  <si>
    <t>P0005</t>
  </si>
  <si>
    <t>P0008</t>
  </si>
  <si>
    <t>P0027</t>
  </si>
  <si>
    <t>P0015</t>
  </si>
  <si>
    <t>P0030</t>
  </si>
  <si>
    <t>P0002</t>
  </si>
  <si>
    <t>P0018</t>
  </si>
  <si>
    <t>P0011</t>
  </si>
  <si>
    <t>P0021</t>
  </si>
  <si>
    <t>P0028</t>
  </si>
  <si>
    <t>P0039</t>
  </si>
  <si>
    <t>P0012</t>
  </si>
  <si>
    <t>P0007</t>
  </si>
  <si>
    <t>P0009</t>
  </si>
  <si>
    <t>P0033</t>
  </si>
  <si>
    <t>P0017</t>
  </si>
  <si>
    <t>P0019</t>
  </si>
  <si>
    <t>P0041</t>
  </si>
  <si>
    <t>P0026</t>
  </si>
  <si>
    <t>P0036</t>
  </si>
  <si>
    <t>Product01</t>
  </si>
  <si>
    <t>Category01</t>
  </si>
  <si>
    <t>Kg</t>
  </si>
  <si>
    <t>Product02</t>
  </si>
  <si>
    <t>Product03</t>
  </si>
  <si>
    <t>Product04</t>
  </si>
  <si>
    <t>Lt</t>
  </si>
  <si>
    <t>Product05</t>
  </si>
  <si>
    <t>Ft</t>
  </si>
  <si>
    <t>Product06</t>
  </si>
  <si>
    <t>Product07</t>
  </si>
  <si>
    <t>Product08</t>
  </si>
  <si>
    <t>Product09</t>
  </si>
  <si>
    <t>Category03</t>
  </si>
  <si>
    <t>No.</t>
  </si>
  <si>
    <t>Product10</t>
  </si>
  <si>
    <t>Category02</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</si>
  <si>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</si>
  <si>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</si>
  <si>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</si>
  <si>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</si>
  <si>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</si>
  <si>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</si>
  <si>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</si>
  <si>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</si>
  <si>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</si>
  <si>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</si>
  <si>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</si>
  <si>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</si>
  <si>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</si>
  <si>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</si>
  <si>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</si>
  <si>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</si>
  <si>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Category04</t>
  </si>
  <si>
    <t>Product27</t>
  </si>
  <si>
    <t>Product28</t>
  </si>
  <si>
    <t>Product29</t>
  </si>
  <si>
    <t>Product30</t>
  </si>
  <si>
    <t>Product31</t>
  </si>
  <si>
    <t>Product32</t>
  </si>
  <si>
    <t>Product33</t>
  </si>
  <si>
    <t>Product34</t>
  </si>
  <si>
    <t>Product35</t>
  </si>
  <si>
    <t>Product36</t>
  </si>
  <si>
    <t>Product37</t>
  </si>
  <si>
    <t>Category05</t>
  </si>
  <si>
    <t>Product38</t>
  </si>
  <si>
    <t>Product39</t>
  </si>
  <si>
    <t>Product40</t>
  </si>
  <si>
    <t>Product41</t>
  </si>
  <si>
    <t>Product42</t>
  </si>
  <si>
    <t>Product43</t>
  </si>
  <si>
    <t>Product44</t>
  </si>
  <si>
    <t>P0045</t>
  </si>
  <si>
    <t>Product45</t>
  </si>
  <si>
    <t>Total Profit</t>
  </si>
  <si>
    <t>Total Buying</t>
  </si>
  <si>
    <t>Total Sales</t>
  </si>
  <si>
    <t>Profit%</t>
  </si>
  <si>
    <t>Year Wise sales,profit,Buying prize</t>
  </si>
  <si>
    <t>Day wise Sales</t>
  </si>
  <si>
    <t>Category wise sales</t>
  </si>
  <si>
    <t>Sale type wise sales</t>
  </si>
  <si>
    <t xml:space="preserve">Payment mode wise sales </t>
  </si>
  <si>
    <t>Top  Product  name and sales</t>
  </si>
  <si>
    <t>Top  category name and sales</t>
  </si>
  <si>
    <t>Month wise Profit % and sales in combo chart</t>
  </si>
  <si>
    <t>Date</t>
  </si>
  <si>
    <t>Row Labels</t>
  </si>
  <si>
    <t>Grand Total</t>
  </si>
  <si>
    <t>Sum of Total Selling</t>
  </si>
  <si>
    <t xml:space="preserve">Sum of Total Buying </t>
  </si>
  <si>
    <t>Total</t>
  </si>
  <si>
    <t>Jan</t>
  </si>
  <si>
    <t>Feb</t>
  </si>
  <si>
    <t>Mar</t>
  </si>
  <si>
    <t>Apr</t>
  </si>
  <si>
    <t>May</t>
  </si>
  <si>
    <t>Jun</t>
  </si>
  <si>
    <t>Jul</t>
  </si>
  <si>
    <t>Aug</t>
  </si>
  <si>
    <t>Sep</t>
  </si>
  <si>
    <t>Oct</t>
  </si>
  <si>
    <t>Nov</t>
  </si>
  <si>
    <t>Dec</t>
  </si>
  <si>
    <t>Sum of QUANTITY</t>
  </si>
  <si>
    <t>Product</t>
  </si>
  <si>
    <t xml:space="preserve"> Total </t>
  </si>
  <si>
    <t>SALES TYPE</t>
  </si>
  <si>
    <t>TOTAL</t>
  </si>
  <si>
    <t>Sales</t>
  </si>
  <si>
    <t>Profit</t>
  </si>
  <si>
    <t>Category</t>
  </si>
  <si>
    <t>Sum of Total Profit</t>
  </si>
  <si>
    <t>Sale Type</t>
  </si>
  <si>
    <t>Payment Mode</t>
  </si>
  <si>
    <t>Rank</t>
  </si>
  <si>
    <t>Total selling</t>
  </si>
  <si>
    <t>Top Product</t>
  </si>
  <si>
    <t>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</si>
</sst>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C09]#,##0.00"/>
    <numFmt numFmtId="166" formatCode="&quot;₹&quot;\ #,##0"/>
    <numFmt numFmtId="167" formatCode="&quot;₹&quot;\ #,##0.00"/>
  </numFmts>
  <fonts count="5" x14ac:knownFonts="1">
    <font>
      <sz val="11"/>
      <color theme="1"/>
      <name val="Calibri"/>
      <family val="2"/>
      <scheme val="minor"/>
    </font>
    <font>
      <b/>
      <sz val="11"/>
      <color theme="0"/>
      <name val="Calibri"/>
      <family val="2"/>
      <scheme val="minor"/>
    </font>
    <font>
      <b/>
      <sz val="11"/>
      <color rgb="FF7030A0"/>
      <name val="Calibri"/>
      <family val="2"/>
      <scheme val="minor"/>
    </font>
    <font>
      <sz val="16"/>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7" tint="-0.249977111117893"/>
        <bgColor indexed="64"/>
      </patternFill>
    </fill>
    <fill>
      <patternFill patternType="solid">
        <fgColor theme="0"/>
        <bgColor indexed="64"/>
      </patternFill>
    </fill>
    <fill>
      <patternFill patternType="solid">
        <fgColor rgb="FFE1CCF0"/>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theme="9"/>
      </top>
      <bottom/>
      <diagonal/>
    </border>
    <border>
      <left/>
      <right/>
      <top style="medium">
        <color rgb="FF7030A0"/>
      </top>
      <bottom/>
      <diagonal/>
    </border>
    <border>
      <left style="thin">
        <color indexed="64"/>
      </left>
      <right style="thin">
        <color indexed="64"/>
      </right>
      <top style="thin">
        <color indexed="64"/>
      </top>
      <bottom/>
      <diagonal/>
    </border>
    <border>
      <left style="thin">
        <color theme="9"/>
      </left>
      <right/>
      <top style="thin">
        <color theme="9"/>
      </top>
      <bottom/>
      <diagonal/>
    </border>
    <border>
      <left/>
      <right style="thin">
        <color theme="9"/>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indexed="64"/>
      </left>
      <right/>
      <top/>
      <bottom/>
      <diagonal/>
    </border>
    <border>
      <left style="thin">
        <color theme="9"/>
      </left>
      <right/>
      <top style="medium">
        <color rgb="FF7030A0"/>
      </top>
      <bottom/>
      <diagonal/>
    </border>
    <border>
      <left/>
      <right style="thin">
        <color theme="9"/>
      </right>
      <top style="medium">
        <color rgb="FF7030A0"/>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43">
    <xf numFmtId="0" fontId="0" fillId="0" borderId="0" xfId="0"/>
    <xf numFmtId="0" fontId="0" fillId="0" borderId="0" xfId="0" applyAlignment="1">
      <alignment horizontal="left"/>
    </xf>
    <xf numFmtId="0" fontId="0" fillId="0" borderId="0" xfId="0" applyProtection="1">
      <protection locked="0"/>
    </xf>
    <xf numFmtId="0" fontId="3" fillId="0" borderId="0" xfId="0" applyFont="1"/>
    <xf numFmtId="0" fontId="0" fillId="0" borderId="0" xfId="0" pivotButton="1"/>
    <xf numFmtId="0" fontId="0" fillId="3" borderId="0" xfId="0" applyFill="1" applyBorder="1"/>
    <xf numFmtId="0" fontId="0" fillId="5" borderId="1" xfId="0" applyFill="1" applyBorder="1"/>
    <xf numFmtId="0" fontId="0" fillId="5" borderId="1" xfId="0" applyNumberFormat="1" applyFill="1" applyBorder="1"/>
    <xf numFmtId="0" fontId="0" fillId="5" borderId="1" xfId="0" applyFill="1" applyBorder="1" applyAlignment="1">
      <alignment horizontal="left"/>
    </xf>
    <xf numFmtId="0" fontId="0" fillId="5" borderId="1" xfId="0" applyFill="1" applyBorder="1" applyAlignment="1">
      <alignment horizontal="left" indent="1"/>
    </xf>
    <xf numFmtId="9" fontId="0" fillId="0" borderId="0" xfId="1" applyFont="1"/>
    <xf numFmtId="0" fontId="0" fillId="3" borderId="0" xfId="0" applyNumberFormat="1" applyFill="1" applyBorder="1"/>
    <xf numFmtId="166" fontId="0" fillId="3" borderId="0" xfId="0" applyNumberFormat="1" applyFill="1" applyBorder="1"/>
    <xf numFmtId="0" fontId="2" fillId="4" borderId="5"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6" xfId="0" applyFont="1" applyFill="1" applyBorder="1" applyAlignment="1">
      <alignment horizontal="center" vertical="center"/>
    </xf>
    <xf numFmtId="0" fontId="0" fillId="6" borderId="11" xfId="0" applyFont="1" applyFill="1" applyBorder="1"/>
    <xf numFmtId="0" fontId="0" fillId="6" borderId="3" xfId="0" applyFont="1" applyFill="1" applyBorder="1"/>
    <xf numFmtId="0" fontId="0" fillId="6" borderId="12" xfId="0" applyFont="1" applyFill="1" applyBorder="1"/>
    <xf numFmtId="0" fontId="0" fillId="0" borderId="5" xfId="0" applyFont="1" applyBorder="1"/>
    <xf numFmtId="0" fontId="0" fillId="0" borderId="2" xfId="0" applyFont="1" applyBorder="1"/>
    <xf numFmtId="0" fontId="0" fillId="0" borderId="6" xfId="0" applyFont="1" applyBorder="1"/>
    <xf numFmtId="0" fontId="0" fillId="6" borderId="5" xfId="0" applyFont="1" applyFill="1" applyBorder="1"/>
    <xf numFmtId="0" fontId="0" fillId="6" borderId="2" xfId="0" applyFont="1" applyFill="1" applyBorder="1"/>
    <xf numFmtId="0" fontId="0" fillId="6" borderId="6" xfId="0" applyFont="1" applyFill="1" applyBorder="1"/>
    <xf numFmtId="0" fontId="0" fillId="6" borderId="7" xfId="0" applyFont="1" applyFill="1" applyBorder="1"/>
    <xf numFmtId="0" fontId="0" fillId="6" borderId="8" xfId="0" applyFont="1" applyFill="1" applyBorder="1"/>
    <xf numFmtId="0" fontId="0" fillId="6" borderId="9" xfId="0" applyFont="1" applyFill="1" applyBorder="1"/>
    <xf numFmtId="0" fontId="0" fillId="5" borderId="10" xfId="0" applyFill="1" applyBorder="1"/>
    <xf numFmtId="167" fontId="0" fillId="0" borderId="0" xfId="0" applyNumberFormat="1"/>
    <xf numFmtId="1" fontId="0" fillId="0" borderId="0" xfId="0" applyNumberFormat="1"/>
    <xf numFmtId="167" fontId="0" fillId="3" borderId="0" xfId="0" applyNumberFormat="1" applyFill="1" applyBorder="1"/>
    <xf numFmtId="0" fontId="0" fillId="0" borderId="0" xfId="0" applyNumberFormat="1"/>
    <xf numFmtId="0" fontId="1" fillId="2" borderId="13" xfId="0" applyFont="1" applyFill="1" applyBorder="1" applyAlignment="1">
      <alignment horizontal="center" vertical="center"/>
    </xf>
    <xf numFmtId="0" fontId="1" fillId="2" borderId="4" xfId="0" applyFont="1" applyFill="1" applyBorder="1" applyAlignment="1">
      <alignment horizontal="center" vertical="center"/>
    </xf>
    <xf numFmtId="14" fontId="0" fillId="3" borderId="13" xfId="0" applyNumberFormat="1" applyFont="1" applyFill="1" applyBorder="1" applyAlignment="1">
      <alignment horizontal="center"/>
    </xf>
    <xf numFmtId="0" fontId="0" fillId="3" borderId="13" xfId="0" applyFont="1" applyFill="1" applyBorder="1" applyAlignment="1">
      <alignment horizontal="center" vertical="center"/>
    </xf>
    <xf numFmtId="0" fontId="0" fillId="3" borderId="13" xfId="0" applyFont="1" applyFill="1" applyBorder="1" applyAlignment="1">
      <alignment horizontal="center"/>
    </xf>
    <xf numFmtId="164" fontId="0" fillId="3" borderId="13" xfId="0" applyNumberFormat="1" applyFont="1" applyFill="1" applyBorder="1" applyAlignment="1">
      <alignment horizontal="center"/>
    </xf>
    <xf numFmtId="0" fontId="0" fillId="6" borderId="13" xfId="0" applyFont="1" applyFill="1" applyBorder="1" applyAlignment="1">
      <alignment horizontal="center"/>
    </xf>
    <xf numFmtId="0" fontId="0" fillId="3" borderId="13" xfId="0" applyNumberFormat="1" applyFont="1" applyFill="1" applyBorder="1" applyAlignment="1">
      <alignment horizontal="center"/>
    </xf>
    <xf numFmtId="0" fontId="0" fillId="3" borderId="4" xfId="0" applyFont="1" applyFill="1" applyBorder="1" applyAlignment="1">
      <alignment horizontal="center"/>
    </xf>
    <xf numFmtId="0" fontId="0" fillId="0" borderId="13" xfId="0" applyFont="1" applyBorder="1" applyAlignment="1">
      <alignment horizontal="center"/>
    </xf>
  </cellXfs>
  <cellStyles count="2">
    <cellStyle name="Normal" xfId="0" builtinId="0"/>
    <cellStyle name="Percent" xfId="1" builtinId="5"/>
  </cellStyles>
  <dxfs count="177">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7" formatCode="&quot;₹&quot;\ #,##0.00"/>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7" formatCode="&quot;₹&quot;\ #,##0.00"/>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7" formatCode="&quot;₹&quot;\ #,##0.00"/>
    </dxf>
  </dxfs>
  <tableStyles count="1" defaultTableStyle="TableStyleMedium2" defaultPivotStyle="PivotStyleLight16">
    <tableStyle name="Invisible" pivot="0" table="0" count="0" xr9:uid="{A45847EC-462D-47C2-AFD3-86302C617C3C}"/>
  </tableStyles>
  <colors>
    <mruColors>
      <color rgb="FF344F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Dataset.xlsx]Sheet3!PivotTable1</c:name>
    <c:fmtId val="1"/>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rgbClr val="FF0000"/>
            </a:solidFill>
            <a:ln>
              <a:noFill/>
            </a:ln>
            <a:effectLst/>
          </c:spPr>
          <c:cat>
            <c:strRef>
              <c:f>Sheet3!$A$4:$A$35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Sheet3!$B$4:$B$35</c:f>
              <c:numCache>
                <c:formatCode>"₹"\ #,##0.00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ED58-49E5-A381-FC45E7211551}"/>
            </c:ext>
          </c:extLst>
        </c:ser>
        <c:dLbls>
          <c:showLegendKey val="0"/>
          <c:showVal val="0"/>
          <c:showCatName val="0"/>
          <c:showSerName val="0"/>
          <c:showPercent val="0"/>
          <c:showBubbleSize val="0"/>
        </c:dLbls>
        <c:axId val="899437359"/>
        <c:axId val="899444559"/>
      </c:areaChart>
      <c:catAx>
        <c:axId val="899437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44559"/>
        <c:crosses val="autoZero"/>
        <c:auto val="1"/>
        <c:lblAlgn val="ctr"/>
        <c:lblOffset val="10"/>
        <c:noMultiLvlLbl val="0"/>
      </c:catAx>
      <c:valAx>
        <c:axId val="89944455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373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Sheet3!$M$3</c:f>
              <c:strCache>
                <c:ptCount val="1"/>
                <c:pt idx="0">
                  <c:v>Sales</c:v>
                </c:pt>
              </c:strCache>
            </c:strRef>
          </c:tx>
          <c:spPr>
            <a:solidFill>
              <a:schemeClr val="accent6">
                <a:lumMod val="75000"/>
              </a:schemeClr>
            </a:solidFill>
            <a:ln>
              <a:noFill/>
            </a:ln>
            <a:effectLst/>
          </c:spPr>
          <c:invertIfNegative val="0"/>
          <c:dLbls>
            <c:dLbl>
              <c:idx val="0"/>
              <c:tx>
                <c:rich>
                  <a:bodyPr/>
                  <a:lstStyle/>
                  <a:p>
                    <a:fld id="{A863AA28-B252-40E1-BA24-A1CD88A32C0D}"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355-4D29-9998-760570E82EB5}"/>
                </c:ext>
              </c:extLst>
            </c:dLbl>
            <c:dLbl>
              <c:idx val="1"/>
              <c:tx>
                <c:rich>
                  <a:bodyPr/>
                  <a:lstStyle/>
                  <a:p>
                    <a:fld id="{2850AA4B-132F-4714-A1A7-D78D4014D81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355-4D29-9998-760570E82EB5}"/>
                </c:ext>
              </c:extLst>
            </c:dLbl>
            <c:dLbl>
              <c:idx val="2"/>
              <c:tx>
                <c:rich>
                  <a:bodyPr/>
                  <a:lstStyle/>
                  <a:p>
                    <a:fld id="{EC0821EB-A0B8-4B77-AB93-EF4F01650E4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355-4D29-9998-760570E82EB5}"/>
                </c:ext>
              </c:extLst>
            </c:dLbl>
            <c:dLbl>
              <c:idx val="3"/>
              <c:tx>
                <c:rich>
                  <a:bodyPr/>
                  <a:lstStyle/>
                  <a:p>
                    <a:fld id="{042BF2D1-AB35-4F4B-BA9F-BACB977DE68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355-4D29-9998-760570E82EB5}"/>
                </c:ext>
              </c:extLst>
            </c:dLbl>
            <c:dLbl>
              <c:idx val="4"/>
              <c:tx>
                <c:rich>
                  <a:bodyPr/>
                  <a:lstStyle/>
                  <a:p>
                    <a:fld id="{75FB9729-582D-4039-A795-A5C186497D9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355-4D29-9998-760570E82EB5}"/>
                </c:ext>
              </c:extLst>
            </c:dLbl>
            <c:dLbl>
              <c:idx val="5"/>
              <c:tx>
                <c:rich>
                  <a:bodyPr/>
                  <a:lstStyle/>
                  <a:p>
                    <a:fld id="{36480ECA-612F-49F8-AADE-5FB9E0F2CA5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355-4D29-9998-760570E82EB5}"/>
                </c:ext>
              </c:extLst>
            </c:dLbl>
            <c:dLbl>
              <c:idx val="6"/>
              <c:tx>
                <c:rich>
                  <a:bodyPr/>
                  <a:lstStyle/>
                  <a:p>
                    <a:fld id="{CDE48569-05E2-4688-96E1-AC758EF4DCC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355-4D29-9998-760570E82EB5}"/>
                </c:ext>
              </c:extLst>
            </c:dLbl>
            <c:dLbl>
              <c:idx val="7"/>
              <c:tx>
                <c:rich>
                  <a:bodyPr/>
                  <a:lstStyle/>
                  <a:p>
                    <a:fld id="{7D53E602-5CB5-46DF-9915-9CB3069CEEB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355-4D29-9998-760570E82EB5}"/>
                </c:ext>
              </c:extLst>
            </c:dLbl>
            <c:dLbl>
              <c:idx val="8"/>
              <c:tx>
                <c:rich>
                  <a:bodyPr/>
                  <a:lstStyle/>
                  <a:p>
                    <a:fld id="{EA66FE20-D39A-4744-813F-9E62809E0F0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355-4D29-9998-760570E82EB5}"/>
                </c:ext>
              </c:extLst>
            </c:dLbl>
            <c:dLbl>
              <c:idx val="9"/>
              <c:tx>
                <c:rich>
                  <a:bodyPr/>
                  <a:lstStyle/>
                  <a:p>
                    <a:fld id="{BC5F5D3B-2D24-4EB6-A58E-ED0BC7E7507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355-4D29-9998-760570E82EB5}"/>
                </c:ext>
              </c:extLst>
            </c:dLbl>
            <c:dLbl>
              <c:idx val="10"/>
              <c:tx>
                <c:rich>
                  <a:bodyPr/>
                  <a:lstStyle/>
                  <a:p>
                    <a:fld id="{75C13E6B-CC0E-4045-9F7E-773E4B344E3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355-4D29-9998-760570E82EB5}"/>
                </c:ext>
              </c:extLst>
            </c:dLbl>
            <c:dLbl>
              <c:idx val="11"/>
              <c:tx>
                <c:rich>
                  <a:bodyPr/>
                  <a:lstStyle/>
                  <a:p>
                    <a:fld id="{817869B0-EA91-428B-847D-6350784E78F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355-4D29-9998-760570E82EB5}"/>
                </c:ext>
              </c:extLst>
            </c:dLbl>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Sheet3!$M$4:$M$15</c:f>
              <c:numCache>
                <c:formatCode>"₹"\ #,##0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5="http://schemas.microsoft.com/office/drawing/2012/chart" uri="{02D57815-91ED-43cb-92C2-25804820EDAC}">
              <c15:datalabelsRange>
                <c15:f>Sheet3!$O$4:$O$15</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0-A355-4D29-9998-760570E82EB5}"/>
            </c:ext>
          </c:extLst>
        </c:ser>
        <c:ser>
          <c:idx val="1"/>
          <c:order val="1"/>
          <c:tx>
            <c:strRef>
              <c:f>Sheet3!$N$3</c:f>
              <c:strCache>
                <c:ptCount val="1"/>
                <c:pt idx="0">
                  <c:v>Profit</c:v>
                </c:pt>
              </c:strCache>
            </c:strRef>
          </c:tx>
          <c:spPr>
            <a:solidFill>
              <a:schemeClr val="accent2"/>
            </a:solidFill>
            <a:ln>
              <a:noFill/>
            </a:ln>
            <a:effectLst/>
          </c:spPr>
          <c:invertIfNegative val="0"/>
          <c:cat>
            <c:strRef>
              <c:f>Sheet3!$L$4:$L$15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Sheet3!$N$4:$N$15</c:f>
              <c:numCache>
                <c:formatCode>"₹"\ #,##0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6="http://schemas.microsoft.com/office/drawing/2014/chart" uri="{C3380CC4-5D6E-409C-BE32-E72D297353CC}">
              <c16:uniqueId val="{00000001-A355-4D29-9998-760570E82EB5}"/>
            </c:ext>
          </c:extLst>
        </c:ser>
        <c:dLbls>
          <c:showLegendKey val="0"/>
          <c:showVal val="0"/>
          <c:showCatName val="0"/>
          <c:showSerName val="0"/>
          <c:showPercent val="0"/>
          <c:showBubbleSize val="0"/>
        </c:dLbls>
        <c:gapWidth val="50"/>
        <c:overlap val="100"/>
        <c:axId val="2118040431"/>
        <c:axId val="2118040911"/>
      </c:barChart>
      <c:catAx>
        <c:axId val="211804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40911"/>
        <c:crosses val="autoZero"/>
        <c:auto val="1"/>
        <c:lblAlgn val="ctr"/>
        <c:lblOffset val="100"/>
        <c:noMultiLvlLbl val="0"/>
      </c:catAx>
      <c:valAx>
        <c:axId val="211804091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4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Sheet3!$Z$4:$Z$13</c:f>
              <c:strCache>
                <c:ptCount val="10"/>
                <c:pt idx="0">
                  <c:v>Product01</c:v>
                </c:pt>
                <c:pt idx="1">
                  <c:v>Kg</c:v>
                </c:pt>
                <c:pt idx="2">
                  <c:v>Product02</c:v>
                </c:pt>
                <c:pt idx="3">
                  <c:v>Kg</c:v>
                </c:pt>
                <c:pt idx="4">
                  <c:v>Product03</c:v>
                </c:pt>
                <c:pt idx="5">
                  <c:v>Kg</c:v>
                </c:pt>
                <c:pt idx="6">
                  <c:v>Product04</c:v>
                </c:pt>
                <c:pt idx="7">
                  <c:v>Lt</c:v>
                </c:pt>
                <c:pt idx="8">
                  <c:v>Product05</c:v>
                </c:pt>
                <c:pt idx="9">
                  <c:v>Ft</c:v>
                </c:pt>
              </c:strCache>
            </c:strRef>
          </c:cat>
          <c:val>
            <c:numRef>
              <c:f>Sheet3!$AA$4:$AA$13</c:f>
              <c:numCache>
                <c:formatCode>General</c:formatCode>
                <c:ptCount val="10"/>
                <c:pt idx="0">
                  <c:v>9212</c:v>
                </c:pt>
                <c:pt idx="1">
                  <c:v>9212</c:v>
                </c:pt>
                <c:pt idx="2">
                  <c:v>9870</c:v>
                </c:pt>
                <c:pt idx="3">
                  <c:v>9870</c:v>
                </c:pt>
                <c:pt idx="4">
                  <c:v>5609</c:v>
                </c:pt>
                <c:pt idx="5">
                  <c:v>5609</c:v>
                </c:pt>
                <c:pt idx="6">
                  <c:v>5456</c:v>
                </c:pt>
                <c:pt idx="7">
                  <c:v>5456</c:v>
                </c:pt>
                <c:pt idx="8">
                  <c:v>13433</c:v>
                </c:pt>
                <c:pt idx="9">
                  <c:v>13433</c:v>
                </c:pt>
              </c:numCache>
            </c:numRef>
          </c:val>
          <c:extLst>
            <c:ext xmlns:c16="http://schemas.microsoft.com/office/drawing/2014/chart" uri="{C3380CC4-5D6E-409C-BE32-E72D297353CC}">
              <c16:uniqueId val="{00000000-7394-45E2-AC1F-B4546CEC2EB3}"/>
            </c:ext>
          </c:extLst>
        </c:ser>
        <c:dLbls>
          <c:dLblPos val="outEnd"/>
          <c:showLegendKey val="0"/>
          <c:showVal val="1"/>
          <c:showCatName val="0"/>
          <c:showSerName val="0"/>
          <c:showPercent val="0"/>
          <c:showBubbleSize val="0"/>
        </c:dLbls>
        <c:gapWidth val="50"/>
        <c:axId val="993248031"/>
        <c:axId val="993238431"/>
      </c:barChart>
      <c:catAx>
        <c:axId val="99324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38431"/>
        <c:crossesAt val="500"/>
        <c:auto val="1"/>
        <c:lblAlgn val="ctr"/>
        <c:lblOffset val="100"/>
        <c:noMultiLvlLbl val="0"/>
      </c:catAx>
      <c:valAx>
        <c:axId val="99323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4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Dataset.xlsx]Sheet3!Salestype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rgbClr val="FFFF00"/>
          </a:solidFill>
          <a:ln w="19050">
            <a:solidFill>
              <a:schemeClr val="lt1"/>
            </a:solidFill>
          </a:ln>
          <a:effectLst/>
        </c:spPr>
      </c:pivotFmt>
    </c:pivotFmts>
    <c:plotArea>
      <c:layout/>
      <c:pieChart>
        <c:varyColors val="1"/>
        <c:ser>
          <c:idx val="0"/>
          <c:order val="0"/>
          <c:tx>
            <c:strRef>
              <c:f>Sheet3!$AN$3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2E5-441C-AEB2-3223FB99B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E5-441C-AEB2-3223FB99B429}"/>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12E5-441C-AEB2-3223FB99B4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Sheet3!$AM$4:$AM$6</c:f>
              <c:strCache>
                <c:ptCount val="3"/>
                <c:pt idx="0">
                  <c:v>Direct Sales</c:v>
                </c:pt>
                <c:pt idx="1">
                  <c:v>Online</c:v>
                </c:pt>
                <c:pt idx="2">
                  <c:v>Wholesaler</c:v>
                </c:pt>
              </c:strCache>
            </c:strRef>
          </c:cat>
          <c:val>
            <c:numRef>
              <c:f>Sheet3!$AN$4:$AN$6</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12E5-441C-AEB2-3223FB99B4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Dataset.xlsx]Sheet3!Paymentmode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Sheet3!$AQ$3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DF-43CC-A150-A5AEFEEEF1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DF-43CC-A150-A5AEFEEEF1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Sheet3!$AP$4:$AP$5</c:f>
              <c:strCache>
                <c:ptCount val="2"/>
                <c:pt idx="0">
                  <c:v>Cash</c:v>
                </c:pt>
                <c:pt idx="1">
                  <c:v>Online</c:v>
                </c:pt>
              </c:strCache>
            </c:strRef>
          </c:cat>
          <c:val>
            <c:numRef>
              <c:f>Sheet3!$AQ$4:$AQ$5</c:f>
              <c:numCache>
                <c:formatCode>General</c:formatCode>
                <c:ptCount val="2"/>
                <c:pt idx="0">
                  <c:v>200583.94000000009</c:v>
                </c:pt>
                <c:pt idx="1">
                  <c:v>200827.97999999992</c:v>
                </c:pt>
              </c:numCache>
            </c:numRef>
          </c:val>
          <c:extLst>
            <c:ext xmlns:c16="http://schemas.microsoft.com/office/drawing/2014/chart" uri="{C3380CC4-5D6E-409C-BE32-E72D297353CC}">
              <c16:uniqueId val="{00000000-9643-4DBF-9C5B-11BB7B0DA7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Dataset.xlsx]Sheet3!PivotTable1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Day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rgbClr val="FF0000"/>
            </a:solidFill>
            <a:ln>
              <a:noFill/>
            </a:ln>
            <a:effectLst/>
          </c:spPr>
          <c:cat>
            <c:strRef>
              <c:f>Sheet3!$A$4:$A$35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Sheet3!$B$4:$B$35</c:f>
              <c:numCache>
                <c:formatCode>"₹"\ #,##0.00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9143-44AB-880D-536F3CCE5026}"/>
            </c:ext>
          </c:extLst>
        </c:ser>
        <c:dLbls>
          <c:showLegendKey val="0"/>
          <c:showVal val="0"/>
          <c:showCatName val="0"/>
          <c:showSerName val="0"/>
          <c:showPercent val="0"/>
          <c:showBubbleSize val="0"/>
        </c:dLbls>
        <c:axId val="899437359"/>
        <c:axId val="899444559"/>
      </c:areaChart>
      <c:catAx>
        <c:axId val="899437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9444559"/>
        <c:crosses val="autoZero"/>
        <c:auto val="1"/>
        <c:lblAlgn val="ctr"/>
        <c:lblOffset val="10"/>
        <c:noMultiLvlLbl val="0"/>
      </c:catAx>
      <c:valAx>
        <c:axId val="89944455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94373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Month Wise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Sheet3!$M$3</c:f>
              <c:strCache>
                <c:ptCount val="1"/>
                <c:pt idx="0">
                  <c:v>Sales</c:v>
                </c:pt>
              </c:strCache>
            </c:strRef>
          </c:tx>
          <c:spPr>
            <a:solidFill>
              <a:schemeClr val="accent6">
                <a:lumMod val="75000"/>
              </a:schemeClr>
            </a:solidFill>
            <a:ln>
              <a:noFill/>
            </a:ln>
            <a:effectLst/>
          </c:spPr>
          <c:invertIfNegative val="0"/>
          <c:dLbls>
            <c:dLbl>
              <c:idx val="0"/>
              <c:tx>
                <c:rich>
                  <a:bodyPr/>
                  <a:lstStyle/>
                  <a:p>
                    <a:fld id="{9BCE18A5-CF67-4342-9494-B5A823A42EA7}"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3C2-4418-B4EE-515FD50DD037}"/>
                </c:ext>
              </c:extLst>
            </c:dLbl>
            <c:dLbl>
              <c:idx val="1"/>
              <c:tx>
                <c:rich>
                  <a:bodyPr/>
                  <a:lstStyle/>
                  <a:p>
                    <a:fld id="{2A78D4BE-C0EF-4779-8564-AA89512B94D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3C2-4418-B4EE-515FD50DD037}"/>
                </c:ext>
              </c:extLst>
            </c:dLbl>
            <c:dLbl>
              <c:idx val="2"/>
              <c:tx>
                <c:rich>
                  <a:bodyPr/>
                  <a:lstStyle/>
                  <a:p>
                    <a:fld id="{43A893E6-3161-46BA-85E9-6DBA0872410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3C2-4418-B4EE-515FD50DD037}"/>
                </c:ext>
              </c:extLst>
            </c:dLbl>
            <c:dLbl>
              <c:idx val="3"/>
              <c:tx>
                <c:rich>
                  <a:bodyPr/>
                  <a:lstStyle/>
                  <a:p>
                    <a:fld id="{738B076D-BE11-4725-B6F0-4513EA383D0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3C2-4418-B4EE-515FD50DD037}"/>
                </c:ext>
              </c:extLst>
            </c:dLbl>
            <c:dLbl>
              <c:idx val="4"/>
              <c:tx>
                <c:rich>
                  <a:bodyPr/>
                  <a:lstStyle/>
                  <a:p>
                    <a:fld id="{C410333D-0670-42DD-A294-B636E8C3C2F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3C2-4418-B4EE-515FD50DD037}"/>
                </c:ext>
              </c:extLst>
            </c:dLbl>
            <c:dLbl>
              <c:idx val="5"/>
              <c:tx>
                <c:rich>
                  <a:bodyPr/>
                  <a:lstStyle/>
                  <a:p>
                    <a:fld id="{70FAB046-B0EA-40E8-8B30-E024B49689F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3C2-4418-B4EE-515FD50DD037}"/>
                </c:ext>
              </c:extLst>
            </c:dLbl>
            <c:dLbl>
              <c:idx val="6"/>
              <c:tx>
                <c:rich>
                  <a:bodyPr/>
                  <a:lstStyle/>
                  <a:p>
                    <a:fld id="{BD0D9BB6-AD7B-437F-92DC-7612DAC55A4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3C2-4418-B4EE-515FD50DD037}"/>
                </c:ext>
              </c:extLst>
            </c:dLbl>
            <c:dLbl>
              <c:idx val="7"/>
              <c:tx>
                <c:rich>
                  <a:bodyPr/>
                  <a:lstStyle/>
                  <a:p>
                    <a:fld id="{BE24D424-E7B9-4373-98DC-5A42DE6A200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3C2-4418-B4EE-515FD50DD037}"/>
                </c:ext>
              </c:extLst>
            </c:dLbl>
            <c:dLbl>
              <c:idx val="8"/>
              <c:tx>
                <c:rich>
                  <a:bodyPr/>
                  <a:lstStyle/>
                  <a:p>
                    <a:fld id="{32368EEC-1560-4A84-9C1E-1EDC61661BA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3C2-4418-B4EE-515FD50DD037}"/>
                </c:ext>
              </c:extLst>
            </c:dLbl>
            <c:dLbl>
              <c:idx val="9"/>
              <c:tx>
                <c:rich>
                  <a:bodyPr/>
                  <a:lstStyle/>
                  <a:p>
                    <a:fld id="{7AAADD14-A5DA-4EDE-A76B-AEBFEEDAD5F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3C2-4418-B4EE-515FD50DD037}"/>
                </c:ext>
              </c:extLst>
            </c:dLbl>
            <c:dLbl>
              <c:idx val="10"/>
              <c:tx>
                <c:rich>
                  <a:bodyPr/>
                  <a:lstStyle/>
                  <a:p>
                    <a:fld id="{A9823979-BD42-4DE0-A907-1D471CDC62F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3C2-4418-B4EE-515FD50DD037}"/>
                </c:ext>
              </c:extLst>
            </c:dLbl>
            <c:dLbl>
              <c:idx val="11"/>
              <c:tx>
                <c:rich>
                  <a:bodyPr/>
                  <a:lstStyle/>
                  <a:p>
                    <a:fld id="{1A0CF9BC-26FC-40A6-8D3E-A360854F154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3C2-4418-B4EE-515FD50DD037}"/>
                </c:ext>
              </c:extLst>
            </c:dLbl>
            <c:numFmt formatCode="&quot;₹&quot;\ #,##0"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Sheet3!$M$4:$M$15</c:f>
              <c:numCache>
                <c:formatCode>"₹"\ #,##0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5="http://schemas.microsoft.com/office/drawing/2012/chart" uri="{02D57815-91ED-43cb-92C2-25804820EDAC}">
              <c15:datalabelsRange>
                <c15:f>Sheet3!$O$4:$O$15</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C-93C2-4418-B4EE-515FD50DD037}"/>
            </c:ext>
          </c:extLst>
        </c:ser>
        <c:ser>
          <c:idx val="1"/>
          <c:order val="1"/>
          <c:tx>
            <c:strRef>
              <c:f>Sheet3!$N$3</c:f>
              <c:strCache>
                <c:ptCount val="1"/>
                <c:pt idx="0">
                  <c:v>Profit</c:v>
                </c:pt>
              </c:strCache>
            </c:strRef>
          </c:tx>
          <c:spPr>
            <a:solidFill>
              <a:schemeClr val="accent2"/>
            </a:solidFill>
            <a:ln>
              <a:noFill/>
            </a:ln>
            <a:effectLst/>
          </c:spPr>
          <c:invertIfNegative val="0"/>
          <c:cat>
            <c:strRef>
              <c:f>Sheet3!$L$4:$L$15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Sheet3!$N$4:$N$15</c:f>
              <c:numCache>
                <c:formatCode>"₹"\ #,##0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6="http://schemas.microsoft.com/office/drawing/2014/chart" uri="{C3380CC4-5D6E-409C-BE32-E72D297353CC}">
              <c16:uniqueId val="{0000000D-93C2-4418-B4EE-515FD50DD037}"/>
            </c:ext>
          </c:extLst>
        </c:ser>
        <c:dLbls>
          <c:showLegendKey val="0"/>
          <c:showVal val="0"/>
          <c:showCatName val="0"/>
          <c:showSerName val="0"/>
          <c:showPercent val="0"/>
          <c:showBubbleSize val="0"/>
        </c:dLbls>
        <c:gapWidth val="50"/>
        <c:overlap val="100"/>
        <c:axId val="2118040431"/>
        <c:axId val="2118040911"/>
      </c:barChart>
      <c:catAx>
        <c:axId val="211804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118040911"/>
        <c:crosses val="autoZero"/>
        <c:auto val="1"/>
        <c:lblAlgn val="ctr"/>
        <c:lblOffset val="100"/>
        <c:noMultiLvlLbl val="0"/>
      </c:catAx>
      <c:valAx>
        <c:axId val="211804091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804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Product Wise Series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Sheet3!$Z$4:$Z$13</c:f>
              <c:strCache>
                <c:ptCount val="10"/>
                <c:pt idx="0">
                  <c:v>Product01</c:v>
                </c:pt>
                <c:pt idx="1">
                  <c:v>Kg</c:v>
                </c:pt>
                <c:pt idx="2">
                  <c:v>Product02</c:v>
                </c:pt>
                <c:pt idx="3">
                  <c:v>Kg</c:v>
                </c:pt>
                <c:pt idx="4">
                  <c:v>Product03</c:v>
                </c:pt>
                <c:pt idx="5">
                  <c:v>Kg</c:v>
                </c:pt>
                <c:pt idx="6">
                  <c:v>Product04</c:v>
                </c:pt>
                <c:pt idx="7">
                  <c:v>Lt</c:v>
                </c:pt>
                <c:pt idx="8">
                  <c:v>Product05</c:v>
                </c:pt>
                <c:pt idx="9">
                  <c:v>Ft</c:v>
                </c:pt>
              </c:strCache>
            </c:strRef>
          </c:cat>
          <c:val>
            <c:numRef>
              <c:f>Sheet3!$AA$4:$AA$13</c:f>
              <c:numCache>
                <c:formatCode>General</c:formatCode>
                <c:ptCount val="10"/>
                <c:pt idx="0">
                  <c:v>9212</c:v>
                </c:pt>
                <c:pt idx="1">
                  <c:v>9212</c:v>
                </c:pt>
                <c:pt idx="2">
                  <c:v>9870</c:v>
                </c:pt>
                <c:pt idx="3">
                  <c:v>9870</c:v>
                </c:pt>
                <c:pt idx="4">
                  <c:v>5609</c:v>
                </c:pt>
                <c:pt idx="5">
                  <c:v>5609</c:v>
                </c:pt>
                <c:pt idx="6">
                  <c:v>5456</c:v>
                </c:pt>
                <c:pt idx="7">
                  <c:v>5456</c:v>
                </c:pt>
                <c:pt idx="8">
                  <c:v>13433</c:v>
                </c:pt>
                <c:pt idx="9">
                  <c:v>13433</c:v>
                </c:pt>
              </c:numCache>
            </c:numRef>
          </c:val>
          <c:extLst>
            <c:ext xmlns:c16="http://schemas.microsoft.com/office/drawing/2014/chart" uri="{C3380CC4-5D6E-409C-BE32-E72D297353CC}">
              <c16:uniqueId val="{00000000-67F7-4865-95D1-48D50D0BDAEC}"/>
            </c:ext>
          </c:extLst>
        </c:ser>
        <c:dLbls>
          <c:dLblPos val="outEnd"/>
          <c:showLegendKey val="0"/>
          <c:showVal val="1"/>
          <c:showCatName val="0"/>
          <c:showSerName val="0"/>
          <c:showPercent val="0"/>
          <c:showBubbleSize val="0"/>
        </c:dLbls>
        <c:gapWidth val="50"/>
        <c:axId val="993248031"/>
        <c:axId val="993238431"/>
      </c:barChart>
      <c:catAx>
        <c:axId val="993248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3238431"/>
        <c:crossesAt val="500"/>
        <c:auto val="1"/>
        <c:lblAlgn val="ctr"/>
        <c:lblOffset val="100"/>
        <c:noMultiLvlLbl val="0"/>
      </c:catAx>
      <c:valAx>
        <c:axId val="9932384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324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Dataset.xlsx]Sheet3!Salestype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Payment</a:t>
            </a:r>
            <a:r>
              <a:rPr lang="en-US" b="1" baseline="0"/>
              <a:t> Mode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FFFF00"/>
          </a:solidFill>
          <a:ln w="19050">
            <a:solidFill>
              <a:schemeClr val="lt1"/>
            </a:solidFill>
          </a:ln>
          <a:effectLst/>
        </c:spPr>
      </c:pivotFmt>
    </c:pivotFmts>
    <c:plotArea>
      <c:layout/>
      <c:pieChart>
        <c:varyColors val="1"/>
        <c:ser>
          <c:idx val="0"/>
          <c:order val="0"/>
          <c:tx>
            <c:strRef>
              <c:f>Sheet3!$AN$3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26AB-4DE6-8759-FEC9B4087023}"/>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26AB-4DE6-8759-FEC9B4087023}"/>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26AB-4DE6-8759-FEC9B40870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Sheet3!$AM$4:$AM$6</c:f>
              <c:strCache>
                <c:ptCount val="3"/>
                <c:pt idx="0">
                  <c:v>Direct Sales</c:v>
                </c:pt>
                <c:pt idx="1">
                  <c:v>Online</c:v>
                </c:pt>
                <c:pt idx="2">
                  <c:v>Wholesaler</c:v>
                </c:pt>
              </c:strCache>
            </c:strRef>
          </c:cat>
          <c:val>
            <c:numRef>
              <c:f>Sheet3!$AN$4:$AN$6</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26AB-4DE6-8759-FEC9B408702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Dataset.xlsx]Prcatice_ans!PivotTable3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Prcatice_ans!$J$8</c:f>
              <c:strCache>
                <c:ptCount val="1"/>
                <c:pt idx="0">
                  <c:v>Total</c:v>
                </c:pt>
              </c:strCache>
            </c:strRef>
          </c:tx>
          <c:spPr>
            <a:solidFill>
              <a:schemeClr val="accent1"/>
            </a:solidFill>
            <a:ln>
              <a:noFill/>
            </a:ln>
            <a:effectLst/>
          </c:spPr>
          <c:invertIfNegative val="0"/>
          <c:cat>
            <c:strRef>
              <c:f>Prcatice_ans!$I$9:$I$13</c:f>
              <c:strCache>
                <c:ptCount val="5"/>
                <c:pt idx="0">
                  <c:v>Category01</c:v>
                </c:pt>
                <c:pt idx="1">
                  <c:v>Category02</c:v>
                </c:pt>
                <c:pt idx="2">
                  <c:v>Category03</c:v>
                </c:pt>
                <c:pt idx="3">
                  <c:v>Category04</c:v>
                </c:pt>
                <c:pt idx="4">
                  <c:v>Category05</c:v>
                </c:pt>
              </c:strCache>
            </c:strRef>
          </c:cat>
          <c:val>
            <c:numRef>
              <c:f>Prcatice_ans!$J$9:$J$13</c:f>
              <c:numCache>
                <c:formatCode>General</c:formatCode>
                <c:ptCount val="5"/>
                <c:pt idx="0">
                  <c:v>68680.31</c:v>
                </c:pt>
                <c:pt idx="1">
                  <c:v>92963.87</c:v>
                </c:pt>
                <c:pt idx="2">
                  <c:v>52881.149999999994</c:v>
                </c:pt>
                <c:pt idx="3">
                  <c:v>95269.4</c:v>
                </c:pt>
                <c:pt idx="4">
                  <c:v>91617.19</c:v>
                </c:pt>
              </c:numCache>
            </c:numRef>
          </c:val>
          <c:extLst>
            <c:ext xmlns:c16="http://schemas.microsoft.com/office/drawing/2014/chart" uri="{C3380CC4-5D6E-409C-BE32-E72D297353CC}">
              <c16:uniqueId val="{00000000-6482-4A38-9548-C3B3DEDFF3D0}"/>
            </c:ext>
          </c:extLst>
        </c:ser>
        <c:dLbls>
          <c:showLegendKey val="0"/>
          <c:showVal val="0"/>
          <c:showCatName val="0"/>
          <c:showSerName val="0"/>
          <c:showPercent val="0"/>
          <c:showBubbleSize val="0"/>
        </c:dLbls>
        <c:gapWidth val="219"/>
        <c:overlap val="-27"/>
        <c:axId val="1367495839"/>
        <c:axId val="1367496799"/>
      </c:barChart>
      <c:catAx>
        <c:axId val="136749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96799"/>
        <c:crosses val="autoZero"/>
        <c:auto val="1"/>
        <c:lblAlgn val="ctr"/>
        <c:lblOffset val="100"/>
        <c:noMultiLvlLbl val="0"/>
      </c:catAx>
      <c:valAx>
        <c:axId val="136749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9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Prcatice_ans!$V$8</c:f>
              <c:strCache>
                <c:ptCount val="1"/>
                <c:pt idx="0">
                  <c:v>Total selling</c:v>
                </c:pt>
              </c:strCache>
            </c:strRef>
          </c:tx>
          <c:spPr>
            <a:solidFill>
              <a:schemeClr val="accent1"/>
            </a:solidFill>
            <a:ln>
              <a:noFill/>
            </a:ln>
            <a:effectLst/>
          </c:spPr>
          <c:invertIfNegative val="0"/>
          <c:cat>
            <c:strRef>
              <c:f>Prcatice_ans!$U$9:$U$13</c:f>
              <c:strCache>
                <c:ptCount val="5"/>
                <c:pt idx="0">
                  <c:v>Product41</c:v>
                </c:pt>
                <c:pt idx="1">
                  <c:v>Product30</c:v>
                </c:pt>
                <c:pt idx="2">
                  <c:v>Product42</c:v>
                </c:pt>
                <c:pt idx="3">
                  <c:v>Product19</c:v>
                </c:pt>
                <c:pt idx="4">
                  <c:v>Product10</c:v>
                </c:pt>
              </c:strCache>
            </c:strRef>
          </c:cat>
          <c:val>
            <c:numRef>
              <c:f>Prcatice_ans!$V$9:$V$13</c:f>
              <c:numCache>
                <c:formatCode>General</c:formatCode>
                <c:ptCount val="5"/>
                <c:pt idx="0">
                  <c:v>22952.16</c:v>
                </c:pt>
                <c:pt idx="1">
                  <c:v>22945.919999999998</c:v>
                </c:pt>
                <c:pt idx="2">
                  <c:v>20574</c:v>
                </c:pt>
                <c:pt idx="3">
                  <c:v>20160</c:v>
                </c:pt>
                <c:pt idx="4">
                  <c:v>16428</c:v>
                </c:pt>
              </c:numCache>
            </c:numRef>
          </c:val>
          <c:extLst>
            <c:ext xmlns:c16="http://schemas.microsoft.com/office/drawing/2014/chart" uri="{C3380CC4-5D6E-409C-BE32-E72D297353CC}">
              <c16:uniqueId val="{00000000-B3B3-4714-B9BD-EC0451AF9EA9}"/>
            </c:ext>
          </c:extLst>
        </c:ser>
        <c:dLbls>
          <c:dLblPos val="outEnd"/>
          <c:showLegendKey val="0"/>
          <c:showVal val="0"/>
          <c:showCatName val="0"/>
          <c:showSerName val="0"/>
          <c:showPercent val="0"/>
          <c:showBubbleSize val="0"/>
        </c:dLbls>
        <c:gapWidth val="219"/>
        <c:overlap val="-27"/>
        <c:axId val="395396175"/>
        <c:axId val="395400495"/>
      </c:barChart>
      <c:catAx>
        <c:axId val="39539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00495"/>
        <c:crosses val="autoZero"/>
        <c:auto val="1"/>
        <c:lblAlgn val="ctr"/>
        <c:lblOffset val="100"/>
        <c:noMultiLvlLbl val="0"/>
      </c:catAx>
      <c:valAx>
        <c:axId val="39540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9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Prcatice_ans!$AD$2</c:f>
              <c:strCache>
                <c:ptCount val="1"/>
                <c:pt idx="0">
                  <c:v>Sum of Total Buying </c:v>
                </c:pt>
              </c:strCache>
            </c:strRef>
          </c:tx>
          <c:spPr>
            <a:solidFill>
              <a:schemeClr val="accent1"/>
            </a:solidFill>
            <a:ln>
              <a:noFill/>
            </a:ln>
            <a:effectLst/>
          </c:spPr>
          <c:invertIfNegative val="0"/>
          <c:dLbls>
            <c:delete val="1"/>
          </c:dLbls>
          <c:cat>
            <c:strRef>
              <c:f>Prcatice_ans!$AC$3:$AC$14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Prcatice_ans!$AD$3:$AD$14</c:f>
              <c:numCache>
                <c:formatCode>General</c:formatCode>
                <c:ptCount val="12"/>
                <c:pt idx="0">
                  <c:v>34290</c:v>
                </c:pt>
                <c:pt idx="1">
                  <c:v>25341</c:v>
                </c:pt>
                <c:pt idx="2">
                  <c:v>23437</c:v>
                </c:pt>
                <c:pt idx="3">
                  <c:v>21282</c:v>
                </c:pt>
                <c:pt idx="4">
                  <c:v>26526</c:v>
                </c:pt>
                <c:pt idx="5">
                  <c:v>24879</c:v>
                </c:pt>
                <c:pt idx="6">
                  <c:v>29878</c:v>
                </c:pt>
                <c:pt idx="7">
                  <c:v>29831</c:v>
                </c:pt>
                <c:pt idx="8">
                  <c:v>28758</c:v>
                </c:pt>
                <c:pt idx="9">
                  <c:v>27842</c:v>
                </c:pt>
                <c:pt idx="10">
                  <c:v>29306</c:v>
                </c:pt>
                <c:pt idx="11">
                  <c:v>31134</c:v>
                </c:pt>
              </c:numCache>
            </c:numRef>
          </c:val>
          <c:extLst>
            <c:ext xmlns:c16="http://schemas.microsoft.com/office/drawing/2014/chart" uri="{C3380CC4-5D6E-409C-BE32-E72D297353CC}">
              <c16:uniqueId val="{00000000-D8B1-4CC5-8544-A974ABFCA2E1}"/>
            </c:ext>
          </c:extLst>
        </c:ser>
        <c:dLbls>
          <c:dLblPos val="inBase"/>
          <c:showLegendKey val="0"/>
          <c:showVal val="1"/>
          <c:showCatName val="0"/>
          <c:showSerName val="0"/>
          <c:showPercent val="0"/>
          <c:showBubbleSize val="0"/>
        </c:dLbls>
        <c:gapWidth val="219"/>
        <c:overlap val="-27"/>
        <c:axId val="1345835807"/>
        <c:axId val="1345827647"/>
      </c:barChart>
      <c:lineChart>
        <c:grouping val="standard"/>
        <c:varyColors val="0"/>
        <c:ser>
          <c:idx val="1"/>
          <c:order val="1"/>
          <c:tx>
            <c:strRef>
              <c:f>Prcatice_ans!$AG$2</c:f>
              <c:strCache>
                <c:ptCount val="1"/>
                <c:pt idx="0">
                  <c:v>Profit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Prcatice_ans!$AC$3:$AC$14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Prcatice_ans!$AG$3:$AG$14</c:f>
              <c:numCache>
                <c:formatCode>0%</c:formatCode>
                <c:ptCount val="12"/>
                <c:pt idx="0">
                  <c:v>0.20580227471566054</c:v>
                </c:pt>
                <c:pt idx="1">
                  <c:v>0.21768280651907979</c:v>
                </c:pt>
                <c:pt idx="2">
                  <c:v>0.22100311473311438</c:v>
                </c:pt>
                <c:pt idx="3">
                  <c:v>0.24890094915891361</c:v>
                </c:pt>
                <c:pt idx="4">
                  <c:v>0.16528877327904701</c:v>
                </c:pt>
                <c:pt idx="5">
                  <c:v>0.22728847622492862</c:v>
                </c:pt>
                <c:pt idx="6">
                  <c:v>0.17985775486980393</c:v>
                </c:pt>
                <c:pt idx="7">
                  <c:v>0.18502229224632089</c:v>
                </c:pt>
                <c:pt idx="8">
                  <c:v>0.22549586202100289</c:v>
                </c:pt>
                <c:pt idx="9">
                  <c:v>0.20324294231736226</c:v>
                </c:pt>
                <c:pt idx="10">
                  <c:v>0.23265099297072275</c:v>
                </c:pt>
                <c:pt idx="11">
                  <c:v>0.19155842487312902</c:v>
                </c:pt>
              </c:numCache>
            </c:numRef>
          </c:val>
          <c:smooth val="0"/>
          <c:extLst>
            <c:ext xmlns:c16="http://schemas.microsoft.com/office/drawing/2014/chart" uri="{C3380CC4-5D6E-409C-BE32-E72D297353CC}">
              <c16:uniqueId val="{00000001-D8B1-4CC5-8544-A974ABFCA2E1}"/>
            </c:ext>
          </c:extLst>
        </c:ser>
        <c:dLbls>
          <c:showLegendKey val="0"/>
          <c:showVal val="1"/>
          <c:showCatName val="0"/>
          <c:showSerName val="0"/>
          <c:showPercent val="0"/>
          <c:showBubbleSize val="0"/>
        </c:dLbls>
        <c:marker val="1"/>
        <c:smooth val="0"/>
        <c:axId val="1345835327"/>
        <c:axId val="1345834367"/>
      </c:lineChart>
      <c:catAx>
        <c:axId val="134583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27647"/>
        <c:crosses val="autoZero"/>
        <c:auto val="1"/>
        <c:lblAlgn val="ctr"/>
        <c:lblOffset val="100"/>
        <c:noMultiLvlLbl val="0"/>
      </c:catAx>
      <c:valAx>
        <c:axId val="134582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35807"/>
        <c:crosses val="autoZero"/>
        <c:crossBetween val="between"/>
      </c:valAx>
      <c:valAx>
        <c:axId val="13458343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35327"/>
        <c:crosses val="max"/>
        <c:crossBetween val="between"/>
      </c:valAx>
      <c:catAx>
        <c:axId val="1345835327"/>
        <c:scaling>
          <c:orientation val="minMax"/>
        </c:scaling>
        <c:delete val="1"/>
        <c:axPos val="b"/>
        <c:numFmt formatCode="General" sourceLinked="1"/>
        <c:majorTickMark val="out"/>
        <c:minorTickMark val="none"/>
        <c:tickLblPos val="nextTo"/>
        <c:crossAx val="134583436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Dataset.xlsx]Prcatice_ans!PivotTable2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Prcatice_ans!$G$8</c:f>
              <c:strCache>
                <c:ptCount val="1"/>
                <c:pt idx="0">
                  <c:v>Total</c:v>
                </c:pt>
              </c:strCache>
            </c:strRef>
          </c:tx>
          <c:spPr>
            <a:solidFill>
              <a:schemeClr val="accent1"/>
            </a:solidFill>
            <a:ln>
              <a:noFill/>
            </a:ln>
            <a:effectLst/>
          </c:spPr>
          <c:cat>
            <c:strRef>
              <c:f>Prcatice_ans!$F$9:$F$39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Prcatice_ans!$G$9:$G$39</c:f>
              <c:numCache>
                <c:formatCode>General</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963D-4086-A3BD-373A5F9CB888}"/>
            </c:ext>
          </c:extLst>
        </c:ser>
        <c:dLbls>
          <c:showLegendKey val="0"/>
          <c:showVal val="0"/>
          <c:showCatName val="0"/>
          <c:showSerName val="0"/>
          <c:showPercent val="0"/>
          <c:showBubbleSize val="0"/>
        </c:dLbls>
        <c:axId val="395393775"/>
        <c:axId val="395391375"/>
      </c:areaChart>
      <c:catAx>
        <c:axId val="395393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91375"/>
        <c:crosses val="autoZero"/>
        <c:auto val="1"/>
        <c:lblAlgn val="ctr"/>
        <c:lblOffset val="100"/>
        <c:noMultiLvlLbl val="0"/>
      </c:catAx>
      <c:valAx>
        <c:axId val="39539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93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Dataset.xlsx]Prcatice_ans!PivotTable3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Prcatice_ans!$J$8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01-4EB4-9E3A-B6F3BD9483C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01-4EB4-9E3A-B6F3BD9483C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C01-4EB4-9E3A-B6F3BD9483C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C01-4EB4-9E3A-B6F3BD9483C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C01-4EB4-9E3A-B6F3BD9483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Prcatice_ans!$I$9:$I$13</c:f>
              <c:strCache>
                <c:ptCount val="5"/>
                <c:pt idx="0">
                  <c:v>Category01</c:v>
                </c:pt>
                <c:pt idx="1">
                  <c:v>Category02</c:v>
                </c:pt>
                <c:pt idx="2">
                  <c:v>Category03</c:v>
                </c:pt>
                <c:pt idx="3">
                  <c:v>Category04</c:v>
                </c:pt>
                <c:pt idx="4">
                  <c:v>Category05</c:v>
                </c:pt>
              </c:strCache>
            </c:strRef>
          </c:cat>
          <c:val>
            <c:numRef>
              <c:f>Prcatice_ans!$J$9:$J$13</c:f>
              <c:numCache>
                <c:formatCode>General</c:formatCode>
                <c:ptCount val="5"/>
                <c:pt idx="0">
                  <c:v>68680.31</c:v>
                </c:pt>
                <c:pt idx="1">
                  <c:v>92963.87</c:v>
                </c:pt>
                <c:pt idx="2">
                  <c:v>52881.149999999994</c:v>
                </c:pt>
                <c:pt idx="3">
                  <c:v>95269.4</c:v>
                </c:pt>
                <c:pt idx="4">
                  <c:v>91617.19</c:v>
                </c:pt>
              </c:numCache>
            </c:numRef>
          </c:val>
          <c:extLst>
            <c:ext xmlns:c16="http://schemas.microsoft.com/office/drawing/2014/chart" uri="{C3380CC4-5D6E-409C-BE32-E72D297353CC}">
              <c16:uniqueId val="{0000000A-EC01-4EB4-9E3A-B6F3BD9483C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9235067-7F94-4F3C-9AE1-E2B94DF312F6}">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Category Wise Sales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Category Wise Sales</a:t>
          </a:r>
        </a:p>
      </cx:txPr>
    </cx:title>
    <cx:plotArea>
      <cx:plotAreaRegion>
        <cx:series layoutId="treemap" uniqueId="{C9235067-7F94-4F3C-9AE1-E2B94DF312F6}">
          <cx:dataLabels pos="inEnd">
            <cx:visibility seriesName="0" categoryName="1" value="1"/>
            <cx:separator>
</cx:separator>
          </cx:dataLabels>
          <cx:dataId val="0"/>
          <cx:layoutPr>
            <cx:parentLabelLayout val="overlapping"/>
          </cx:layoutPr>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plotArea>
      <cx:plotAreaRegion>
        <cx:series layoutId="treemap" uniqueId="{71BE156B-CAC9-4EFA-82F3-079AC1A62034}">
          <cx:tx>
            <cx:txData>
              <cx:f>_xlchart.v1.7</cx:f>
              <cx:v>Sum of Total Selling</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Sheet3!$M$1" lockText="1" noThreeD="1"/>
</file>

<file path=xl/ctrlProps/ctrlProp2.xml><?xml version="1.0" encoding="utf-8"?>
<formControlPr xmlns="http://schemas.microsoft.com/office/spreadsheetml/2009/9/main" objectType="CheckBox" checked="Checked" fmlaLink="Sheet3!$O$1" lockText="1" noThreeD="1"/>
</file>

<file path=xl/ctrlProps/ctrlProp3.xml><?xml version="1.0" encoding="utf-8"?>
<formControlPr xmlns="http://schemas.microsoft.com/office/spreadsheetml/2009/9/main" objectType="CheckBox" checked="Checked" fmlaLink="Sheet3!$N$1" lockText="1" noThreeD="1"/>
</file>

<file path=xl/ctrlProps/ctrlProp4.xml><?xml version="1.0" encoding="utf-8"?>
<formControlPr xmlns="http://schemas.microsoft.com/office/spreadsheetml/2009/9/main" objectType="Scroll" dx="26" fmlaLink="Sheet3!$Z$2" max="100"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6.xml"/><Relationship Id="rId7" Type="http://schemas.openxmlformats.org/officeDocument/2006/relationships/chart" Target="../charts/chart9.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6.svg"/><Relationship Id="rId5" Type="http://schemas.microsoft.com/office/2014/relationships/chartEx" Target="../charts/chartEx2.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7.xml"/><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microsoft.com/office/2014/relationships/chartEx" Target="../charts/chartEx3.xml"/><Relationship Id="rId1" Type="http://schemas.openxmlformats.org/officeDocument/2006/relationships/chart" Target="../charts/chart10.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182880</xdr:colOff>
      <xdr:row>5</xdr:row>
      <xdr:rowOff>83821</xdr:rowOff>
    </xdr:from>
    <xdr:to>
      <xdr:col>3</xdr:col>
      <xdr:colOff>752321</xdr:colOff>
      <xdr:row>12</xdr:row>
      <xdr:rowOff>53341</xdr:rowOff>
    </xdr:to>
    <mc:AlternateContent xmlns:mc="http://schemas.openxmlformats.org/markup-compatibility/2006" xmlns:a14="http://schemas.microsoft.com/office/drawing/2010/main">
      <mc:Choice Requires="a14">
        <xdr:graphicFrame macro="">
          <xdr:nvGraphicFramePr>
            <xdr:cNvPr id="2" name="SALE TYP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2269309" y="990964"/>
              <a:ext cx="1177226" cy="123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5</xdr:row>
      <xdr:rowOff>83821</xdr:rowOff>
    </xdr:from>
    <xdr:to>
      <xdr:col>4</xdr:col>
      <xdr:colOff>1051560</xdr:colOff>
      <xdr:row>12</xdr:row>
      <xdr:rowOff>60961</xdr:rowOff>
    </xdr:to>
    <mc:AlternateContent xmlns:mc="http://schemas.openxmlformats.org/markup-compatibility/2006" xmlns:a14="http://schemas.microsoft.com/office/drawing/2010/main">
      <mc:Choice Requires="a14">
        <xdr:graphicFrame macro="">
          <xdr:nvGraphicFramePr>
            <xdr:cNvPr id="3" name="PAYMENT MODE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919220" y="990964"/>
              <a:ext cx="815340" cy="1247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1143000</xdr:colOff>
      <xdr:row>5</xdr:row>
      <xdr:rowOff>91440</xdr:rowOff>
    </xdr:from>
    <xdr:to>
      <xdr:col>5</xdr:col>
      <xdr:colOff>757697</xdr:colOff>
      <xdr:row>21</xdr:row>
      <xdr:rowOff>129540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826000" y="998583"/>
              <a:ext cx="972820" cy="2940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891540</xdr:colOff>
      <xdr:row>5</xdr:row>
      <xdr:rowOff>99061</xdr:rowOff>
    </xdr:from>
    <xdr:to>
      <xdr:col>6</xdr:col>
      <xdr:colOff>462954</xdr:colOff>
      <xdr:row>10</xdr:row>
      <xdr:rowOff>83821</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844540" y="1006204"/>
              <a:ext cx="880291" cy="891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36</xdr:row>
      <xdr:rowOff>32745</xdr:rowOff>
    </xdr:from>
    <xdr:to>
      <xdr:col>4</xdr:col>
      <xdr:colOff>1273569</xdr:colOff>
      <xdr:row>51</xdr:row>
      <xdr:rowOff>32745</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937054</xdr:colOff>
      <xdr:row>25</xdr:row>
      <xdr:rowOff>13386</xdr:rowOff>
    </xdr:from>
    <xdr:to>
      <xdr:col>14</xdr:col>
      <xdr:colOff>257432</xdr:colOff>
      <xdr:row>39</xdr:row>
      <xdr:rowOff>161667</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586740</xdr:colOff>
          <xdr:row>19</xdr:row>
          <xdr:rowOff>167640</xdr:rowOff>
        </xdr:from>
        <xdr:to>
          <xdr:col>8</xdr:col>
          <xdr:colOff>1173480</xdr:colOff>
          <xdr:row>21</xdr:row>
          <xdr:rowOff>83820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45720</xdr:colOff>
          <xdr:row>19</xdr:row>
          <xdr:rowOff>144780</xdr:rowOff>
        </xdr:from>
        <xdr:to>
          <xdr:col>11</xdr:col>
          <xdr:colOff>22860</xdr:colOff>
          <xdr:row>21</xdr:row>
          <xdr:rowOff>60960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373380</xdr:colOff>
          <xdr:row>19</xdr:row>
          <xdr:rowOff>160020</xdr:rowOff>
        </xdr:from>
        <xdr:to>
          <xdr:col>9</xdr:col>
          <xdr:colOff>967740</xdr:colOff>
          <xdr:row>21</xdr:row>
          <xdr:rowOff>76200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24</xdr:col>
      <xdr:colOff>585717</xdr:colOff>
      <xdr:row>15</xdr:row>
      <xdr:rowOff>50043</xdr:rowOff>
    </xdr:from>
    <xdr:to>
      <xdr:col>31</xdr:col>
      <xdr:colOff>317501</xdr:colOff>
      <xdr:row>30</xdr:row>
      <xdr:rowOff>63691</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24</xdr:col>
          <xdr:colOff>304800</xdr:colOff>
          <xdr:row>15</xdr:row>
          <xdr:rowOff>106680</xdr:rowOff>
        </xdr:from>
        <xdr:to>
          <xdr:col>24</xdr:col>
          <xdr:colOff>571500</xdr:colOff>
          <xdr:row>30</xdr:row>
          <xdr:rowOff>129540</xdr:rowOff>
        </xdr:to>
        <xdr:sp macro="" textlink="">
          <xdr:nvSpPr>
            <xdr:cNvPr id="3077" name="Scroll Bar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32</xdr:col>
      <xdr:colOff>235858</xdr:colOff>
      <xdr:row>15</xdr:row>
      <xdr:rowOff>70756</xdr:rowOff>
    </xdr:from>
    <xdr:to>
      <xdr:col>37</xdr:col>
      <xdr:colOff>544286</xdr:colOff>
      <xdr:row>30</xdr:row>
      <xdr:rowOff>92528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570578" y="2813956"/>
              <a:ext cx="4385128" cy="27649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417285</xdr:colOff>
      <xdr:row>13</xdr:row>
      <xdr:rowOff>161472</xdr:rowOff>
    </xdr:from>
    <xdr:to>
      <xdr:col>41</xdr:col>
      <xdr:colOff>1115785</xdr:colOff>
      <xdr:row>30</xdr:row>
      <xdr:rowOff>90714</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1161143</xdr:colOff>
      <xdr:row>14</xdr:row>
      <xdr:rowOff>61686</xdr:rowOff>
    </xdr:from>
    <xdr:to>
      <xdr:col>45</xdr:col>
      <xdr:colOff>63501</xdr:colOff>
      <xdr:row>25</xdr:row>
      <xdr:rowOff>127000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21</xdr:col>
      <xdr:colOff>0</xdr:colOff>
      <xdr:row>40</xdr:row>
      <xdr:rowOff>91440</xdr:rowOff>
    </xdr:to>
    <xdr:sp macro="" textlink="">
      <xdr:nvSpPr>
        <xdr:cNvPr id="21" name="Rectangle 20">
          <a:extLst>
            <a:ext uri="{FF2B5EF4-FFF2-40B4-BE49-F238E27FC236}">
              <a16:creationId xmlns:a16="http://schemas.microsoft.com/office/drawing/2014/main" id="{00000000-0008-0000-0600-000015000000}"/>
            </a:ext>
          </a:extLst>
        </xdr:cNvPr>
        <xdr:cNvSpPr/>
      </xdr:nvSpPr>
      <xdr:spPr>
        <a:xfrm>
          <a:off x="609600" y="548640"/>
          <a:ext cx="12192000" cy="6858000"/>
        </a:xfrm>
        <a:prstGeom prst="rect">
          <a:avLst/>
        </a:prstGeom>
      </xdr:spPr>
      <xdr:style>
        <a:lnRef idx="1">
          <a:schemeClr val="accent6"/>
        </a:lnRef>
        <a:fillRef idx="2">
          <a:schemeClr val="accent6"/>
        </a:fillRef>
        <a:effectRef idx="1">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18</xdr:col>
      <xdr:colOff>261804</xdr:colOff>
      <xdr:row>10</xdr:row>
      <xdr:rowOff>6062</xdr:rowOff>
    </xdr:from>
    <xdr:to>
      <xdr:col>20</xdr:col>
      <xdr:colOff>483764</xdr:colOff>
      <xdr:row>11</xdr:row>
      <xdr:rowOff>46188</xdr:rowOff>
    </xdr:to>
    <xdr:sp macro="" textlink="">
      <xdr:nvSpPr>
        <xdr:cNvPr id="2" name="Trapezoid 1">
          <a:extLst>
            <a:ext uri="{FF2B5EF4-FFF2-40B4-BE49-F238E27FC236}">
              <a16:creationId xmlns:a16="http://schemas.microsoft.com/office/drawing/2014/main" id="{00000000-0008-0000-0600-000002000000}"/>
            </a:ext>
          </a:extLst>
        </xdr:cNvPr>
        <xdr:cNvSpPr/>
      </xdr:nvSpPr>
      <xdr:spPr>
        <a:xfrm>
          <a:off x="11194847" y="1883453"/>
          <a:ext cx="1436743" cy="227865"/>
        </a:xfrm>
        <a:prstGeom prst="trapezoid">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580587</xdr:colOff>
      <xdr:row>10</xdr:row>
      <xdr:rowOff>48444</xdr:rowOff>
    </xdr:from>
    <xdr:to>
      <xdr:col>18</xdr:col>
      <xdr:colOff>192948</xdr:colOff>
      <xdr:row>11</xdr:row>
      <xdr:rowOff>65246</xdr:rowOff>
    </xdr:to>
    <xdr:sp macro="" textlink="">
      <xdr:nvSpPr>
        <xdr:cNvPr id="3" name="Trapezoid 2">
          <a:extLst>
            <a:ext uri="{FF2B5EF4-FFF2-40B4-BE49-F238E27FC236}">
              <a16:creationId xmlns:a16="http://schemas.microsoft.com/office/drawing/2014/main" id="{00000000-0008-0000-0600-000003000000}"/>
            </a:ext>
          </a:extLst>
        </xdr:cNvPr>
        <xdr:cNvSpPr/>
      </xdr:nvSpPr>
      <xdr:spPr>
        <a:xfrm>
          <a:off x="9724587" y="1877244"/>
          <a:ext cx="1441161" cy="199682"/>
        </a:xfrm>
        <a:prstGeom prst="trapezoid">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67111</xdr:colOff>
      <xdr:row>3</xdr:row>
      <xdr:rowOff>0</xdr:rowOff>
    </xdr:from>
    <xdr:to>
      <xdr:col>8</xdr:col>
      <xdr:colOff>44739</xdr:colOff>
      <xdr:row>8</xdr:row>
      <xdr:rowOff>92279</xdr:rowOff>
    </xdr:to>
    <xdr:sp macro="" textlink="">
      <xdr:nvSpPr>
        <xdr:cNvPr id="4" name="Rectangle: Rounded Corners 3">
          <a:extLst>
            <a:ext uri="{FF2B5EF4-FFF2-40B4-BE49-F238E27FC236}">
              <a16:creationId xmlns:a16="http://schemas.microsoft.com/office/drawing/2014/main" id="{00000000-0008-0000-0600-000004000000}"/>
            </a:ext>
          </a:extLst>
        </xdr:cNvPr>
        <xdr:cNvSpPr/>
      </xdr:nvSpPr>
      <xdr:spPr>
        <a:xfrm>
          <a:off x="676711" y="548640"/>
          <a:ext cx="4244828" cy="10066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3200" b="1"/>
            <a:t>         </a:t>
          </a:r>
          <a:r>
            <a:rPr lang="en-IN" sz="3600" b="1"/>
            <a:t>Sales</a:t>
          </a:r>
          <a:r>
            <a:rPr lang="en-IN" sz="3200" b="1"/>
            <a:t> </a:t>
          </a:r>
          <a:r>
            <a:rPr lang="en-IN" sz="3600" b="1"/>
            <a:t>Dashboard</a:t>
          </a:r>
          <a:endParaRPr lang="en-IN" sz="3200" b="1"/>
        </a:p>
      </xdr:txBody>
    </xdr:sp>
    <xdr:clientData/>
  </xdr:twoCellAnchor>
  <xdr:twoCellAnchor>
    <xdr:from>
      <xdr:col>1</xdr:col>
      <xdr:colOff>0</xdr:colOff>
      <xdr:row>9</xdr:row>
      <xdr:rowOff>93959</xdr:rowOff>
    </xdr:from>
    <xdr:to>
      <xdr:col>3</xdr:col>
      <xdr:colOff>181760</xdr:colOff>
      <xdr:row>17</xdr:row>
      <xdr:rowOff>31879</xdr:rowOff>
    </xdr:to>
    <xdr:sp macro="" textlink="">
      <xdr:nvSpPr>
        <xdr:cNvPr id="5" name="Rectangle: Rounded Corners 4">
          <a:extLst>
            <a:ext uri="{FF2B5EF4-FFF2-40B4-BE49-F238E27FC236}">
              <a16:creationId xmlns:a16="http://schemas.microsoft.com/office/drawing/2014/main" id="{00000000-0008-0000-0600-000005000000}"/>
            </a:ext>
          </a:extLst>
        </xdr:cNvPr>
        <xdr:cNvSpPr/>
      </xdr:nvSpPr>
      <xdr:spPr>
        <a:xfrm>
          <a:off x="609600" y="1739879"/>
          <a:ext cx="1400960" cy="1400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130029</xdr:colOff>
      <xdr:row>3</xdr:row>
      <xdr:rowOff>8389</xdr:rowOff>
    </xdr:from>
    <xdr:to>
      <xdr:col>20</xdr:col>
      <xdr:colOff>357926</xdr:colOff>
      <xdr:row>8</xdr:row>
      <xdr:rowOff>83892</xdr:rowOff>
    </xdr:to>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a:off x="5006829" y="557029"/>
          <a:ext cx="7543097" cy="9899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0</xdr:colOff>
      <xdr:row>17</xdr:row>
      <xdr:rowOff>170299</xdr:rowOff>
    </xdr:from>
    <xdr:to>
      <xdr:col>3</xdr:col>
      <xdr:colOff>181760</xdr:colOff>
      <xdr:row>35</xdr:row>
      <xdr:rowOff>129190</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609600" y="3279259"/>
          <a:ext cx="1400960" cy="32507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67111</xdr:colOff>
      <xdr:row>36</xdr:row>
      <xdr:rowOff>84731</xdr:rowOff>
    </xdr:from>
    <xdr:to>
      <xdr:col>3</xdr:col>
      <xdr:colOff>248871</xdr:colOff>
      <xdr:row>39</xdr:row>
      <xdr:rowOff>131709</xdr:rowOff>
    </xdr:to>
    <xdr:sp macro="" textlink="">
      <xdr:nvSpPr>
        <xdr:cNvPr id="8" name="Oval 7">
          <a:extLst>
            <a:ext uri="{FF2B5EF4-FFF2-40B4-BE49-F238E27FC236}">
              <a16:creationId xmlns:a16="http://schemas.microsoft.com/office/drawing/2014/main" id="{00000000-0008-0000-0600-000008000000}"/>
            </a:ext>
          </a:extLst>
        </xdr:cNvPr>
        <xdr:cNvSpPr/>
      </xdr:nvSpPr>
      <xdr:spPr>
        <a:xfrm>
          <a:off x="676711" y="6668411"/>
          <a:ext cx="1400960" cy="59561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324373</xdr:colOff>
      <xdr:row>15</xdr:row>
      <xdr:rowOff>16465</xdr:rowOff>
    </xdr:from>
    <xdr:to>
      <xdr:col>9</xdr:col>
      <xdr:colOff>64313</xdr:colOff>
      <xdr:row>26</xdr:row>
      <xdr:rowOff>130869</xdr:rowOff>
    </xdr:to>
    <xdr:sp macro="" textlink="">
      <xdr:nvSpPr>
        <xdr:cNvPr id="9" name="Rectangle 8">
          <a:extLst>
            <a:ext uri="{FF2B5EF4-FFF2-40B4-BE49-F238E27FC236}">
              <a16:creationId xmlns:a16="http://schemas.microsoft.com/office/drawing/2014/main" id="{00000000-0008-0000-0600-000009000000}"/>
            </a:ext>
          </a:extLst>
        </xdr:cNvPr>
        <xdr:cNvSpPr/>
      </xdr:nvSpPr>
      <xdr:spPr>
        <a:xfrm>
          <a:off x="2153173" y="2759665"/>
          <a:ext cx="3397540" cy="21260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391485</xdr:colOff>
      <xdr:row>27</xdr:row>
      <xdr:rowOff>115770</xdr:rowOff>
    </xdr:from>
    <xdr:to>
      <xdr:col>10</xdr:col>
      <xdr:colOff>578839</xdr:colOff>
      <xdr:row>38</xdr:row>
      <xdr:rowOff>167782</xdr:rowOff>
    </xdr:to>
    <xdr:sp macro="" textlink="">
      <xdr:nvSpPr>
        <xdr:cNvPr id="10" name="Rectangle 9">
          <a:extLst>
            <a:ext uri="{FF2B5EF4-FFF2-40B4-BE49-F238E27FC236}">
              <a16:creationId xmlns:a16="http://schemas.microsoft.com/office/drawing/2014/main" id="{00000000-0008-0000-0600-00000A000000}"/>
            </a:ext>
          </a:extLst>
        </xdr:cNvPr>
        <xdr:cNvSpPr/>
      </xdr:nvSpPr>
      <xdr:spPr>
        <a:xfrm>
          <a:off x="2220285" y="5053530"/>
          <a:ext cx="4454554" cy="20636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111854</xdr:colOff>
      <xdr:row>27</xdr:row>
      <xdr:rowOff>115770</xdr:rowOff>
    </xdr:from>
    <xdr:to>
      <xdr:col>15</xdr:col>
      <xdr:colOff>542487</xdr:colOff>
      <xdr:row>38</xdr:row>
      <xdr:rowOff>167781</xdr:rowOff>
    </xdr:to>
    <xdr:sp macro="" textlink="">
      <xdr:nvSpPr>
        <xdr:cNvPr id="11" name="Rectangle 10">
          <a:extLst>
            <a:ext uri="{FF2B5EF4-FFF2-40B4-BE49-F238E27FC236}">
              <a16:creationId xmlns:a16="http://schemas.microsoft.com/office/drawing/2014/main" id="{00000000-0008-0000-0600-00000B000000}"/>
            </a:ext>
          </a:extLst>
        </xdr:cNvPr>
        <xdr:cNvSpPr/>
      </xdr:nvSpPr>
      <xdr:spPr>
        <a:xfrm>
          <a:off x="6817454" y="5053530"/>
          <a:ext cx="2869033" cy="206369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75500</xdr:colOff>
      <xdr:row>20</xdr:row>
      <xdr:rowOff>11745</xdr:rowOff>
    </xdr:from>
    <xdr:to>
      <xdr:col>20</xdr:col>
      <xdr:colOff>357926</xdr:colOff>
      <xdr:row>38</xdr:row>
      <xdr:rowOff>100668</xdr:rowOff>
    </xdr:to>
    <xdr:sp macro="" textlink="">
      <xdr:nvSpPr>
        <xdr:cNvPr id="12" name="Rectangle 11">
          <a:extLst>
            <a:ext uri="{FF2B5EF4-FFF2-40B4-BE49-F238E27FC236}">
              <a16:creationId xmlns:a16="http://schemas.microsoft.com/office/drawing/2014/main" id="{00000000-0008-0000-0600-00000C000000}"/>
            </a:ext>
          </a:extLst>
        </xdr:cNvPr>
        <xdr:cNvSpPr/>
      </xdr:nvSpPr>
      <xdr:spPr>
        <a:xfrm>
          <a:off x="9829100" y="3669345"/>
          <a:ext cx="2720826" cy="33807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206926</xdr:colOff>
      <xdr:row>14</xdr:row>
      <xdr:rowOff>142726</xdr:rowOff>
    </xdr:from>
    <xdr:to>
      <xdr:col>15</xdr:col>
      <xdr:colOff>542487</xdr:colOff>
      <xdr:row>26</xdr:row>
      <xdr:rowOff>130869</xdr:rowOff>
    </xdr:to>
    <xdr:sp macro="" textlink="">
      <xdr:nvSpPr>
        <xdr:cNvPr id="13" name="Rectangle 12">
          <a:extLst>
            <a:ext uri="{FF2B5EF4-FFF2-40B4-BE49-F238E27FC236}">
              <a16:creationId xmlns:a16="http://schemas.microsoft.com/office/drawing/2014/main" id="{00000000-0008-0000-0600-00000D000000}"/>
            </a:ext>
          </a:extLst>
        </xdr:cNvPr>
        <xdr:cNvSpPr/>
      </xdr:nvSpPr>
      <xdr:spPr>
        <a:xfrm>
          <a:off x="5693326" y="2703046"/>
          <a:ext cx="3993161" cy="21827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248871</xdr:colOff>
      <xdr:row>9</xdr:row>
      <xdr:rowOff>68793</xdr:rowOff>
    </xdr:from>
    <xdr:to>
      <xdr:col>7</xdr:col>
      <xdr:colOff>25166</xdr:colOff>
      <xdr:row>14</xdr:row>
      <xdr:rowOff>123845</xdr:rowOff>
    </xdr:to>
    <xdr:sp macro="" textlink="Sheet3!E24">
      <xdr:nvSpPr>
        <xdr:cNvPr id="14" name="Rectangle: Rounded Corners 13">
          <a:extLst>
            <a:ext uri="{FF2B5EF4-FFF2-40B4-BE49-F238E27FC236}">
              <a16:creationId xmlns:a16="http://schemas.microsoft.com/office/drawing/2014/main" id="{00000000-0008-0000-0600-00000E000000}"/>
            </a:ext>
          </a:extLst>
        </xdr:cNvPr>
        <xdr:cNvSpPr/>
      </xdr:nvSpPr>
      <xdr:spPr>
        <a:xfrm>
          <a:off x="2085486" y="1710024"/>
          <a:ext cx="2225116" cy="9668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800" b="1" i="0" u="none" strike="noStrike">
              <a:solidFill>
                <a:schemeClr val="accent4"/>
              </a:solidFill>
              <a:latin typeface="Calibri"/>
              <a:ea typeface="Calibri"/>
              <a:cs typeface="Calibri"/>
            </a:rPr>
            <a:t>Total sales</a:t>
          </a:r>
        </a:p>
        <a:p>
          <a:pPr algn="l"/>
          <a:fld id="{15495DB8-BE0B-4090-8A0A-2F57174CE005}" type="TxLink">
            <a:rPr lang="en-US" sz="1800" b="1" i="0" u="none" strike="noStrike">
              <a:solidFill>
                <a:schemeClr val="bg1"/>
              </a:solidFill>
              <a:latin typeface="Calibri"/>
              <a:ea typeface="Calibri"/>
              <a:cs typeface="Calibri"/>
            </a:rPr>
            <a:pPr algn="l"/>
            <a:t>401412</a:t>
          </a:fld>
          <a:endParaRPr lang="en-IN" sz="3200" b="1">
            <a:solidFill>
              <a:schemeClr val="bg1"/>
            </a:solidFill>
          </a:endParaRPr>
        </a:p>
      </xdr:txBody>
    </xdr:sp>
    <xdr:clientData/>
  </xdr:twoCellAnchor>
  <xdr:twoCellAnchor>
    <xdr:from>
      <xdr:col>7</xdr:col>
      <xdr:colOff>187615</xdr:colOff>
      <xdr:row>9</xdr:row>
      <xdr:rowOff>56887</xdr:rowOff>
    </xdr:from>
    <xdr:to>
      <xdr:col>11</xdr:col>
      <xdr:colOff>102328</xdr:colOff>
      <xdr:row>14</xdr:row>
      <xdr:rowOff>19659</xdr:rowOff>
    </xdr:to>
    <xdr:sp macro="" textlink="Sheet3!E25">
      <xdr:nvSpPr>
        <xdr:cNvPr id="15" name="Rectangle: Rounded Corners 14">
          <a:extLst>
            <a:ext uri="{FF2B5EF4-FFF2-40B4-BE49-F238E27FC236}">
              <a16:creationId xmlns:a16="http://schemas.microsoft.com/office/drawing/2014/main" id="{00000000-0008-0000-0600-00000F000000}"/>
            </a:ext>
          </a:extLst>
        </xdr:cNvPr>
        <xdr:cNvSpPr/>
      </xdr:nvSpPr>
      <xdr:spPr>
        <a:xfrm>
          <a:off x="4473051" y="1698118"/>
          <a:ext cx="2363533" cy="8745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2000" b="1" i="0" u="none" strike="noStrike">
              <a:solidFill>
                <a:schemeClr val="accent4"/>
              </a:solidFill>
              <a:latin typeface="Calibri"/>
              <a:ea typeface="Calibri"/>
              <a:cs typeface="Calibri"/>
            </a:rPr>
            <a:t>Total profit</a:t>
          </a:r>
        </a:p>
        <a:p>
          <a:pPr algn="l"/>
          <a:fld id="{F7C00A6E-9CD3-4046-9C0F-2FF71E5CBEC3}" type="TxLink">
            <a:rPr lang="en-US" sz="2000" b="1" i="0" u="none" strike="noStrike">
              <a:solidFill>
                <a:schemeClr val="bg1"/>
              </a:solidFill>
              <a:latin typeface="Calibri"/>
              <a:ea typeface="Calibri"/>
              <a:cs typeface="Calibri"/>
            </a:rPr>
            <a:pPr algn="l"/>
            <a:t>68908</a:t>
          </a:fld>
          <a:endParaRPr lang="en-IN" sz="5400" b="1">
            <a:solidFill>
              <a:schemeClr val="bg1"/>
            </a:solidFill>
          </a:endParaRPr>
        </a:p>
      </xdr:txBody>
    </xdr:sp>
    <xdr:clientData/>
  </xdr:twoCellAnchor>
  <xdr:twoCellAnchor>
    <xdr:from>
      <xdr:col>11</xdr:col>
      <xdr:colOff>230656</xdr:colOff>
      <xdr:row>9</xdr:row>
      <xdr:rowOff>58061</xdr:rowOff>
    </xdr:from>
    <xdr:to>
      <xdr:col>15</xdr:col>
      <xdr:colOff>350898</xdr:colOff>
      <xdr:row>14</xdr:row>
      <xdr:rowOff>20833</xdr:rowOff>
    </xdr:to>
    <xdr:sp macro="" textlink="Sheet3!E26">
      <xdr:nvSpPr>
        <xdr:cNvPr id="16" name="Rectangle: Rounded Corners 15">
          <a:extLst>
            <a:ext uri="{FF2B5EF4-FFF2-40B4-BE49-F238E27FC236}">
              <a16:creationId xmlns:a16="http://schemas.microsoft.com/office/drawing/2014/main" id="{00000000-0008-0000-0600-000010000000}"/>
            </a:ext>
          </a:extLst>
        </xdr:cNvPr>
        <xdr:cNvSpPr/>
      </xdr:nvSpPr>
      <xdr:spPr>
        <a:xfrm>
          <a:off x="6936256" y="1690918"/>
          <a:ext cx="2558642" cy="8699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2800" b="1" i="0" u="none" strike="noStrike">
              <a:solidFill>
                <a:schemeClr val="accent4"/>
              </a:solidFill>
              <a:latin typeface="Calibri"/>
              <a:ea typeface="Calibri"/>
              <a:cs typeface="Calibri"/>
            </a:rPr>
            <a:t>Profit</a:t>
          </a:r>
        </a:p>
        <a:p>
          <a:pPr algn="l"/>
          <a:fld id="{E61D5267-7486-48DC-84ED-842E7F96AE16}" type="TxLink">
            <a:rPr lang="en-US" sz="2800" b="1" i="0" u="none" strike="noStrike">
              <a:solidFill>
                <a:schemeClr val="bg1"/>
              </a:solidFill>
              <a:latin typeface="Calibri"/>
              <a:ea typeface="Calibri"/>
              <a:cs typeface="Calibri"/>
            </a:rPr>
            <a:pPr algn="l"/>
            <a:t>21%</a:t>
          </a:fld>
          <a:endParaRPr lang="en-IN" sz="4400" b="1">
            <a:solidFill>
              <a:schemeClr val="bg1"/>
            </a:solidFill>
          </a:endParaRPr>
        </a:p>
      </xdr:txBody>
    </xdr:sp>
    <xdr:clientData/>
  </xdr:twoCellAnchor>
  <xdr:twoCellAnchor>
    <xdr:from>
      <xdr:col>16</xdr:col>
      <xdr:colOff>139813</xdr:colOff>
      <xdr:row>10</xdr:row>
      <xdr:rowOff>43552</xdr:rowOff>
    </xdr:from>
    <xdr:to>
      <xdr:col>18</xdr:col>
      <xdr:colOff>64313</xdr:colOff>
      <xdr:row>19</xdr:row>
      <xdr:rowOff>75431</xdr:rowOff>
    </xdr:to>
    <xdr:sp macro="" textlink="">
      <xdr:nvSpPr>
        <xdr:cNvPr id="17" name="Flowchart: Off-page Connector 16">
          <a:extLst>
            <a:ext uri="{FF2B5EF4-FFF2-40B4-BE49-F238E27FC236}">
              <a16:creationId xmlns:a16="http://schemas.microsoft.com/office/drawing/2014/main" id="{00000000-0008-0000-0600-000011000000}"/>
            </a:ext>
          </a:extLst>
        </xdr:cNvPr>
        <xdr:cNvSpPr/>
      </xdr:nvSpPr>
      <xdr:spPr>
        <a:xfrm>
          <a:off x="9893413" y="1872352"/>
          <a:ext cx="1143700" cy="1677799"/>
        </a:xfrm>
        <a:prstGeom prst="flowChartOffpageConnector">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229996</xdr:colOff>
      <xdr:row>10</xdr:row>
      <xdr:rowOff>167638</xdr:rowOff>
    </xdr:from>
    <xdr:to>
      <xdr:col>18</xdr:col>
      <xdr:colOff>2794</xdr:colOff>
      <xdr:row>18</xdr:row>
      <xdr:rowOff>134223</xdr:rowOff>
    </xdr:to>
    <xdr:sp macro="" textlink="">
      <xdr:nvSpPr>
        <xdr:cNvPr id="18" name="Flowchart: Off-page Connector 17">
          <a:extLst>
            <a:ext uri="{FF2B5EF4-FFF2-40B4-BE49-F238E27FC236}">
              <a16:creationId xmlns:a16="http://schemas.microsoft.com/office/drawing/2014/main" id="{00000000-0008-0000-0600-000012000000}"/>
            </a:ext>
          </a:extLst>
        </xdr:cNvPr>
        <xdr:cNvSpPr/>
      </xdr:nvSpPr>
      <xdr:spPr>
        <a:xfrm>
          <a:off x="9983596" y="1996438"/>
          <a:ext cx="991998" cy="1429625"/>
        </a:xfrm>
        <a:prstGeom prst="flowChartOffpageConnector">
          <a:avLst/>
        </a:prstGeom>
        <a:ln w="28575">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433426</xdr:colOff>
      <xdr:row>10</xdr:row>
      <xdr:rowOff>43552</xdr:rowOff>
    </xdr:from>
    <xdr:to>
      <xdr:col>20</xdr:col>
      <xdr:colOff>357926</xdr:colOff>
      <xdr:row>19</xdr:row>
      <xdr:rowOff>75431</xdr:rowOff>
    </xdr:to>
    <xdr:sp macro="" textlink="">
      <xdr:nvSpPr>
        <xdr:cNvPr id="19" name="Flowchart: Off-page Connector 18">
          <a:extLst>
            <a:ext uri="{FF2B5EF4-FFF2-40B4-BE49-F238E27FC236}">
              <a16:creationId xmlns:a16="http://schemas.microsoft.com/office/drawing/2014/main" id="{00000000-0008-0000-0600-000013000000}"/>
            </a:ext>
          </a:extLst>
        </xdr:cNvPr>
        <xdr:cNvSpPr/>
      </xdr:nvSpPr>
      <xdr:spPr>
        <a:xfrm>
          <a:off x="11406226" y="1872352"/>
          <a:ext cx="1143700" cy="1677799"/>
        </a:xfrm>
        <a:prstGeom prst="flowChartOffpageConnector">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520118</xdr:colOff>
      <xdr:row>10</xdr:row>
      <xdr:rowOff>150695</xdr:rowOff>
    </xdr:from>
    <xdr:to>
      <xdr:col>20</xdr:col>
      <xdr:colOff>292916</xdr:colOff>
      <xdr:row>18</xdr:row>
      <xdr:rowOff>117280</xdr:rowOff>
    </xdr:to>
    <xdr:sp macro="" textlink="">
      <xdr:nvSpPr>
        <xdr:cNvPr id="20" name="Flowchart: Off-page Connector 19">
          <a:extLst>
            <a:ext uri="{FF2B5EF4-FFF2-40B4-BE49-F238E27FC236}">
              <a16:creationId xmlns:a16="http://schemas.microsoft.com/office/drawing/2014/main" id="{00000000-0008-0000-0600-000014000000}"/>
            </a:ext>
          </a:extLst>
        </xdr:cNvPr>
        <xdr:cNvSpPr/>
      </xdr:nvSpPr>
      <xdr:spPr>
        <a:xfrm>
          <a:off x="11492918" y="1979495"/>
          <a:ext cx="991998" cy="1429625"/>
        </a:xfrm>
        <a:prstGeom prst="flowChartOffpageConnector">
          <a:avLst/>
        </a:prstGeom>
        <a:ln w="28575">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xdr:col>
      <xdr:colOff>190500</xdr:colOff>
      <xdr:row>4</xdr:row>
      <xdr:rowOff>11906</xdr:rowOff>
    </xdr:from>
    <xdr:to>
      <xdr:col>2</xdr:col>
      <xdr:colOff>307181</xdr:colOff>
      <xdr:row>8</xdr:row>
      <xdr:rowOff>21431</xdr:rowOff>
    </xdr:to>
    <xdr:pic>
      <xdr:nvPicPr>
        <xdr:cNvPr id="23" name="Graphic 22" descr="Presentation with bar chart with solid fill">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97719" y="726281"/>
          <a:ext cx="723900" cy="723900"/>
        </a:xfrm>
        <a:prstGeom prst="rect">
          <a:avLst/>
        </a:prstGeom>
      </xdr:spPr>
    </xdr:pic>
    <xdr:clientData/>
  </xdr:twoCellAnchor>
  <xdr:twoCellAnchor>
    <xdr:from>
      <xdr:col>3</xdr:col>
      <xdr:colOff>535782</xdr:colOff>
      <xdr:row>28</xdr:row>
      <xdr:rowOff>71437</xdr:rowOff>
    </xdr:from>
    <xdr:to>
      <xdr:col>10</xdr:col>
      <xdr:colOff>523875</xdr:colOff>
      <xdr:row>38</xdr:row>
      <xdr:rowOff>71436</xdr:rowOff>
    </xdr:to>
    <xdr:graphicFrame macro="">
      <xdr:nvGraphicFramePr>
        <xdr:cNvPr id="24" name="Chart 23">
          <a:extLst>
            <a:ext uri="{FF2B5EF4-FFF2-40B4-BE49-F238E27FC236}">
              <a16:creationId xmlns:a16="http://schemas.microsoft.com/office/drawing/2014/main" id="{00000000-0008-0000-06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464344</xdr:colOff>
      <xdr:row>15</xdr:row>
      <xdr:rowOff>80760</xdr:rowOff>
    </xdr:from>
    <xdr:to>
      <xdr:col>9</xdr:col>
      <xdr:colOff>35719</xdr:colOff>
      <xdr:row>26</xdr:row>
      <xdr:rowOff>11906</xdr:rowOff>
    </xdr:to>
    <xdr:graphicFrame macro="">
      <xdr:nvGraphicFramePr>
        <xdr:cNvPr id="25" name="Chart 24">
          <a:extLst>
            <a:ext uri="{FF2B5EF4-FFF2-40B4-BE49-F238E27FC236}">
              <a16:creationId xmlns:a16="http://schemas.microsoft.com/office/drawing/2014/main" id="{00000000-0008-0000-06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113600</xdr:colOff>
      <xdr:row>20</xdr:row>
      <xdr:rowOff>97470</xdr:rowOff>
    </xdr:from>
    <xdr:to>
      <xdr:col>20</xdr:col>
      <xdr:colOff>273844</xdr:colOff>
      <xdr:row>38</xdr:row>
      <xdr:rowOff>23812</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867200" y="3755070"/>
              <a:ext cx="2598644" cy="32181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228357</xdr:colOff>
      <xdr:row>15</xdr:row>
      <xdr:rowOff>24140</xdr:rowOff>
    </xdr:from>
    <xdr:to>
      <xdr:col>16</xdr:col>
      <xdr:colOff>0</xdr:colOff>
      <xdr:row>26</xdr:row>
      <xdr:rowOff>23812</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450273</xdr:colOff>
      <xdr:row>27</xdr:row>
      <xdr:rowOff>150092</xdr:rowOff>
    </xdr:from>
    <xdr:to>
      <xdr:col>16</xdr:col>
      <xdr:colOff>190500</xdr:colOff>
      <xdr:row>39</xdr:row>
      <xdr:rowOff>47626</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2380</xdr:colOff>
      <xdr:row>18</xdr:row>
      <xdr:rowOff>64571</xdr:rowOff>
    </xdr:from>
    <xdr:to>
      <xdr:col>3</xdr:col>
      <xdr:colOff>47624</xdr:colOff>
      <xdr:row>34</xdr:row>
      <xdr:rowOff>148028</xdr:rowOff>
    </xdr:to>
    <mc:AlternateContent xmlns:mc="http://schemas.openxmlformats.org/markup-compatibility/2006" xmlns:a14="http://schemas.microsoft.com/office/drawing/2010/main">
      <mc:Choice Requires="a14">
        <xdr:graphicFrame macro="">
          <xdr:nvGraphicFramePr>
            <xdr:cNvPr id="32" name="Month 2">
              <a:extLst>
                <a:ext uri="{FF2B5EF4-FFF2-40B4-BE49-F238E27FC236}">
                  <a16:creationId xmlns:a16="http://schemas.microsoft.com/office/drawing/2014/main" id="{00000000-0008-0000-0600-000020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09599" y="3279259"/>
              <a:ext cx="1259681" cy="2940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192881</xdr:colOff>
      <xdr:row>10</xdr:row>
      <xdr:rowOff>52665</xdr:rowOff>
    </xdr:from>
    <xdr:to>
      <xdr:col>3</xdr:col>
      <xdr:colOff>11907</xdr:colOff>
      <xdr:row>15</xdr:row>
      <xdr:rowOff>166688</xdr:rowOff>
    </xdr:to>
    <mc:AlternateContent xmlns:mc="http://schemas.openxmlformats.org/markup-compatibility/2006" xmlns:a14="http://schemas.microsoft.com/office/drawing/2010/main">
      <mc:Choice Requires="a14">
        <xdr:graphicFrame macro="">
          <xdr:nvGraphicFramePr>
            <xdr:cNvPr id="33" name="Year 2">
              <a:extLst>
                <a:ext uri="{FF2B5EF4-FFF2-40B4-BE49-F238E27FC236}">
                  <a16:creationId xmlns:a16="http://schemas.microsoft.com/office/drawing/2014/main" id="{00000000-0008-0000-0600-000021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00100" y="1838603"/>
              <a:ext cx="1033463" cy="1006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263110</xdr:colOff>
      <xdr:row>3</xdr:row>
      <xdr:rowOff>63339</xdr:rowOff>
    </xdr:from>
    <xdr:to>
      <xdr:col>19</xdr:col>
      <xdr:colOff>203915</xdr:colOff>
      <xdr:row>8</xdr:row>
      <xdr:rowOff>32197</xdr:rowOff>
    </xdr:to>
    <mc:AlternateContent xmlns:mc="http://schemas.openxmlformats.org/markup-compatibility/2006" xmlns:a14="http://schemas.microsoft.com/office/drawing/2010/main">
      <mc:Choice Requires="a14">
        <xdr:graphicFrame macro="">
          <xdr:nvGraphicFramePr>
            <xdr:cNvPr id="22" name="PAYMENT MODE 2">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8829837" y="617521"/>
              <a:ext cx="3000351" cy="892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327503</xdr:colOff>
      <xdr:row>3</xdr:row>
      <xdr:rowOff>52606</xdr:rowOff>
    </xdr:from>
    <xdr:to>
      <xdr:col>13</xdr:col>
      <xdr:colOff>450760</xdr:colOff>
      <xdr:row>8</xdr:row>
      <xdr:rowOff>21464</xdr:rowOff>
    </xdr:to>
    <mc:AlternateContent xmlns:mc="http://schemas.openxmlformats.org/markup-compatibility/2006" xmlns:a14="http://schemas.microsoft.com/office/drawing/2010/main">
      <mc:Choice Requires="a14">
        <xdr:graphicFrame macro="">
          <xdr:nvGraphicFramePr>
            <xdr:cNvPr id="27" name="SALE TYPE 2">
              <a:extLst>
                <a:ext uri="{FF2B5EF4-FFF2-40B4-BE49-F238E27FC236}">
                  <a16:creationId xmlns:a16="http://schemas.microsoft.com/office/drawing/2014/main" id="{00000000-0008-0000-0600-00001B000000}"/>
                </a:ext>
              </a:extLst>
            </xdr:cNvPr>
            <xdr:cNvGraphicFramePr/>
          </xdr:nvGraphicFramePr>
          <xdr:xfrm>
            <a:off x="0" y="0"/>
            <a:ext cx="0" cy="0"/>
          </xdr:xfrm>
          <a:graphic>
            <a:graphicData uri="http://schemas.microsoft.com/office/drawing/2010/slicer">
              <sle:slicer xmlns:sle="http://schemas.microsoft.com/office/drawing/2010/slicer" name="SALE TYPE 2"/>
            </a:graphicData>
          </a:graphic>
        </xdr:graphicFrame>
      </mc:Choice>
      <mc:Fallback xmlns="">
        <xdr:sp macro="" textlink="">
          <xdr:nvSpPr>
            <xdr:cNvPr id="0" name=""/>
            <xdr:cNvSpPr>
              <a:spLocks noTextEdit="1"/>
            </xdr:cNvSpPr>
          </xdr:nvSpPr>
          <xdr:spPr>
            <a:xfrm>
              <a:off x="5222776" y="606788"/>
              <a:ext cx="3182802" cy="892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443553</xdr:colOff>
      <xdr:row>9</xdr:row>
      <xdr:rowOff>99507</xdr:rowOff>
    </xdr:from>
    <xdr:to>
      <xdr:col>11</xdr:col>
      <xdr:colOff>54607</xdr:colOff>
      <xdr:row>14</xdr:row>
      <xdr:rowOff>36288</xdr:rowOff>
    </xdr:to>
    <xdr:pic>
      <xdr:nvPicPr>
        <xdr:cNvPr id="31" name="Graphic 30" descr="Bar graph with downward trend with solid fill">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970896" y="1737238"/>
          <a:ext cx="839353" cy="846632"/>
        </a:xfrm>
        <a:prstGeom prst="rect">
          <a:avLst/>
        </a:prstGeom>
      </xdr:spPr>
    </xdr:pic>
    <xdr:clientData/>
  </xdr:twoCellAnchor>
  <xdr:twoCellAnchor editAs="oneCell">
    <xdr:from>
      <xdr:col>5</xdr:col>
      <xdr:colOff>185719</xdr:colOff>
      <xdr:row>9</xdr:row>
      <xdr:rowOff>102375</xdr:rowOff>
    </xdr:from>
    <xdr:to>
      <xdr:col>6</xdr:col>
      <xdr:colOff>492900</xdr:colOff>
      <xdr:row>14</xdr:row>
      <xdr:rowOff>123806</xdr:rowOff>
    </xdr:to>
    <xdr:pic>
      <xdr:nvPicPr>
        <xdr:cNvPr id="35" name="Graphic 34" descr="Money with solid fill">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21378302">
          <a:off x="3221813" y="1709719"/>
          <a:ext cx="914400" cy="914400"/>
        </a:xfrm>
        <a:prstGeom prst="rect">
          <a:avLst/>
        </a:prstGeom>
      </xdr:spPr>
    </xdr:pic>
    <xdr:clientData/>
  </xdr:twoCellAnchor>
  <xdr:twoCellAnchor editAs="oneCell">
    <xdr:from>
      <xdr:col>13</xdr:col>
      <xdr:colOff>478595</xdr:colOff>
      <xdr:row>9</xdr:row>
      <xdr:rowOff>61874</xdr:rowOff>
    </xdr:from>
    <xdr:to>
      <xdr:col>15</xdr:col>
      <xdr:colOff>178558</xdr:colOff>
      <xdr:row>14</xdr:row>
      <xdr:rowOff>83305</xdr:rowOff>
    </xdr:to>
    <xdr:pic>
      <xdr:nvPicPr>
        <xdr:cNvPr id="37" name="Graphic 36" descr="Piggy Bank with solid fill">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rot="21349853">
          <a:off x="8372439" y="1669218"/>
          <a:ext cx="914400" cy="914400"/>
        </a:xfrm>
        <a:prstGeom prst="rect">
          <a:avLst/>
        </a:prstGeom>
      </xdr:spPr>
    </xdr:pic>
    <xdr:clientData/>
  </xdr:twoCellAnchor>
  <xdr:twoCellAnchor editAs="oneCell">
    <xdr:from>
      <xdr:col>1</xdr:col>
      <xdr:colOff>432180</xdr:colOff>
      <xdr:row>36</xdr:row>
      <xdr:rowOff>56866</xdr:rowOff>
    </xdr:from>
    <xdr:to>
      <xdr:col>2</xdr:col>
      <xdr:colOff>448102</xdr:colOff>
      <xdr:row>39</xdr:row>
      <xdr:rowOff>141027</xdr:rowOff>
    </xdr:to>
    <xdr:pic>
      <xdr:nvPicPr>
        <xdr:cNvPr id="39" name="Graphic 38" descr="Shopping cart with solid fill">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046329" y="6607791"/>
          <a:ext cx="630072" cy="630072"/>
        </a:xfrm>
        <a:prstGeom prst="rect">
          <a:avLst/>
        </a:prstGeom>
      </xdr:spPr>
    </xdr:pic>
    <xdr:clientData/>
  </xdr:twoCellAnchor>
  <xdr:twoCellAnchor editAs="oneCell">
    <xdr:from>
      <xdr:col>19</xdr:col>
      <xdr:colOff>270388</xdr:colOff>
      <xdr:row>16</xdr:row>
      <xdr:rowOff>67971</xdr:rowOff>
    </xdr:from>
    <xdr:to>
      <xdr:col>19</xdr:col>
      <xdr:colOff>578069</xdr:colOff>
      <xdr:row>18</xdr:row>
      <xdr:rowOff>15918</xdr:rowOff>
    </xdr:to>
    <xdr:pic>
      <xdr:nvPicPr>
        <xdr:cNvPr id="41" name="Graphic 40" descr="Ribbon with solid fill">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1852788" y="3010868"/>
          <a:ext cx="307681" cy="315809"/>
        </a:xfrm>
        <a:prstGeom prst="rect">
          <a:avLst/>
        </a:prstGeom>
      </xdr:spPr>
    </xdr:pic>
    <xdr:clientData/>
  </xdr:twoCellAnchor>
  <xdr:twoCellAnchor editAs="oneCell">
    <xdr:from>
      <xdr:col>16</xdr:col>
      <xdr:colOff>584200</xdr:colOff>
      <xdr:row>16</xdr:row>
      <xdr:rowOff>119478</xdr:rowOff>
    </xdr:from>
    <xdr:to>
      <xdr:col>17</xdr:col>
      <xdr:colOff>270302</xdr:colOff>
      <xdr:row>18</xdr:row>
      <xdr:rowOff>57180</xdr:rowOff>
    </xdr:to>
    <xdr:pic>
      <xdr:nvPicPr>
        <xdr:cNvPr id="43" name="Graphic 42" descr="Trophy with solid fill">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0337800" y="3032011"/>
          <a:ext cx="295702" cy="301769"/>
        </a:xfrm>
        <a:prstGeom prst="rect">
          <a:avLst/>
        </a:prstGeom>
      </xdr:spPr>
    </xdr:pic>
    <xdr:clientData/>
  </xdr:twoCellAnchor>
  <xdr:twoCellAnchor>
    <xdr:from>
      <xdr:col>18</xdr:col>
      <xdr:colOff>584923</xdr:colOff>
      <xdr:row>10</xdr:row>
      <xdr:rowOff>173134</xdr:rowOff>
    </xdr:from>
    <xdr:to>
      <xdr:col>20</xdr:col>
      <xdr:colOff>287130</xdr:colOff>
      <xdr:row>14</xdr:row>
      <xdr:rowOff>77305</xdr:rowOff>
    </xdr:to>
    <xdr:sp macro="" textlink="">
      <xdr:nvSpPr>
        <xdr:cNvPr id="28" name="TextBox 27">
          <a:extLst>
            <a:ext uri="{FF2B5EF4-FFF2-40B4-BE49-F238E27FC236}">
              <a16:creationId xmlns:a16="http://schemas.microsoft.com/office/drawing/2014/main" id="{9CB7B8B2-3D51-4A12-89F5-C5FC735F3773}"/>
            </a:ext>
          </a:extLst>
        </xdr:cNvPr>
        <xdr:cNvSpPr txBox="1"/>
      </xdr:nvSpPr>
      <xdr:spPr>
        <a:xfrm>
          <a:off x="11517966" y="2050525"/>
          <a:ext cx="916990" cy="65512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solidFill>
            </a:rPr>
            <a:t>Top</a:t>
          </a:r>
          <a:r>
            <a:rPr lang="en-IN" sz="1100" b="1">
              <a:solidFill>
                <a:schemeClr val="accent4"/>
              </a:solidFill>
            </a:rPr>
            <a:t> </a:t>
          </a:r>
          <a:r>
            <a:rPr lang="en-IN" sz="1400" b="1">
              <a:solidFill>
                <a:schemeClr val="accent4"/>
              </a:solidFill>
            </a:rPr>
            <a:t>Category</a:t>
          </a:r>
          <a:endParaRPr lang="en-IN" sz="1100" b="1">
            <a:solidFill>
              <a:schemeClr val="accent4"/>
            </a:solidFill>
          </a:endParaRPr>
        </a:p>
      </xdr:txBody>
    </xdr:sp>
    <xdr:clientData/>
  </xdr:twoCellAnchor>
  <xdr:twoCellAnchor>
    <xdr:from>
      <xdr:col>18</xdr:col>
      <xdr:colOff>589935</xdr:colOff>
      <xdr:row>13</xdr:row>
      <xdr:rowOff>1</xdr:rowOff>
    </xdr:from>
    <xdr:to>
      <xdr:col>20</xdr:col>
      <xdr:colOff>282677</xdr:colOff>
      <xdr:row>16</xdr:row>
      <xdr:rowOff>86204</xdr:rowOff>
    </xdr:to>
    <xdr:sp macro="" textlink="">
      <xdr:nvSpPr>
        <xdr:cNvPr id="34" name="TextBox 33">
          <a:extLst>
            <a:ext uri="{FF2B5EF4-FFF2-40B4-BE49-F238E27FC236}">
              <a16:creationId xmlns:a16="http://schemas.microsoft.com/office/drawing/2014/main" id="{4BB15255-D18E-4A0D-9E4B-F5591466DF1C}"/>
            </a:ext>
          </a:extLst>
        </xdr:cNvPr>
        <xdr:cNvSpPr txBox="1"/>
      </xdr:nvSpPr>
      <xdr:spPr>
        <a:xfrm>
          <a:off x="11522978" y="2440610"/>
          <a:ext cx="907525" cy="6494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bg1"/>
              </a:solidFill>
              <a:effectLst/>
              <a:latin typeface="+mn-lt"/>
              <a:ea typeface="+mn-ea"/>
              <a:cs typeface="+mn-cs"/>
            </a:rPr>
            <a:t>Category</a:t>
          </a:r>
          <a:r>
            <a:rPr lang="en-IN" sz="1000" b="1" i="0" u="none" strike="noStrike">
              <a:solidFill>
                <a:schemeClr val="bg1"/>
              </a:solidFill>
              <a:effectLst/>
              <a:latin typeface="+mn-lt"/>
              <a:ea typeface="+mn-ea"/>
              <a:cs typeface="+mn-cs"/>
            </a:rPr>
            <a:t> 4</a:t>
          </a:r>
        </a:p>
        <a:p>
          <a:pPr algn="ctr"/>
          <a:r>
            <a:rPr lang="en-IN" sz="1200" b="1" i="0" u="none" strike="noStrike">
              <a:solidFill>
                <a:schemeClr val="bg1"/>
              </a:solidFill>
              <a:effectLst/>
              <a:latin typeface="+mn-lt"/>
              <a:ea typeface="+mn-ea"/>
              <a:cs typeface="+mn-cs"/>
            </a:rPr>
            <a:t>95269.4</a:t>
          </a:r>
          <a:r>
            <a:rPr lang="en-IN" sz="1200" b="1">
              <a:solidFill>
                <a:schemeClr val="bg1"/>
              </a:solidFill>
            </a:rPr>
            <a:t> </a:t>
          </a:r>
          <a:endParaRPr lang="en-US" sz="1200" b="1">
            <a:solidFill>
              <a:schemeClr val="bg1"/>
            </a:solidFill>
          </a:endParaRPr>
        </a:p>
      </xdr:txBody>
    </xdr:sp>
    <xdr:clientData/>
  </xdr:twoCellAnchor>
  <xdr:twoCellAnchor>
    <xdr:from>
      <xdr:col>16</xdr:col>
      <xdr:colOff>309217</xdr:colOff>
      <xdr:row>11</xdr:row>
      <xdr:rowOff>55218</xdr:rowOff>
    </xdr:from>
    <xdr:to>
      <xdr:col>17</xdr:col>
      <xdr:colOff>567267</xdr:colOff>
      <xdr:row>14</xdr:row>
      <xdr:rowOff>84666</xdr:rowOff>
    </xdr:to>
    <xdr:sp macro="" textlink="">
      <xdr:nvSpPr>
        <xdr:cNvPr id="36" name="TextBox 35">
          <a:extLst>
            <a:ext uri="{FF2B5EF4-FFF2-40B4-BE49-F238E27FC236}">
              <a16:creationId xmlns:a16="http://schemas.microsoft.com/office/drawing/2014/main" id="{9FD07A43-6DA9-464D-8B6A-F7EF400BF129}"/>
            </a:ext>
          </a:extLst>
        </xdr:cNvPr>
        <xdr:cNvSpPr txBox="1"/>
      </xdr:nvSpPr>
      <xdr:spPr>
        <a:xfrm>
          <a:off x="10062817" y="2057585"/>
          <a:ext cx="867650" cy="5755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solidFill>
            </a:rPr>
            <a:t>Top Product</a:t>
          </a:r>
        </a:p>
      </xdr:txBody>
    </xdr:sp>
    <xdr:clientData/>
  </xdr:twoCellAnchor>
  <xdr:twoCellAnchor>
    <xdr:from>
      <xdr:col>16</xdr:col>
      <xdr:colOff>272184</xdr:colOff>
      <xdr:row>13</xdr:row>
      <xdr:rowOff>139700</xdr:rowOff>
    </xdr:from>
    <xdr:to>
      <xdr:col>17</xdr:col>
      <xdr:colOff>546246</xdr:colOff>
      <xdr:row>16</xdr:row>
      <xdr:rowOff>105834</xdr:rowOff>
    </xdr:to>
    <xdr:sp macro="" textlink="Prcatice_ans!V16">
      <xdr:nvSpPr>
        <xdr:cNvPr id="38" name="TextBox 37">
          <a:extLst>
            <a:ext uri="{FF2B5EF4-FFF2-40B4-BE49-F238E27FC236}">
              <a16:creationId xmlns:a16="http://schemas.microsoft.com/office/drawing/2014/main" id="{58781AB6-F6F2-40FC-8026-16948E9D2B14}"/>
            </a:ext>
          </a:extLst>
        </xdr:cNvPr>
        <xdr:cNvSpPr txBox="1"/>
      </xdr:nvSpPr>
      <xdr:spPr>
        <a:xfrm>
          <a:off x="10046805" y="2530803"/>
          <a:ext cx="884975" cy="51792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bg1"/>
              </a:solidFill>
              <a:latin typeface="Calibri"/>
              <a:ea typeface="Calibri"/>
              <a:cs typeface="Calibri"/>
            </a:rPr>
            <a:t>Product41</a:t>
          </a:r>
        </a:p>
        <a:p>
          <a:pPr algn="ctr"/>
          <a:fld id="{1B04E925-B09E-4D7A-838C-50155446D292}" type="TxLink">
            <a:rPr lang="en-US" sz="1200" b="1" i="0" u="none" strike="noStrike">
              <a:solidFill>
                <a:schemeClr val="bg1"/>
              </a:solidFill>
              <a:latin typeface="Calibri"/>
              <a:ea typeface="Calibri"/>
              <a:cs typeface="Calibri"/>
            </a:rPr>
            <a:pPr algn="ctr"/>
            <a:t>22952.16</a:t>
          </a:fld>
          <a:endParaRPr lang="en-IN" sz="12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xdr:colOff>
      <xdr:row>9</xdr:row>
      <xdr:rowOff>0</xdr:rowOff>
    </xdr:from>
    <xdr:to>
      <xdr:col>22</xdr:col>
      <xdr:colOff>1</xdr:colOff>
      <xdr:row>50</xdr:row>
      <xdr:rowOff>171081</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1219201" y="1645920"/>
          <a:ext cx="12192000" cy="7669161"/>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353962</xdr:colOff>
      <xdr:row>15</xdr:row>
      <xdr:rowOff>92423</xdr:rowOff>
    </xdr:from>
    <xdr:to>
      <xdr:col>22</xdr:col>
      <xdr:colOff>63910</xdr:colOff>
      <xdr:row>16</xdr:row>
      <xdr:rowOff>172556</xdr:rowOff>
    </xdr:to>
    <xdr:sp macro="" textlink="">
      <xdr:nvSpPr>
        <xdr:cNvPr id="4" name="Trapezoid 3">
          <a:extLst>
            <a:ext uri="{FF2B5EF4-FFF2-40B4-BE49-F238E27FC236}">
              <a16:creationId xmlns:a16="http://schemas.microsoft.com/office/drawing/2014/main" id="{00000000-0008-0000-0700-000004000000}"/>
            </a:ext>
          </a:extLst>
        </xdr:cNvPr>
        <xdr:cNvSpPr/>
      </xdr:nvSpPr>
      <xdr:spPr>
        <a:xfrm>
          <a:off x="11936362" y="2835623"/>
          <a:ext cx="1538748" cy="263013"/>
        </a:xfrm>
        <a:prstGeom prst="trapezoid">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307258</xdr:colOff>
      <xdr:row>15</xdr:row>
      <xdr:rowOff>92423</xdr:rowOff>
    </xdr:from>
    <xdr:to>
      <xdr:col>20</xdr:col>
      <xdr:colOff>17206</xdr:colOff>
      <xdr:row>16</xdr:row>
      <xdr:rowOff>172556</xdr:rowOff>
    </xdr:to>
    <xdr:sp macro="" textlink="">
      <xdr:nvSpPr>
        <xdr:cNvPr id="5" name="Trapezoid 4">
          <a:extLst>
            <a:ext uri="{FF2B5EF4-FFF2-40B4-BE49-F238E27FC236}">
              <a16:creationId xmlns:a16="http://schemas.microsoft.com/office/drawing/2014/main" id="{00000000-0008-0000-0700-000005000000}"/>
            </a:ext>
          </a:extLst>
        </xdr:cNvPr>
        <xdr:cNvSpPr/>
      </xdr:nvSpPr>
      <xdr:spPr>
        <a:xfrm>
          <a:off x="10670458" y="2835623"/>
          <a:ext cx="1538748" cy="263013"/>
        </a:xfrm>
        <a:prstGeom prst="trapezoid">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0</xdr:colOff>
      <xdr:row>9</xdr:row>
      <xdr:rowOff>0</xdr:rowOff>
    </xdr:from>
    <xdr:to>
      <xdr:col>9</xdr:col>
      <xdr:colOff>363794</xdr:colOff>
      <xdr:row>14</xdr:row>
      <xdr:rowOff>0</xdr:rowOff>
    </xdr:to>
    <xdr:sp macro="" textlink="">
      <xdr:nvSpPr>
        <xdr:cNvPr id="6" name="Rectangle: Rounded Corners 5">
          <a:extLst>
            <a:ext uri="{FF2B5EF4-FFF2-40B4-BE49-F238E27FC236}">
              <a16:creationId xmlns:a16="http://schemas.microsoft.com/office/drawing/2014/main" id="{00000000-0008-0000-0700-000006000000}"/>
            </a:ext>
          </a:extLst>
        </xdr:cNvPr>
        <xdr:cNvSpPr/>
      </xdr:nvSpPr>
      <xdr:spPr>
        <a:xfrm>
          <a:off x="1219200" y="1645920"/>
          <a:ext cx="4630994"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IN" sz="2400" b="1">
              <a:latin typeface="Algerian" panose="04020705040A02060702" pitchFamily="82" charset="0"/>
            </a:rPr>
            <a:t>Sales Dashboard</a:t>
          </a:r>
        </a:p>
      </xdr:txBody>
    </xdr:sp>
    <xdr:clientData/>
  </xdr:twoCellAnchor>
  <xdr:twoCellAnchor>
    <xdr:from>
      <xdr:col>9</xdr:col>
      <xdr:colOff>486696</xdr:colOff>
      <xdr:row>9</xdr:row>
      <xdr:rowOff>0</xdr:rowOff>
    </xdr:from>
    <xdr:to>
      <xdr:col>21</xdr:col>
      <xdr:colOff>609599</xdr:colOff>
      <xdr:row>14</xdr:row>
      <xdr:rowOff>0</xdr:rowOff>
    </xdr:to>
    <xdr:sp macro="" textlink="">
      <xdr:nvSpPr>
        <xdr:cNvPr id="7" name="Rectangle: Rounded Corners 6">
          <a:extLst>
            <a:ext uri="{FF2B5EF4-FFF2-40B4-BE49-F238E27FC236}">
              <a16:creationId xmlns:a16="http://schemas.microsoft.com/office/drawing/2014/main" id="{00000000-0008-0000-0700-000007000000}"/>
            </a:ext>
          </a:extLst>
        </xdr:cNvPr>
        <xdr:cNvSpPr/>
      </xdr:nvSpPr>
      <xdr:spPr>
        <a:xfrm>
          <a:off x="5973096" y="1645920"/>
          <a:ext cx="7438103"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0</xdr:colOff>
      <xdr:row>14</xdr:row>
      <xdr:rowOff>142568</xdr:rowOff>
    </xdr:from>
    <xdr:to>
      <xdr:col>4</xdr:col>
      <xdr:colOff>521110</xdr:colOff>
      <xdr:row>25</xdr:row>
      <xdr:rowOff>158150</xdr:rowOff>
    </xdr:to>
    <xdr:sp macro="" textlink="">
      <xdr:nvSpPr>
        <xdr:cNvPr id="8" name="Rectangle: Rounded Corners 7">
          <a:extLst>
            <a:ext uri="{FF2B5EF4-FFF2-40B4-BE49-F238E27FC236}">
              <a16:creationId xmlns:a16="http://schemas.microsoft.com/office/drawing/2014/main" id="{00000000-0008-0000-0700-000008000000}"/>
            </a:ext>
          </a:extLst>
        </xdr:cNvPr>
        <xdr:cNvSpPr/>
      </xdr:nvSpPr>
      <xdr:spPr>
        <a:xfrm>
          <a:off x="1207698" y="2759247"/>
          <a:ext cx="1728808" cy="20715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19665</xdr:colOff>
      <xdr:row>26</xdr:row>
      <xdr:rowOff>71887</xdr:rowOff>
    </xdr:from>
    <xdr:to>
      <xdr:col>4</xdr:col>
      <xdr:colOff>540775</xdr:colOff>
      <xdr:row>45</xdr:row>
      <xdr:rowOff>143773</xdr:rowOff>
    </xdr:to>
    <xdr:sp macro="" textlink="">
      <xdr:nvSpPr>
        <xdr:cNvPr id="9" name="Rectangle: Rounded Corners 8">
          <a:extLst>
            <a:ext uri="{FF2B5EF4-FFF2-40B4-BE49-F238E27FC236}">
              <a16:creationId xmlns:a16="http://schemas.microsoft.com/office/drawing/2014/main" id="{00000000-0008-0000-0700-000009000000}"/>
            </a:ext>
          </a:extLst>
        </xdr:cNvPr>
        <xdr:cNvSpPr/>
      </xdr:nvSpPr>
      <xdr:spPr>
        <a:xfrm>
          <a:off x="1227363" y="4931434"/>
          <a:ext cx="1728808" cy="36230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55191</xdr:colOff>
      <xdr:row>46</xdr:row>
      <xdr:rowOff>88730</xdr:rowOff>
    </xdr:from>
    <xdr:to>
      <xdr:col>4</xdr:col>
      <xdr:colOff>570549</xdr:colOff>
      <xdr:row>49</xdr:row>
      <xdr:rowOff>120196</xdr:rowOff>
    </xdr:to>
    <xdr:sp macro="" textlink="">
      <xdr:nvSpPr>
        <xdr:cNvPr id="10" name="Oval 9">
          <a:extLst>
            <a:ext uri="{FF2B5EF4-FFF2-40B4-BE49-F238E27FC236}">
              <a16:creationId xmlns:a16="http://schemas.microsoft.com/office/drawing/2014/main" id="{00000000-0008-0000-0700-00000A000000}"/>
            </a:ext>
          </a:extLst>
        </xdr:cNvPr>
        <xdr:cNvSpPr/>
      </xdr:nvSpPr>
      <xdr:spPr>
        <a:xfrm>
          <a:off x="1262889" y="8686390"/>
          <a:ext cx="1723056" cy="59218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9832</xdr:colOff>
      <xdr:row>14</xdr:row>
      <xdr:rowOff>142567</xdr:rowOff>
    </xdr:from>
    <xdr:to>
      <xdr:col>9</xdr:col>
      <xdr:colOff>78658</xdr:colOff>
      <xdr:row>19</xdr:row>
      <xdr:rowOff>142567</xdr:rowOff>
    </xdr:to>
    <xdr:sp macro="" textlink="Prcatice_ans!A5">
      <xdr:nvSpPr>
        <xdr:cNvPr id="11" name="Rectangle: Rounded Corners 10">
          <a:extLst>
            <a:ext uri="{FF2B5EF4-FFF2-40B4-BE49-F238E27FC236}">
              <a16:creationId xmlns:a16="http://schemas.microsoft.com/office/drawing/2014/main" id="{00000000-0008-0000-0700-00000B000000}"/>
            </a:ext>
          </a:extLst>
        </xdr:cNvPr>
        <xdr:cNvSpPr/>
      </xdr:nvSpPr>
      <xdr:spPr>
        <a:xfrm>
          <a:off x="3057832" y="2702887"/>
          <a:ext cx="2507226"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fld id="{458D8E3C-D1BA-4EE5-B494-4F13C06F6011}" type="TxLink">
            <a:rPr lang="en-US" sz="2000" b="0" i="0" u="none" strike="noStrike">
              <a:solidFill>
                <a:schemeClr val="bg1"/>
              </a:solidFill>
              <a:latin typeface="Calibri"/>
              <a:ea typeface="Calibri"/>
              <a:cs typeface="Calibri"/>
            </a:rPr>
            <a:pPr algn="r"/>
            <a:t>332504</a:t>
          </a:fld>
          <a:endParaRPr lang="en-IN" sz="3600">
            <a:solidFill>
              <a:schemeClr val="bg1"/>
            </a:solidFill>
          </a:endParaRPr>
        </a:p>
      </xdr:txBody>
    </xdr:sp>
    <xdr:clientData/>
  </xdr:twoCellAnchor>
  <xdr:twoCellAnchor>
    <xdr:from>
      <xdr:col>9</xdr:col>
      <xdr:colOff>176980</xdr:colOff>
      <xdr:row>14</xdr:row>
      <xdr:rowOff>142567</xdr:rowOff>
    </xdr:from>
    <xdr:to>
      <xdr:col>13</xdr:col>
      <xdr:colOff>245806</xdr:colOff>
      <xdr:row>19</xdr:row>
      <xdr:rowOff>142567</xdr:rowOff>
    </xdr:to>
    <xdr:sp macro="" textlink="Prcatice_ans!B5">
      <xdr:nvSpPr>
        <xdr:cNvPr id="12" name="Rectangle: Rounded Corners 11">
          <a:extLst>
            <a:ext uri="{FF2B5EF4-FFF2-40B4-BE49-F238E27FC236}">
              <a16:creationId xmlns:a16="http://schemas.microsoft.com/office/drawing/2014/main" id="{00000000-0008-0000-0700-00000C000000}"/>
            </a:ext>
          </a:extLst>
        </xdr:cNvPr>
        <xdr:cNvSpPr/>
      </xdr:nvSpPr>
      <xdr:spPr>
        <a:xfrm>
          <a:off x="5663380" y="2702887"/>
          <a:ext cx="2507226"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fld id="{284D1236-7930-40BB-BE98-F5BC68731778}" type="TxLink">
            <a:rPr lang="en-US" sz="1800" b="0" i="0" u="none" strike="noStrike">
              <a:solidFill>
                <a:schemeClr val="bg1"/>
              </a:solidFill>
              <a:latin typeface="Calibri"/>
              <a:ea typeface="Calibri"/>
              <a:cs typeface="Calibri"/>
            </a:rPr>
            <a:pPr algn="r"/>
            <a:t>401411.92</a:t>
          </a:fld>
          <a:endParaRPr lang="en-IN" sz="3200">
            <a:solidFill>
              <a:schemeClr val="bg1"/>
            </a:solidFill>
          </a:endParaRPr>
        </a:p>
      </xdr:txBody>
    </xdr:sp>
    <xdr:clientData/>
  </xdr:twoCellAnchor>
  <xdr:twoCellAnchor>
    <xdr:from>
      <xdr:col>13</xdr:col>
      <xdr:colOff>344128</xdr:colOff>
      <xdr:row>14</xdr:row>
      <xdr:rowOff>142567</xdr:rowOff>
    </xdr:from>
    <xdr:to>
      <xdr:col>17</xdr:col>
      <xdr:colOff>265471</xdr:colOff>
      <xdr:row>19</xdr:row>
      <xdr:rowOff>142567</xdr:rowOff>
    </xdr:to>
    <xdr:sp macro="" textlink="Prcatice_ans!D4">
      <xdr:nvSpPr>
        <xdr:cNvPr id="13" name="Rectangle: Rounded Corners 12">
          <a:extLst>
            <a:ext uri="{FF2B5EF4-FFF2-40B4-BE49-F238E27FC236}">
              <a16:creationId xmlns:a16="http://schemas.microsoft.com/office/drawing/2014/main" id="{00000000-0008-0000-0700-00000D000000}"/>
            </a:ext>
          </a:extLst>
        </xdr:cNvPr>
        <xdr:cNvSpPr/>
      </xdr:nvSpPr>
      <xdr:spPr>
        <a:xfrm>
          <a:off x="8268928" y="2702887"/>
          <a:ext cx="2359743"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fld id="{B8260C69-50F5-4A83-8FBF-60CC7C4AD566}" type="TxLink">
            <a:rPr lang="en-US" sz="2400" b="0" i="0" u="none" strike="noStrike">
              <a:solidFill>
                <a:schemeClr val="bg1"/>
              </a:solidFill>
              <a:latin typeface="Calibri"/>
              <a:ea typeface="Calibri"/>
              <a:cs typeface="Calibri"/>
            </a:rPr>
            <a:pPr algn="r"/>
            <a:t>21%</a:t>
          </a:fld>
          <a:endParaRPr lang="en-IN" sz="4000">
            <a:solidFill>
              <a:schemeClr val="bg1"/>
            </a:solidFill>
          </a:endParaRPr>
        </a:p>
      </xdr:txBody>
    </xdr:sp>
    <xdr:clientData/>
  </xdr:twoCellAnchor>
  <xdr:twoCellAnchor>
    <xdr:from>
      <xdr:col>17</xdr:col>
      <xdr:colOff>481781</xdr:colOff>
      <xdr:row>15</xdr:row>
      <xdr:rowOff>92422</xdr:rowOff>
    </xdr:from>
    <xdr:to>
      <xdr:col>19</xdr:col>
      <xdr:colOff>452284</xdr:colOff>
      <xdr:row>29</xdr:row>
      <xdr:rowOff>15393</xdr:rowOff>
    </xdr:to>
    <xdr:sp macro="" textlink="">
      <xdr:nvSpPr>
        <xdr:cNvPr id="14" name="Flowchart: Off-page Connector 13">
          <a:extLst>
            <a:ext uri="{FF2B5EF4-FFF2-40B4-BE49-F238E27FC236}">
              <a16:creationId xmlns:a16="http://schemas.microsoft.com/office/drawing/2014/main" id="{00000000-0008-0000-0700-00000E000000}"/>
            </a:ext>
          </a:extLst>
        </xdr:cNvPr>
        <xdr:cNvSpPr/>
      </xdr:nvSpPr>
      <xdr:spPr>
        <a:xfrm>
          <a:off x="10818811" y="2863331"/>
          <a:ext cx="1186625" cy="2509153"/>
        </a:xfrm>
        <a:prstGeom prst="flowChartOffpageConnector">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604684</xdr:colOff>
      <xdr:row>15</xdr:row>
      <xdr:rowOff>92423</xdr:rowOff>
    </xdr:from>
    <xdr:to>
      <xdr:col>21</xdr:col>
      <xdr:colOff>575187</xdr:colOff>
      <xdr:row>28</xdr:row>
      <xdr:rowOff>146242</xdr:rowOff>
    </xdr:to>
    <xdr:sp macro="" textlink="">
      <xdr:nvSpPr>
        <xdr:cNvPr id="15" name="Flowchart: Off-page Connector 14">
          <a:extLst>
            <a:ext uri="{FF2B5EF4-FFF2-40B4-BE49-F238E27FC236}">
              <a16:creationId xmlns:a16="http://schemas.microsoft.com/office/drawing/2014/main" id="{00000000-0008-0000-0700-00000F000000}"/>
            </a:ext>
          </a:extLst>
        </xdr:cNvPr>
        <xdr:cNvSpPr/>
      </xdr:nvSpPr>
      <xdr:spPr>
        <a:xfrm>
          <a:off x="12157836" y="2863332"/>
          <a:ext cx="1186624" cy="2455274"/>
        </a:xfrm>
        <a:prstGeom prst="flowChartOffpageConnector">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557982</xdr:colOff>
      <xdr:row>16</xdr:row>
      <xdr:rowOff>27530</xdr:rowOff>
    </xdr:from>
    <xdr:to>
      <xdr:col>19</xdr:col>
      <xdr:colOff>353962</xdr:colOff>
      <xdr:row>27</xdr:row>
      <xdr:rowOff>123152</xdr:rowOff>
    </xdr:to>
    <xdr:sp macro="" textlink="Prcatice_ans!U16">
      <xdr:nvSpPr>
        <xdr:cNvPr id="16" name="Flowchart: Off-page Connector 15">
          <a:extLst>
            <a:ext uri="{FF2B5EF4-FFF2-40B4-BE49-F238E27FC236}">
              <a16:creationId xmlns:a16="http://schemas.microsoft.com/office/drawing/2014/main" id="{00000000-0008-0000-0700-000010000000}"/>
            </a:ext>
          </a:extLst>
        </xdr:cNvPr>
        <xdr:cNvSpPr/>
      </xdr:nvSpPr>
      <xdr:spPr>
        <a:xfrm>
          <a:off x="10895012" y="2983166"/>
          <a:ext cx="1012102" cy="2127622"/>
        </a:xfrm>
        <a:prstGeom prst="flowChartOffpageConnector">
          <a:avLst/>
        </a:prstGeom>
        <a:ln w="28575">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A9373841-DA80-4415-A3CA-38A78650D975}" type="TxLink">
            <a:rPr lang="en-US" sz="1400" b="1" i="0" u="none" strike="noStrike">
              <a:solidFill>
                <a:srgbClr val="FFFF00"/>
              </a:solidFill>
              <a:latin typeface="Calibri"/>
              <a:ea typeface="Calibri"/>
              <a:cs typeface="Calibri"/>
            </a:rPr>
            <a:pPr algn="ctr"/>
            <a:t>Product41</a:t>
          </a:fld>
          <a:endParaRPr lang="en-IN" sz="2400" b="1">
            <a:solidFill>
              <a:srgbClr val="FFFF00"/>
            </a:solidFill>
          </a:endParaRPr>
        </a:p>
      </xdr:txBody>
    </xdr:sp>
    <xdr:clientData/>
  </xdr:twoCellAnchor>
  <xdr:twoCellAnchor>
    <xdr:from>
      <xdr:col>20</xdr:col>
      <xdr:colOff>82345</xdr:colOff>
      <xdr:row>16</xdr:row>
      <xdr:rowOff>27530</xdr:rowOff>
    </xdr:from>
    <xdr:to>
      <xdr:col>21</xdr:col>
      <xdr:colOff>487925</xdr:colOff>
      <xdr:row>27</xdr:row>
      <xdr:rowOff>115455</xdr:rowOff>
    </xdr:to>
    <xdr:sp macro="" textlink="Prcatice_ans!S2">
      <xdr:nvSpPr>
        <xdr:cNvPr id="17" name="Flowchart: Off-page Connector 16">
          <a:extLst>
            <a:ext uri="{FF2B5EF4-FFF2-40B4-BE49-F238E27FC236}">
              <a16:creationId xmlns:a16="http://schemas.microsoft.com/office/drawing/2014/main" id="{00000000-0008-0000-0700-000011000000}"/>
            </a:ext>
          </a:extLst>
        </xdr:cNvPr>
        <xdr:cNvSpPr/>
      </xdr:nvSpPr>
      <xdr:spPr>
        <a:xfrm>
          <a:off x="12243557" y="2983166"/>
          <a:ext cx="1013641" cy="2119925"/>
        </a:xfrm>
        <a:prstGeom prst="flowChartOffpageConnector">
          <a:avLst/>
        </a:prstGeom>
        <a:ln w="28575">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BAC6BA1C-CDA8-46ED-860E-914C53DF679F}" type="TxLink">
            <a:rPr lang="en-US" sz="1200" b="1" i="0" u="none" strike="noStrike">
              <a:solidFill>
                <a:srgbClr val="FFFF00"/>
              </a:solidFill>
              <a:latin typeface="Calibri"/>
              <a:ea typeface="Calibri"/>
              <a:cs typeface="Calibri"/>
            </a:rPr>
            <a:pPr algn="ctr"/>
            <a:t>Category04</a:t>
          </a:fld>
          <a:endParaRPr lang="en-IN" sz="2000" b="1">
            <a:solidFill>
              <a:srgbClr val="FFFF00"/>
            </a:solidFill>
          </a:endParaRPr>
        </a:p>
      </xdr:txBody>
    </xdr:sp>
    <xdr:clientData/>
  </xdr:twoCellAnchor>
  <xdr:twoCellAnchor>
    <xdr:from>
      <xdr:col>5</xdr:col>
      <xdr:colOff>93405</xdr:colOff>
      <xdr:row>20</xdr:row>
      <xdr:rowOff>102253</xdr:rowOff>
    </xdr:from>
    <xdr:to>
      <xdr:col>10</xdr:col>
      <xdr:colOff>403122</xdr:colOff>
      <xdr:row>35</xdr:row>
      <xdr:rowOff>158151</xdr:rowOff>
    </xdr:to>
    <xdr:sp macro="" textlink="">
      <xdr:nvSpPr>
        <xdr:cNvPr id="18" name="Rectangle: Rounded Corners 17">
          <a:extLst>
            <a:ext uri="{FF2B5EF4-FFF2-40B4-BE49-F238E27FC236}">
              <a16:creationId xmlns:a16="http://schemas.microsoft.com/office/drawing/2014/main" id="{00000000-0008-0000-0700-000012000000}"/>
            </a:ext>
          </a:extLst>
        </xdr:cNvPr>
        <xdr:cNvSpPr/>
      </xdr:nvSpPr>
      <xdr:spPr>
        <a:xfrm>
          <a:off x="3112650" y="3840366"/>
          <a:ext cx="3328963" cy="28594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555521</xdr:colOff>
      <xdr:row>20</xdr:row>
      <xdr:rowOff>102252</xdr:rowOff>
    </xdr:from>
    <xdr:to>
      <xdr:col>17</xdr:col>
      <xdr:colOff>394518</xdr:colOff>
      <xdr:row>35</xdr:row>
      <xdr:rowOff>158151</xdr:rowOff>
    </xdr:to>
    <xdr:sp macro="" textlink="">
      <xdr:nvSpPr>
        <xdr:cNvPr id="19" name="Rectangle: Rounded Corners 18">
          <a:extLst>
            <a:ext uri="{FF2B5EF4-FFF2-40B4-BE49-F238E27FC236}">
              <a16:creationId xmlns:a16="http://schemas.microsoft.com/office/drawing/2014/main" id="{00000000-0008-0000-0700-000013000000}"/>
            </a:ext>
          </a:extLst>
        </xdr:cNvPr>
        <xdr:cNvSpPr/>
      </xdr:nvSpPr>
      <xdr:spPr>
        <a:xfrm>
          <a:off x="6594012" y="3840365"/>
          <a:ext cx="4065940" cy="28594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107782</xdr:colOff>
      <xdr:row>36</xdr:row>
      <xdr:rowOff>185936</xdr:rowOff>
    </xdr:from>
    <xdr:to>
      <xdr:col>12</xdr:col>
      <xdr:colOff>270016</xdr:colOff>
      <xdr:row>50</xdr:row>
      <xdr:rowOff>28754</xdr:rowOff>
    </xdr:to>
    <xdr:sp macro="" textlink="">
      <xdr:nvSpPr>
        <xdr:cNvPr id="20" name="Rectangle: Rounded Corners 19">
          <a:extLst>
            <a:ext uri="{FF2B5EF4-FFF2-40B4-BE49-F238E27FC236}">
              <a16:creationId xmlns:a16="http://schemas.microsoft.com/office/drawing/2014/main" id="{00000000-0008-0000-0700-000014000000}"/>
            </a:ext>
          </a:extLst>
        </xdr:cNvPr>
        <xdr:cNvSpPr/>
      </xdr:nvSpPr>
      <xdr:spPr>
        <a:xfrm>
          <a:off x="3127027" y="6914540"/>
          <a:ext cx="4389178" cy="24594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383829</xdr:colOff>
      <xdr:row>37</xdr:row>
      <xdr:rowOff>66747</xdr:rowOff>
    </xdr:from>
    <xdr:to>
      <xdr:col>17</xdr:col>
      <xdr:colOff>467403</xdr:colOff>
      <xdr:row>50</xdr:row>
      <xdr:rowOff>158150</xdr:rowOff>
    </xdr:to>
    <xdr:sp macro="" textlink="">
      <xdr:nvSpPr>
        <xdr:cNvPr id="21" name="Rectangle: Rounded Corners 20">
          <a:extLst>
            <a:ext uri="{FF2B5EF4-FFF2-40B4-BE49-F238E27FC236}">
              <a16:creationId xmlns:a16="http://schemas.microsoft.com/office/drawing/2014/main" id="{00000000-0008-0000-0700-000015000000}"/>
            </a:ext>
          </a:extLst>
        </xdr:cNvPr>
        <xdr:cNvSpPr/>
      </xdr:nvSpPr>
      <xdr:spPr>
        <a:xfrm>
          <a:off x="7630018" y="6982256"/>
          <a:ext cx="3102819" cy="25211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90950</xdr:colOff>
      <xdr:row>30</xdr:row>
      <xdr:rowOff>14376</xdr:rowOff>
    </xdr:from>
    <xdr:to>
      <xdr:col>22</xdr:col>
      <xdr:colOff>5750</xdr:colOff>
      <xdr:row>50</xdr:row>
      <xdr:rowOff>158150</xdr:rowOff>
    </xdr:to>
    <xdr:sp macro="" textlink="">
      <xdr:nvSpPr>
        <xdr:cNvPr id="22" name="Rectangle: Rounded Corners 21">
          <a:extLst>
            <a:ext uri="{FF2B5EF4-FFF2-40B4-BE49-F238E27FC236}">
              <a16:creationId xmlns:a16="http://schemas.microsoft.com/office/drawing/2014/main" id="{00000000-0008-0000-0700-000016000000}"/>
            </a:ext>
          </a:extLst>
        </xdr:cNvPr>
        <xdr:cNvSpPr/>
      </xdr:nvSpPr>
      <xdr:spPr>
        <a:xfrm>
          <a:off x="10960233" y="5621546"/>
          <a:ext cx="2330196" cy="38818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10</xdr:col>
      <xdr:colOff>43132</xdr:colOff>
      <xdr:row>9</xdr:row>
      <xdr:rowOff>28754</xdr:rowOff>
    </xdr:from>
    <xdr:to>
      <xdr:col>15</xdr:col>
      <xdr:colOff>158151</xdr:colOff>
      <xdr:row>12</xdr:row>
      <xdr:rowOff>172529</xdr:rowOff>
    </xdr:to>
    <mc:AlternateContent xmlns:mc="http://schemas.openxmlformats.org/markup-compatibility/2006" xmlns:a14="http://schemas.microsoft.com/office/drawing/2010/main">
      <mc:Choice Requires="a14">
        <xdr:graphicFrame macro="">
          <xdr:nvGraphicFramePr>
            <xdr:cNvPr id="24" name="SALE TYPE">
              <a:extLst>
                <a:ext uri="{FF2B5EF4-FFF2-40B4-BE49-F238E27FC236}">
                  <a16:creationId xmlns:a16="http://schemas.microsoft.com/office/drawing/2014/main" id="{00000000-0008-0000-0700-000018000000}"/>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6123738" y="1691299"/>
              <a:ext cx="3155322" cy="697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321909</xdr:colOff>
      <xdr:row>9</xdr:row>
      <xdr:rowOff>63117</xdr:rowOff>
    </xdr:from>
    <xdr:to>
      <xdr:col>19</xdr:col>
      <xdr:colOff>43132</xdr:colOff>
      <xdr:row>12</xdr:row>
      <xdr:rowOff>172528</xdr:rowOff>
    </xdr:to>
    <mc:AlternateContent xmlns:mc="http://schemas.openxmlformats.org/markup-compatibility/2006" xmlns:a14="http://schemas.microsoft.com/office/drawing/2010/main">
      <mc:Choice Requires="a14">
        <xdr:graphicFrame macro="">
          <xdr:nvGraphicFramePr>
            <xdr:cNvPr id="25" name="PAYMENT MODE">
              <a:extLst>
                <a:ext uri="{FF2B5EF4-FFF2-40B4-BE49-F238E27FC236}">
                  <a16:creationId xmlns:a16="http://schemas.microsoft.com/office/drawing/2014/main" id="{00000000-0008-0000-0700-000019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442818" y="1725662"/>
              <a:ext cx="2153466" cy="663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181387</xdr:colOff>
      <xdr:row>26</xdr:row>
      <xdr:rowOff>143774</xdr:rowOff>
    </xdr:from>
    <xdr:to>
      <xdr:col>4</xdr:col>
      <xdr:colOff>273170</xdr:colOff>
      <xdr:row>45</xdr:row>
      <xdr:rowOff>115020</xdr:rowOff>
    </xdr:to>
    <mc:AlternateContent xmlns:mc="http://schemas.openxmlformats.org/markup-compatibility/2006" xmlns:a14="http://schemas.microsoft.com/office/drawing/2010/main">
      <mc:Choice Requires="a14">
        <xdr:graphicFrame macro="">
          <xdr:nvGraphicFramePr>
            <xdr:cNvPr id="27" name="Month">
              <a:extLst>
                <a:ext uri="{FF2B5EF4-FFF2-40B4-BE49-F238E27FC236}">
                  <a16:creationId xmlns:a16="http://schemas.microsoft.com/office/drawing/2014/main" id="{00000000-0008-0000-0700-00001B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97508" y="4946683"/>
              <a:ext cx="1307904" cy="3481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85910</xdr:colOff>
      <xdr:row>16</xdr:row>
      <xdr:rowOff>8052</xdr:rowOff>
    </xdr:from>
    <xdr:to>
      <xdr:col>4</xdr:col>
      <xdr:colOff>488831</xdr:colOff>
      <xdr:row>24</xdr:row>
      <xdr:rowOff>158152</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00000000-0008-0000-0700-00001C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02031" y="2963688"/>
              <a:ext cx="1619042" cy="162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376163</xdr:colOff>
      <xdr:row>25</xdr:row>
      <xdr:rowOff>3658</xdr:rowOff>
    </xdr:from>
    <xdr:to>
      <xdr:col>29</xdr:col>
      <xdr:colOff>505560</xdr:colOff>
      <xdr:row>38</xdr:row>
      <xdr:rowOff>155013</xdr:rowOff>
    </xdr:to>
    <xdr:graphicFrame macro="">
      <xdr:nvGraphicFramePr>
        <xdr:cNvPr id="29" name="Chart 28">
          <a:extLst>
            <a:ext uri="{FF2B5EF4-FFF2-40B4-BE49-F238E27FC236}">
              <a16:creationId xmlns:a16="http://schemas.microsoft.com/office/drawing/2014/main" id="{00000000-0008-0000-07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186906</xdr:colOff>
      <xdr:row>32</xdr:row>
      <xdr:rowOff>172528</xdr:rowOff>
    </xdr:from>
    <xdr:to>
      <xdr:col>21</xdr:col>
      <xdr:colOff>474452</xdr:colOff>
      <xdr:row>49</xdr:row>
      <xdr:rowOff>71887</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159706" y="6024688"/>
              <a:ext cx="2116346" cy="30083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27832</xdr:colOff>
      <xdr:row>21</xdr:row>
      <xdr:rowOff>155542</xdr:rowOff>
    </xdr:from>
    <xdr:to>
      <xdr:col>17</xdr:col>
      <xdr:colOff>138545</xdr:colOff>
      <xdr:row>34</xdr:row>
      <xdr:rowOff>55418</xdr:rowOff>
    </xdr:to>
    <xdr:graphicFrame macro="">
      <xdr:nvGraphicFramePr>
        <xdr:cNvPr id="31" name="Chart 30">
          <a:extLst>
            <a:ext uri="{FF2B5EF4-FFF2-40B4-BE49-F238E27FC236}">
              <a16:creationId xmlns:a16="http://schemas.microsoft.com/office/drawing/2014/main" id="{00000000-0008-0000-0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249449</xdr:colOff>
      <xdr:row>21</xdr:row>
      <xdr:rowOff>164119</xdr:rowOff>
    </xdr:from>
    <xdr:to>
      <xdr:col>10</xdr:col>
      <xdr:colOff>230036</xdr:colOff>
      <xdr:row>35</xdr:row>
      <xdr:rowOff>28755</xdr:rowOff>
    </xdr:to>
    <xdr:graphicFrame macro="">
      <xdr:nvGraphicFramePr>
        <xdr:cNvPr id="32" name="Chart 31">
          <a:extLst>
            <a:ext uri="{FF2B5EF4-FFF2-40B4-BE49-F238E27FC236}">
              <a16:creationId xmlns:a16="http://schemas.microsoft.com/office/drawing/2014/main" id="{00000000-0008-0000-07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277090</xdr:colOff>
      <xdr:row>37</xdr:row>
      <xdr:rowOff>138546</xdr:rowOff>
    </xdr:from>
    <xdr:to>
      <xdr:col>12</xdr:col>
      <xdr:colOff>180109</xdr:colOff>
      <xdr:row>49</xdr:row>
      <xdr:rowOff>110836</xdr:rowOff>
    </xdr:to>
    <xdr:graphicFrame macro="">
      <xdr:nvGraphicFramePr>
        <xdr:cNvPr id="33" name="Chart 32">
          <a:extLst>
            <a:ext uri="{FF2B5EF4-FFF2-40B4-BE49-F238E27FC236}">
              <a16:creationId xmlns:a16="http://schemas.microsoft.com/office/drawing/2014/main" id="{00000000-0008-0000-07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13853</xdr:colOff>
      <xdr:row>38</xdr:row>
      <xdr:rowOff>83129</xdr:rowOff>
    </xdr:from>
    <xdr:to>
      <xdr:col>17</xdr:col>
      <xdr:colOff>290944</xdr:colOff>
      <xdr:row>49</xdr:row>
      <xdr:rowOff>138547</xdr:rowOff>
    </xdr:to>
    <xdr:graphicFrame macro="">
      <xdr:nvGraphicFramePr>
        <xdr:cNvPr id="34" name="Chart 33">
          <a:extLst>
            <a:ext uri="{FF2B5EF4-FFF2-40B4-BE49-F238E27FC236}">
              <a16:creationId xmlns:a16="http://schemas.microsoft.com/office/drawing/2014/main" id="{00000000-0008-0000-07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53879</xdr:colOff>
      <xdr:row>16</xdr:row>
      <xdr:rowOff>130848</xdr:rowOff>
    </xdr:from>
    <xdr:to>
      <xdr:col>19</xdr:col>
      <xdr:colOff>266095</xdr:colOff>
      <xdr:row>19</xdr:row>
      <xdr:rowOff>120952</xdr:rowOff>
    </xdr:to>
    <xdr:sp macro="" textlink="">
      <xdr:nvSpPr>
        <xdr:cNvPr id="35" name="TextBox 34">
          <a:extLst>
            <a:ext uri="{FF2B5EF4-FFF2-40B4-BE49-F238E27FC236}">
              <a16:creationId xmlns:a16="http://schemas.microsoft.com/office/drawing/2014/main" id="{00000000-0008-0000-0700-000023000000}"/>
            </a:ext>
          </a:extLst>
        </xdr:cNvPr>
        <xdr:cNvSpPr txBox="1"/>
      </xdr:nvSpPr>
      <xdr:spPr>
        <a:xfrm>
          <a:off x="10939593" y="3033705"/>
          <a:ext cx="816978" cy="534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Top Product</a:t>
          </a:r>
        </a:p>
      </xdr:txBody>
    </xdr:sp>
    <xdr:clientData/>
  </xdr:twoCellAnchor>
  <xdr:twoCellAnchor>
    <xdr:from>
      <xdr:col>20</xdr:col>
      <xdr:colOff>213975</xdr:colOff>
      <xdr:row>16</xdr:row>
      <xdr:rowOff>137005</xdr:rowOff>
    </xdr:from>
    <xdr:to>
      <xdr:col>21</xdr:col>
      <xdr:colOff>435428</xdr:colOff>
      <xdr:row>19</xdr:row>
      <xdr:rowOff>36286</xdr:rowOff>
    </xdr:to>
    <xdr:sp macro="" textlink="">
      <xdr:nvSpPr>
        <xdr:cNvPr id="36" name="TextBox 35">
          <a:extLst>
            <a:ext uri="{FF2B5EF4-FFF2-40B4-BE49-F238E27FC236}">
              <a16:creationId xmlns:a16="http://schemas.microsoft.com/office/drawing/2014/main" id="{00000000-0008-0000-0700-000024000000}"/>
            </a:ext>
          </a:extLst>
        </xdr:cNvPr>
        <xdr:cNvSpPr txBox="1"/>
      </xdr:nvSpPr>
      <xdr:spPr>
        <a:xfrm>
          <a:off x="12309213" y="3039862"/>
          <a:ext cx="826215" cy="443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Top Category</a:t>
          </a:r>
        </a:p>
      </xdr:txBody>
    </xdr:sp>
    <xdr:clientData/>
  </xdr:twoCellAnchor>
  <xdr:twoCellAnchor>
    <xdr:from>
      <xdr:col>17</xdr:col>
      <xdr:colOff>600364</xdr:colOff>
      <xdr:row>21</xdr:row>
      <xdr:rowOff>183186</xdr:rowOff>
    </xdr:from>
    <xdr:to>
      <xdr:col>19</xdr:col>
      <xdr:colOff>238606</xdr:colOff>
      <xdr:row>23</xdr:row>
      <xdr:rowOff>100061</xdr:rowOff>
    </xdr:to>
    <xdr:sp macro="" textlink="Prcatice_ans!V16">
      <xdr:nvSpPr>
        <xdr:cNvPr id="39" name="TextBox 38">
          <a:extLst>
            <a:ext uri="{FF2B5EF4-FFF2-40B4-BE49-F238E27FC236}">
              <a16:creationId xmlns:a16="http://schemas.microsoft.com/office/drawing/2014/main" id="{00000000-0008-0000-0700-000027000000}"/>
            </a:ext>
          </a:extLst>
        </xdr:cNvPr>
        <xdr:cNvSpPr txBox="1"/>
      </xdr:nvSpPr>
      <xdr:spPr>
        <a:xfrm>
          <a:off x="10937394" y="4062459"/>
          <a:ext cx="854364" cy="28632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04E925-B09E-4D7A-838C-50155446D292}" type="TxLink">
            <a:rPr lang="en-US" sz="1200" b="1" i="0" u="none" strike="noStrike">
              <a:solidFill>
                <a:srgbClr val="FFFF00"/>
              </a:solidFill>
              <a:latin typeface="Calibri"/>
              <a:ea typeface="Calibri"/>
              <a:cs typeface="Calibri"/>
            </a:rPr>
            <a:pPr algn="ctr"/>
            <a:t>22952.16</a:t>
          </a:fld>
          <a:endParaRPr lang="en-IN" sz="1200" b="1">
            <a:solidFill>
              <a:srgbClr val="FFFF00"/>
            </a:solidFill>
          </a:endParaRPr>
        </a:p>
      </xdr:txBody>
    </xdr:sp>
    <xdr:clientData/>
  </xdr:twoCellAnchor>
  <xdr:twoCellAnchor>
    <xdr:from>
      <xdr:col>20</xdr:col>
      <xdr:colOff>192424</xdr:colOff>
      <xdr:row>21</xdr:row>
      <xdr:rowOff>158557</xdr:rowOff>
    </xdr:from>
    <xdr:to>
      <xdr:col>21</xdr:col>
      <xdr:colOff>492606</xdr:colOff>
      <xdr:row>23</xdr:row>
      <xdr:rowOff>130849</xdr:rowOff>
    </xdr:to>
    <xdr:sp macro="" textlink="Prcatice_ans!T2">
      <xdr:nvSpPr>
        <xdr:cNvPr id="40" name="TextBox 39">
          <a:extLst>
            <a:ext uri="{FF2B5EF4-FFF2-40B4-BE49-F238E27FC236}">
              <a16:creationId xmlns:a16="http://schemas.microsoft.com/office/drawing/2014/main" id="{00000000-0008-0000-0700-000028000000}"/>
            </a:ext>
          </a:extLst>
        </xdr:cNvPr>
        <xdr:cNvSpPr txBox="1"/>
      </xdr:nvSpPr>
      <xdr:spPr>
        <a:xfrm>
          <a:off x="12287662" y="3968557"/>
          <a:ext cx="904944" cy="33514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B45AAA-1D6E-488E-BDDA-A0A9510713B0}" type="TxLink">
            <a:rPr lang="en-US" sz="1600" b="1" i="0" u="none" strike="noStrike">
              <a:solidFill>
                <a:srgbClr val="FFFF00"/>
              </a:solidFill>
              <a:latin typeface="Calibri"/>
              <a:ea typeface="Calibri"/>
              <a:cs typeface="Calibri"/>
            </a:rPr>
            <a:pPr/>
            <a:t>95269.4</a:t>
          </a:fld>
          <a:endParaRPr lang="en-IN" sz="1600" b="1">
            <a:solidFill>
              <a:srgbClr val="FFFF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47.957585648146" createdVersion="8" refreshedVersion="8" minRefreshableVersion="3" recordCount="527" xr:uid="{5156FC90-5D1D-4C7B-AD9B-4FBEAE827F21}">
  <cacheSource type="worksheet">
    <worksheetSource ref="A1:Q528" sheet="Data 1"/>
  </cacheSource>
  <cacheFields count="17">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 numFmtId="165">
      <sharedItems containsSemiMixedTypes="0" containsString="0" containsNumber="1" containsInteger="1" minValue="5" maxValue="2250"/>
    </cacheField>
    <cacheField name="Total Selling" numFmtId="165">
      <sharedItems containsSemiMixedTypes="0" containsString="0" containsNumber="1" minValue="6.7" maxValue="3150"/>
    </cacheField>
    <cacheField name="Total Profit" numFmtId="165">
      <sharedItems containsSemiMixedTypes="0" containsString="0" containsNumber="1" minValue="686.7" maxValue="317610" count="365">
        <n v="142860.96"/>
        <n v="121111.92"/>
        <n v="74154.080000000002"/>
        <n v="24732.84"/>
        <n v="8111.7000000000007"/>
        <n v="10706.16"/>
        <n v="65471.94"/>
        <n v="3375.33"/>
        <n v="26081.760000000002"/>
        <n v="59394.720000000001"/>
        <n v="65562"/>
        <n v="163482"/>
        <n v="107850.08"/>
        <n v="45551.46"/>
        <n v="4061.7000000000003"/>
        <n v="23653.3"/>
        <n v="30881.25"/>
        <n v="74012.84"/>
        <n v="73636.94"/>
        <n v="98202"/>
        <n v="35423.299999999996"/>
        <n v="4736.7"/>
        <n v="147323.16"/>
        <n v="74714.080000000002"/>
        <n v="60535.5"/>
        <n v="73603.88"/>
        <n v="81475.199999999997"/>
        <n v="35717.480000000003"/>
        <n v="49372.84"/>
        <n v="10816.11"/>
        <n v="116344.28"/>
        <n v="21830.639999999999"/>
        <n v="28818.57"/>
        <n v="34724.76"/>
        <n v="58775.079999999994"/>
        <n v="15982.610000000002"/>
        <n v="75525.08"/>
        <n v="686.7"/>
        <n v="82503.3"/>
        <n v="66992.62"/>
        <n v="136073.46"/>
        <n v="23145.119999999999"/>
        <n v="9531.7199999999993"/>
        <n v="223385.28"/>
        <n v="61834.080000000002"/>
        <n v="2535.33"/>
        <n v="31676.610000000004"/>
        <n v="57787.80000000001"/>
        <n v="130413.48"/>
        <n v="40901.279999999999"/>
        <n v="54624.210000000006"/>
        <n v="4976.3999999999996"/>
        <n v="147708.54"/>
        <n v="34665.120000000003"/>
        <n v="32248.109999999997"/>
        <n v="9255.33"/>
        <n v="42258.81"/>
        <n v="47291.549999999996"/>
        <n v="133027.17000000001"/>
        <n v="130842"/>
        <n v="38040.81"/>
        <n v="100055.25"/>
        <n v="30123.549999999996"/>
        <n v="115327.80000000002"/>
        <n v="38127.17"/>
        <n v="222060.96"/>
        <n v="34660.5"/>
        <n v="42964.11"/>
        <n v="16279.92"/>
        <n v="42145.88"/>
        <n v="16602"/>
        <n v="149496.28"/>
        <n v="61177.279999999999"/>
        <n v="38618.730000000003"/>
        <n v="8215.92"/>
        <n v="49242"/>
        <n v="46645.2"/>
        <n v="7141.8599999999988"/>
        <n v="157832.16"/>
        <n v="47370.610000000008"/>
        <n v="200154.57"/>
        <n v="21532.11"/>
        <n v="51945.12000000001"/>
        <n v="157059.70000000001"/>
        <n v="47726.78"/>
        <n v="74456.210000000006"/>
        <n v="72727.92"/>
        <n v="275310"/>
        <n v="142281.28"/>
        <n v="5458.11"/>
        <n v="14960.21"/>
        <n v="17768.299999999996"/>
        <n v="20619.72"/>
        <n v="10309.86"/>
        <n v="143352.62000000002"/>
        <n v="4765.8599999999997"/>
        <n v="5044.21"/>
        <n v="10091.64"/>
        <n v="33822.81"/>
        <n v="5060.6400000000003"/>
        <n v="10136.700000000001"/>
        <n v="32922"/>
        <n v="127915.2"/>
        <n v="196421.46"/>
        <n v="164088.54"/>
        <n v="61625.25"/>
        <n v="92369.25"/>
        <n v="214432.56999999998"/>
        <n v="6761.7"/>
        <n v="72604.7"/>
        <n v="46476.81"/>
        <n v="54300.84"/>
        <n v="142250.48000000001"/>
        <n v="105467.88"/>
        <n v="8415.33"/>
        <n v="106110"/>
        <n v="19035.72"/>
        <n v="10935.33"/>
        <n v="87941.88"/>
        <n v="1706.64"/>
        <n v="6737.64"/>
        <n v="63584.399999999994"/>
        <n v="5557.86"/>
        <n v="172922.61"/>
        <n v="33048.54"/>
        <n v="182648.28"/>
        <n v="108799.7"/>
        <n v="263201.87999999995"/>
        <n v="3181.86"/>
        <n v="21510"/>
        <n v="120986.46"/>
        <n v="80745.119999999995"/>
        <n v="88855.92"/>
        <n v="42025.08"/>
        <n v="80470.11"/>
        <n v="7494.66"/>
        <n v="68226.3"/>
        <n v="69296.759999999995"/>
        <n v="124418.08"/>
        <n v="115547.87999999999"/>
        <n v="185876.57"/>
        <n v="70733.299999999988"/>
        <n v="59130.81"/>
        <n v="8795.76"/>
        <n v="63064.610000000008"/>
        <n v="82998.080000000002"/>
        <n v="51910.5"/>
        <n v="60638.46"/>
        <n v="24646.94"/>
        <n v="5055.33"/>
        <n v="115427.25"/>
        <n v="94778.16"/>
        <n v="54912.81"/>
        <n v="17247.55"/>
        <n v="160394.07999999999"/>
        <n v="21173.88"/>
        <n v="7436.7"/>
        <n v="16140.96"/>
        <n v="114461.93999999999"/>
        <n v="140519.88"/>
        <n v="29604.81"/>
        <n v="226595.46"/>
        <n v="12043.48"/>
        <n v="33294.080000000002"/>
        <n v="122005.28"/>
        <n v="94575.88"/>
        <n v="5010.66"/>
        <n v="63117.88"/>
        <n v="122993.87999999999"/>
        <n v="228762"/>
        <n v="53939.25"/>
        <n v="23425.200000000001"/>
        <n v="59582.21"/>
        <n v="114948.54"/>
        <n v="5998.3"/>
        <n v="133314.72"/>
        <n v="43285.5"/>
        <n v="284213.28000000003"/>
        <n v="222018.72000000003"/>
        <n v="190710"/>
        <n v="116826.29999999999"/>
        <n v="14946.66"/>
        <n v="40471.919999999998"/>
        <n v="9461.7000000000007"/>
        <n v="73352.399999999994"/>
        <n v="46185.120000000003"/>
        <n v="136519.88"/>
        <n v="213228.54"/>
        <n v="34280.400000000001"/>
        <n v="206220.96"/>
        <n v="805.86"/>
        <n v="14744.399999999998"/>
        <n v="29660.840000000004"/>
        <n v="9722.6200000000008"/>
        <n v="113047.92000000001"/>
        <n v="98568.54"/>
        <n v="148074.07999999999"/>
        <n v="97386.3"/>
        <n v="72330.73"/>
        <n v="139525.20000000001"/>
        <n v="50040.28"/>
        <n v="105172.62000000001"/>
        <n v="15042.72"/>
        <n v="8785.5"/>
        <n v="76087.17"/>
        <n v="64459.55"/>
        <n v="16799.64"/>
        <n v="11883.3"/>
        <n v="169560"/>
        <n v="16888.28"/>
        <n v="98794.08"/>
        <n v="116134.07999999999"/>
        <n v="16481.939999999999"/>
        <n v="114486.57"/>
        <n v="181334.46"/>
        <n v="16174.109999999999"/>
        <n v="48932.4"/>
        <n v="24882.66"/>
        <n v="77946.3"/>
        <n v="245675.87999999998"/>
        <n v="75112.11"/>
        <n v="215800.28"/>
        <n v="14540.57"/>
        <n v="3195.72"/>
        <n v="12279.7"/>
        <n v="23880.48"/>
        <n v="127260"/>
        <n v="68468.399999999994"/>
        <n v="143042.56999999998"/>
        <n v="162882.72"/>
        <n v="86082.62"/>
        <n v="103746.72"/>
        <n v="72172.800000000003"/>
        <n v="304489.28000000003"/>
        <n v="221658.78"/>
        <n v="18476.640000000003"/>
        <n v="90812.46"/>
        <n v="158045.88"/>
        <n v="141534.61000000002"/>
        <n v="118530.72"/>
        <n v="29834.21"/>
        <n v="86557.8"/>
        <n v="14876.840000000002"/>
        <n v="165924.48000000001"/>
        <n v="19914.66"/>
        <n v="12732.81"/>
        <n v="187252.8"/>
        <n v="57107.17"/>
        <n v="25184.640000000003"/>
        <n v="66597.17"/>
        <n v="235698.61"/>
        <n v="129797.76000000001"/>
        <n v="32334.66"/>
        <n v="9948.84"/>
        <n v="8316.94"/>
        <n v="49862.080000000002"/>
        <n v="144994.70000000001"/>
        <n v="3383.64"/>
        <n v="42660"/>
        <n v="57705.12000000001"/>
        <n v="106739.48"/>
        <n v="29017.800000000003"/>
        <n v="43402.8"/>
        <n v="17430.66"/>
        <n v="51583.55"/>
        <n v="129712.8"/>
        <n v="23507.64"/>
        <n v="10002.209999999999"/>
        <n v="34818.660000000003"/>
        <n v="44444.840000000004"/>
        <n v="11625.12"/>
        <n v="207234.72"/>
        <n v="53078.299999999996"/>
        <n v="49514.080000000002"/>
        <n v="76997.25"/>
        <n v="41308.300000000003"/>
        <n v="6363.72"/>
        <n v="5865.12"/>
        <n v="100208.57"/>
        <n v="190034.78"/>
        <n v="47617.17"/>
        <n v="133807.62"/>
        <n v="38567.25"/>
        <n v="136814.16"/>
        <n v="64663.92"/>
        <n v="100942.80000000002"/>
        <n v="8514.81"/>
        <n v="175571.88"/>
        <n v="47902.62"/>
        <n v="59228.840000000004"/>
        <n v="107741.25"/>
        <n v="36409.699999999997"/>
        <n v="55875.55"/>
        <n v="245082"/>
        <n v="116305.2"/>
        <n v="39516.839999999997"/>
        <n v="34792.21"/>
        <n v="100650.08"/>
        <n v="181189.7"/>
        <n v="33802.730000000003"/>
        <n v="5895.33"/>
        <n v="12699.72"/>
        <n v="35363.879999999997"/>
        <n v="50694.81"/>
        <n v="199224.28"/>
        <n v="120910.5"/>
        <n v="16726.080000000002"/>
        <n v="106296.94"/>
        <n v="81801.94"/>
        <n v="2526.66"/>
        <n v="15122.64"/>
        <n v="180468.53999999998"/>
        <n v="11115.72"/>
        <n v="33464.28"/>
        <n v="14538.73"/>
        <n v="169124.7"/>
        <n v="91282.08"/>
        <n v="78758.61"/>
        <n v="21539.55"/>
        <n v="50400.08"/>
        <n v="4215.33"/>
        <n v="14632.800000000001"/>
        <n v="188616.61000000002"/>
        <n v="32407.919999999998"/>
        <n v="96734.7"/>
        <n v="105061.88"/>
        <n v="69498.210000000006"/>
        <n v="12462.66"/>
        <n v="114047.17"/>
        <n v="94902.48"/>
        <n v="39066.300000000003"/>
        <n v="24343.919999999998"/>
        <n v="76618.3"/>
        <n v="24512.400000000001"/>
        <n v="99566.080000000002"/>
        <n v="95627.62"/>
        <n v="216022.8"/>
        <n v="15867.719999999998"/>
        <n v="29346.299999999996"/>
        <n v="142517.17000000001"/>
        <n v="23787.72"/>
        <n v="3386.7"/>
        <n v="84683.25"/>
        <n v="317610"/>
        <n v="109025.08"/>
        <n v="212442"/>
        <n v="151135.20000000001"/>
        <n v="107106.3"/>
        <n v="211860"/>
        <n v="126786.78"/>
        <n v="47193.3"/>
        <n v="46253.25"/>
        <n v="59391.48"/>
        <n v="88388.3"/>
        <n v="84269.16"/>
        <n v="21168.81"/>
        <n v="96919.92"/>
        <n v="28905.120000000003"/>
        <n v="111114.08"/>
        <n v="148098.72"/>
        <n v="182833.28"/>
        <n v="58146.079999999994"/>
        <n v="8725.86"/>
        <n v="86410.5"/>
        <n v="29396.399999999998"/>
      </sharedItems>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6817026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55.782752662039" createdVersion="8" refreshedVersion="8" minRefreshableVersion="3" recordCount="527" xr:uid="{4E4E7D42-527C-45D6-9360-443C5BB977B2}">
  <cacheSource type="worksheet">
    <worksheetSource ref="A1:Q528" sheet="Practice"/>
  </cacheSource>
  <cacheFields count="17">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acheField>
    <cacheField name="BUYING PRIZE" numFmtId="0">
      <sharedItems containsSemiMixedTypes="0" containsString="0" containsNumber="1" containsInteger="1" minValue="5" maxValue="150"/>
    </cacheField>
    <cacheField name="SELLING PRICE" numFmtId="0">
      <sharedItems containsSemiMixedTypes="0" containsString="0" containsNumber="1" minValue="6.7" maxValue="210"/>
    </cacheField>
    <cacheField name="Total Buying " numFmtId="0">
      <sharedItems containsSemiMixedTypes="0" containsString="0" containsNumber="1" containsInteger="1" minValue="5" maxValue="2250"/>
    </cacheField>
    <cacheField name="Total Selling" numFmtId="0">
      <sharedItems containsSemiMixedTypes="0" containsString="0" containsNumber="1" minValue="6.7" maxValue="3150"/>
    </cacheField>
    <cacheField name="Total Profit" numFmtId="0">
      <sharedItems containsSemiMixedTypes="0" containsString="0" containsNumber="1" minValue="1.7000000000000002" maxValue="90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971955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n v="156.96"/>
    <n v="1296"/>
    <n v="1412.64"/>
    <x v="0"/>
    <x v="0"/>
    <x v="0"/>
    <x v="0"/>
  </r>
  <r>
    <d v="2021-01-02T00:00:00"/>
    <s v="P0038"/>
    <n v="15"/>
    <x v="1"/>
    <x v="1"/>
    <n v="0"/>
    <x v="1"/>
    <x v="1"/>
    <x v="1"/>
    <n v="72"/>
    <n v="79.92"/>
    <n v="1080"/>
    <n v="1198.8"/>
    <x v="1"/>
    <x v="1"/>
    <x v="0"/>
    <x v="0"/>
  </r>
  <r>
    <d v="2021-01-02T00:00:00"/>
    <s v="P0013"/>
    <n v="6"/>
    <x v="2"/>
    <x v="1"/>
    <n v="0"/>
    <x v="2"/>
    <x v="2"/>
    <x v="1"/>
    <n v="112"/>
    <n v="122.08"/>
    <n v="672"/>
    <n v="732.48"/>
    <x v="2"/>
    <x v="1"/>
    <x v="0"/>
    <x v="0"/>
  </r>
  <r>
    <d v="2021-01-03T00:00:00"/>
    <s v="P0004"/>
    <n v="5"/>
    <x v="2"/>
    <x v="0"/>
    <n v="0"/>
    <x v="3"/>
    <x v="3"/>
    <x v="2"/>
    <n v="44"/>
    <n v="48.84"/>
    <n v="220"/>
    <n v="244.20000000000002"/>
    <x v="3"/>
    <x v="2"/>
    <x v="0"/>
    <x v="0"/>
  </r>
  <r>
    <d v="2021-01-04T00:00:00"/>
    <s v="P0035"/>
    <n v="12"/>
    <x v="1"/>
    <x v="0"/>
    <n v="0"/>
    <x v="4"/>
    <x v="4"/>
    <x v="3"/>
    <n v="5"/>
    <n v="6.7"/>
    <n v="60"/>
    <n v="80.400000000000006"/>
    <x v="4"/>
    <x v="3"/>
    <x v="0"/>
    <x v="0"/>
  </r>
  <r>
    <d v="2021-01-09T00:00:00"/>
    <s v="P0031"/>
    <n v="1"/>
    <x v="2"/>
    <x v="1"/>
    <n v="0"/>
    <x v="5"/>
    <x v="4"/>
    <x v="1"/>
    <n v="93"/>
    <n v="104.16"/>
    <n v="93"/>
    <n v="104.16"/>
    <x v="5"/>
    <x v="4"/>
    <x v="0"/>
    <x v="0"/>
  </r>
  <r>
    <d v="2021-01-09T00:00:00"/>
    <s v="P0003"/>
    <n v="8"/>
    <x v="2"/>
    <x v="1"/>
    <n v="0"/>
    <x v="6"/>
    <x v="3"/>
    <x v="1"/>
    <n v="71"/>
    <n v="80.94"/>
    <n v="568"/>
    <n v="647.52"/>
    <x v="6"/>
    <x v="4"/>
    <x v="0"/>
    <x v="0"/>
  </r>
  <r>
    <d v="2021-01-09T00:00:00"/>
    <s v="P0025"/>
    <n v="4"/>
    <x v="2"/>
    <x v="0"/>
    <n v="0"/>
    <x v="7"/>
    <x v="0"/>
    <x v="3"/>
    <n v="7"/>
    <n v="8.33"/>
    <n v="28"/>
    <n v="33.32"/>
    <x v="7"/>
    <x v="4"/>
    <x v="0"/>
    <x v="0"/>
  </r>
  <r>
    <d v="2021-01-11T00:00:00"/>
    <s v="P0037"/>
    <n v="3"/>
    <x v="2"/>
    <x v="1"/>
    <n v="0"/>
    <x v="8"/>
    <x v="1"/>
    <x v="1"/>
    <n v="67"/>
    <n v="85.76"/>
    <n v="201"/>
    <n v="257.28000000000003"/>
    <x v="8"/>
    <x v="5"/>
    <x v="0"/>
    <x v="0"/>
  </r>
  <r>
    <d v="2021-01-11T00:00:00"/>
    <s v="P0014"/>
    <n v="4"/>
    <x v="0"/>
    <x v="0"/>
    <n v="0"/>
    <x v="9"/>
    <x v="2"/>
    <x v="1"/>
    <n v="112"/>
    <n v="146.72"/>
    <n v="448"/>
    <n v="586.88"/>
    <x v="9"/>
    <x v="5"/>
    <x v="0"/>
    <x v="0"/>
  </r>
  <r>
    <d v="2021-01-11T00:00:00"/>
    <s v="P0042"/>
    <n v="4"/>
    <x v="2"/>
    <x v="0"/>
    <n v="0"/>
    <x v="10"/>
    <x v="1"/>
    <x v="0"/>
    <n v="120"/>
    <n v="162"/>
    <n v="480"/>
    <n v="648"/>
    <x v="10"/>
    <x v="5"/>
    <x v="0"/>
    <x v="0"/>
  </r>
  <r>
    <d v="2021-01-12T00:00:00"/>
    <s v="P0042"/>
    <n v="10"/>
    <x v="1"/>
    <x v="1"/>
    <n v="0"/>
    <x v="10"/>
    <x v="1"/>
    <x v="0"/>
    <n v="120"/>
    <n v="162"/>
    <n v="1200"/>
    <n v="1620"/>
    <x v="11"/>
    <x v="6"/>
    <x v="0"/>
    <x v="0"/>
  </r>
  <r>
    <d v="2021-01-18T00:00:00"/>
    <s v="P0044"/>
    <n v="13"/>
    <x v="2"/>
    <x v="1"/>
    <n v="0"/>
    <x v="11"/>
    <x v="1"/>
    <x v="1"/>
    <n v="76"/>
    <n v="82.08"/>
    <n v="988"/>
    <n v="1067.04"/>
    <x v="12"/>
    <x v="7"/>
    <x v="0"/>
    <x v="0"/>
  </r>
  <r>
    <d v="2021-01-18T00:00:00"/>
    <s v="P0023"/>
    <n v="3"/>
    <x v="1"/>
    <x v="1"/>
    <n v="0"/>
    <x v="12"/>
    <x v="0"/>
    <x v="0"/>
    <n v="141"/>
    <n v="149.46"/>
    <n v="423"/>
    <n v="448.38"/>
    <x v="13"/>
    <x v="7"/>
    <x v="0"/>
    <x v="0"/>
  </r>
  <r>
    <d v="2021-01-19T00:00:00"/>
    <s v="P0035"/>
    <n v="6"/>
    <x v="2"/>
    <x v="1"/>
    <n v="0"/>
    <x v="4"/>
    <x v="4"/>
    <x v="3"/>
    <n v="5"/>
    <n v="6.7"/>
    <n v="30"/>
    <n v="40.200000000000003"/>
    <x v="14"/>
    <x v="8"/>
    <x v="0"/>
    <x v="0"/>
  </r>
  <r>
    <d v="2021-01-20T00:00:00"/>
    <s v="P0034"/>
    <n v="4"/>
    <x v="2"/>
    <x v="1"/>
    <n v="0"/>
    <x v="13"/>
    <x v="4"/>
    <x v="2"/>
    <n v="55"/>
    <n v="58.3"/>
    <n v="220"/>
    <n v="233.2"/>
    <x v="15"/>
    <x v="9"/>
    <x v="0"/>
    <x v="0"/>
  </r>
  <r>
    <d v="2021-01-20T00:00:00"/>
    <s v="P0020"/>
    <n v="4"/>
    <x v="2"/>
    <x v="1"/>
    <n v="0"/>
    <x v="14"/>
    <x v="0"/>
    <x v="2"/>
    <n v="61"/>
    <n v="76.25"/>
    <n v="244"/>
    <n v="305"/>
    <x v="16"/>
    <x v="9"/>
    <x v="0"/>
    <x v="0"/>
  </r>
  <r>
    <d v="2021-01-21T00:00:00"/>
    <s v="P0004"/>
    <n v="15"/>
    <x v="0"/>
    <x v="1"/>
    <n v="0"/>
    <x v="3"/>
    <x v="3"/>
    <x v="2"/>
    <n v="44"/>
    <n v="48.84"/>
    <n v="660"/>
    <n v="732.6"/>
    <x v="17"/>
    <x v="10"/>
    <x v="0"/>
    <x v="0"/>
  </r>
  <r>
    <d v="2021-01-21T00:00:00"/>
    <s v="P0003"/>
    <n v="9"/>
    <x v="2"/>
    <x v="0"/>
    <n v="0"/>
    <x v="6"/>
    <x v="3"/>
    <x v="1"/>
    <n v="71"/>
    <n v="80.94"/>
    <n v="639"/>
    <n v="728.46"/>
    <x v="18"/>
    <x v="10"/>
    <x v="0"/>
    <x v="0"/>
  </r>
  <r>
    <d v="2021-01-21T00:00:00"/>
    <s v="P0042"/>
    <n v="6"/>
    <x v="2"/>
    <x v="0"/>
    <n v="0"/>
    <x v="10"/>
    <x v="1"/>
    <x v="0"/>
    <n v="120"/>
    <n v="162"/>
    <n v="720"/>
    <n v="972"/>
    <x v="19"/>
    <x v="10"/>
    <x v="0"/>
    <x v="0"/>
  </r>
  <r>
    <d v="2021-01-25T00:00:00"/>
    <s v="P0034"/>
    <n v="6"/>
    <x v="2"/>
    <x v="1"/>
    <n v="0"/>
    <x v="13"/>
    <x v="4"/>
    <x v="2"/>
    <n v="55"/>
    <n v="58.3"/>
    <n v="330"/>
    <n v="349.79999999999995"/>
    <x v="20"/>
    <x v="11"/>
    <x v="0"/>
    <x v="0"/>
  </r>
  <r>
    <d v="2021-01-25T00:00:00"/>
    <s v="P0035"/>
    <n v="7"/>
    <x v="2"/>
    <x v="0"/>
    <n v="0"/>
    <x v="4"/>
    <x v="4"/>
    <x v="3"/>
    <n v="5"/>
    <n v="6.7"/>
    <n v="35"/>
    <n v="46.9"/>
    <x v="21"/>
    <x v="11"/>
    <x v="0"/>
    <x v="0"/>
  </r>
  <r>
    <d v="2021-01-25T00:00:00"/>
    <s v="P0031"/>
    <n v="14"/>
    <x v="2"/>
    <x v="0"/>
    <n v="0"/>
    <x v="5"/>
    <x v="4"/>
    <x v="1"/>
    <n v="93"/>
    <n v="104.16"/>
    <n v="1302"/>
    <n v="1458.24"/>
    <x v="22"/>
    <x v="11"/>
    <x v="0"/>
    <x v="0"/>
  </r>
  <r>
    <d v="2021-01-26T00:00:00"/>
    <s v="P0044"/>
    <n v="9"/>
    <x v="0"/>
    <x v="1"/>
    <n v="0"/>
    <x v="11"/>
    <x v="1"/>
    <x v="1"/>
    <n v="76"/>
    <n v="82.08"/>
    <n v="684"/>
    <n v="738.72"/>
    <x v="23"/>
    <x v="12"/>
    <x v="0"/>
    <x v="0"/>
  </r>
  <r>
    <d v="2021-01-26T00:00:00"/>
    <s v="P0006"/>
    <n v="7"/>
    <x v="1"/>
    <x v="1"/>
    <n v="0"/>
    <x v="15"/>
    <x v="3"/>
    <x v="1"/>
    <n v="75"/>
    <n v="85.5"/>
    <n v="525"/>
    <n v="598.5"/>
    <x v="24"/>
    <x v="12"/>
    <x v="0"/>
    <x v="0"/>
  </r>
  <r>
    <d v="2021-01-26T00:00:00"/>
    <s v="P0001"/>
    <n v="7"/>
    <x v="1"/>
    <x v="0"/>
    <n v="0"/>
    <x v="16"/>
    <x v="3"/>
    <x v="1"/>
    <n v="98"/>
    <n v="103.88"/>
    <n v="686"/>
    <n v="727.16"/>
    <x v="25"/>
    <x v="12"/>
    <x v="0"/>
    <x v="0"/>
  </r>
  <r>
    <d v="2021-01-27T00:00:00"/>
    <s v="P0040"/>
    <n v="7"/>
    <x v="0"/>
    <x v="0"/>
    <n v="0"/>
    <x v="17"/>
    <x v="1"/>
    <x v="1"/>
    <n v="90"/>
    <n v="115.2"/>
    <n v="630"/>
    <n v="806.4"/>
    <x v="26"/>
    <x v="13"/>
    <x v="0"/>
    <x v="0"/>
  </r>
  <r>
    <d v="2021-01-27T00:00:00"/>
    <s v="P0032"/>
    <n v="3"/>
    <x v="0"/>
    <x v="0"/>
    <n v="0"/>
    <x v="18"/>
    <x v="4"/>
    <x v="1"/>
    <n v="89"/>
    <n v="117.48"/>
    <n v="267"/>
    <n v="352.44"/>
    <x v="27"/>
    <x v="13"/>
    <x v="0"/>
    <x v="0"/>
  </r>
  <r>
    <d v="2021-01-28T00:00:00"/>
    <s v="P0004"/>
    <n v="10"/>
    <x v="1"/>
    <x v="1"/>
    <n v="0"/>
    <x v="3"/>
    <x v="3"/>
    <x v="2"/>
    <n v="44"/>
    <n v="48.84"/>
    <n v="440"/>
    <n v="488.40000000000003"/>
    <x v="28"/>
    <x v="14"/>
    <x v="0"/>
    <x v="0"/>
  </r>
  <r>
    <d v="2021-01-28T00:00:00"/>
    <s v="P0029"/>
    <n v="2"/>
    <x v="2"/>
    <x v="1"/>
    <n v="0"/>
    <x v="19"/>
    <x v="4"/>
    <x v="2"/>
    <n v="47"/>
    <n v="53.11"/>
    <n v="94"/>
    <n v="106.22"/>
    <x v="29"/>
    <x v="14"/>
    <x v="0"/>
    <x v="0"/>
  </r>
  <r>
    <d v="2021-02-02T00:00:00"/>
    <s v="P0010"/>
    <n v="7"/>
    <x v="1"/>
    <x v="0"/>
    <n v="0"/>
    <x v="20"/>
    <x v="2"/>
    <x v="0"/>
    <n v="148"/>
    <n v="164.28"/>
    <n v="1036"/>
    <n v="1149.96"/>
    <x v="30"/>
    <x v="1"/>
    <x v="1"/>
    <x v="0"/>
  </r>
  <r>
    <d v="2021-02-03T00:00:00"/>
    <s v="P0016"/>
    <n v="13"/>
    <x v="2"/>
    <x v="0"/>
    <n v="0"/>
    <x v="21"/>
    <x v="2"/>
    <x v="3"/>
    <n v="13"/>
    <n v="16.64"/>
    <n v="169"/>
    <n v="216.32"/>
    <x v="31"/>
    <x v="2"/>
    <x v="1"/>
    <x v="0"/>
  </r>
  <r>
    <d v="2021-02-03T00:00:00"/>
    <s v="P0022"/>
    <n v="2"/>
    <x v="0"/>
    <x v="1"/>
    <n v="0"/>
    <x v="22"/>
    <x v="0"/>
    <x v="0"/>
    <n v="121"/>
    <n v="141.57"/>
    <n v="242"/>
    <n v="283.14"/>
    <x v="32"/>
    <x v="2"/>
    <x v="1"/>
    <x v="0"/>
  </r>
  <r>
    <d v="2021-02-04T00:00:00"/>
    <s v="P0037"/>
    <n v="4"/>
    <x v="1"/>
    <x v="0"/>
    <n v="0"/>
    <x v="8"/>
    <x v="1"/>
    <x v="1"/>
    <n v="67"/>
    <n v="85.76"/>
    <n v="268"/>
    <n v="343.04"/>
    <x v="33"/>
    <x v="3"/>
    <x v="1"/>
    <x v="0"/>
  </r>
  <r>
    <d v="2021-02-05T00:00:00"/>
    <s v="P0043"/>
    <n v="7"/>
    <x v="1"/>
    <x v="1"/>
    <n v="0"/>
    <x v="23"/>
    <x v="1"/>
    <x v="1"/>
    <n v="67"/>
    <n v="83.08"/>
    <n v="469"/>
    <n v="581.55999999999995"/>
    <x v="34"/>
    <x v="15"/>
    <x v="1"/>
    <x v="0"/>
  </r>
  <r>
    <d v="2021-02-05T00:00:00"/>
    <s v="P0005"/>
    <n v="1"/>
    <x v="2"/>
    <x v="1"/>
    <n v="0"/>
    <x v="24"/>
    <x v="3"/>
    <x v="0"/>
    <n v="133"/>
    <n v="155.61000000000001"/>
    <n v="133"/>
    <n v="155.61000000000001"/>
    <x v="35"/>
    <x v="15"/>
    <x v="1"/>
    <x v="0"/>
  </r>
  <r>
    <d v="2021-02-05T00:00:00"/>
    <s v="P0043"/>
    <n v="9"/>
    <x v="2"/>
    <x v="1"/>
    <n v="0"/>
    <x v="23"/>
    <x v="1"/>
    <x v="1"/>
    <n v="67"/>
    <n v="83.08"/>
    <n v="603"/>
    <n v="747.72"/>
    <x v="36"/>
    <x v="15"/>
    <x v="1"/>
    <x v="0"/>
  </r>
  <r>
    <d v="2021-02-06T00:00:00"/>
    <s v="P0035"/>
    <n v="1"/>
    <x v="2"/>
    <x v="1"/>
    <n v="0"/>
    <x v="4"/>
    <x v="4"/>
    <x v="3"/>
    <n v="5"/>
    <n v="6.7"/>
    <n v="5"/>
    <n v="6.7"/>
    <x v="37"/>
    <x v="16"/>
    <x v="1"/>
    <x v="0"/>
  </r>
  <r>
    <d v="2021-02-09T00:00:00"/>
    <s v="P0034"/>
    <n v="14"/>
    <x v="2"/>
    <x v="0"/>
    <n v="0"/>
    <x v="13"/>
    <x v="4"/>
    <x v="2"/>
    <n v="55"/>
    <n v="58.3"/>
    <n v="770"/>
    <n v="816.19999999999993"/>
    <x v="38"/>
    <x v="4"/>
    <x v="1"/>
    <x v="0"/>
  </r>
  <r>
    <d v="2021-02-12T00:00:00"/>
    <s v="P0008"/>
    <n v="7"/>
    <x v="2"/>
    <x v="1"/>
    <n v="0"/>
    <x v="25"/>
    <x v="3"/>
    <x v="1"/>
    <n v="83"/>
    <n v="94.62"/>
    <n v="581"/>
    <n v="662.34"/>
    <x v="39"/>
    <x v="6"/>
    <x v="1"/>
    <x v="0"/>
  </r>
  <r>
    <d v="2021-02-12T00:00:00"/>
    <s v="P0023"/>
    <n v="9"/>
    <x v="1"/>
    <x v="1"/>
    <n v="0"/>
    <x v="12"/>
    <x v="0"/>
    <x v="0"/>
    <n v="141"/>
    <n v="149.46"/>
    <n v="1269"/>
    <n v="1345.14"/>
    <x v="40"/>
    <x v="6"/>
    <x v="1"/>
    <x v="0"/>
  </r>
  <r>
    <d v="2021-02-15T00:00:00"/>
    <s v="P0027"/>
    <n v="4"/>
    <x v="2"/>
    <x v="0"/>
    <n v="0"/>
    <x v="26"/>
    <x v="4"/>
    <x v="2"/>
    <n v="48"/>
    <n v="57.120000000000005"/>
    <n v="192"/>
    <n v="228.48000000000002"/>
    <x v="41"/>
    <x v="17"/>
    <x v="1"/>
    <x v="0"/>
  </r>
  <r>
    <d v="2021-02-18T00:00:00"/>
    <s v="P0015"/>
    <n v="6"/>
    <x v="1"/>
    <x v="1"/>
    <n v="0"/>
    <x v="27"/>
    <x v="2"/>
    <x v="3"/>
    <n v="12"/>
    <n v="15.719999999999999"/>
    <n v="72"/>
    <n v="94.32"/>
    <x v="42"/>
    <x v="7"/>
    <x v="1"/>
    <x v="0"/>
  </r>
  <r>
    <d v="2021-02-20T00:00:00"/>
    <s v="P0030"/>
    <n v="11"/>
    <x v="1"/>
    <x v="1"/>
    <n v="0"/>
    <x v="28"/>
    <x v="4"/>
    <x v="0"/>
    <n v="148"/>
    <n v="201.28"/>
    <n v="1628"/>
    <n v="2214.08"/>
    <x v="43"/>
    <x v="9"/>
    <x v="1"/>
    <x v="0"/>
  </r>
  <r>
    <d v="2021-02-22T00:00:00"/>
    <s v="P0013"/>
    <n v="5"/>
    <x v="1"/>
    <x v="1"/>
    <n v="0"/>
    <x v="2"/>
    <x v="2"/>
    <x v="1"/>
    <n v="112"/>
    <n v="122.08"/>
    <n v="560"/>
    <n v="610.4"/>
    <x v="44"/>
    <x v="18"/>
    <x v="1"/>
    <x v="0"/>
  </r>
  <r>
    <d v="2021-02-23T00:00:00"/>
    <s v="P0025"/>
    <n v="3"/>
    <x v="2"/>
    <x v="1"/>
    <n v="0"/>
    <x v="7"/>
    <x v="0"/>
    <x v="3"/>
    <n v="7"/>
    <n v="8.33"/>
    <n v="21"/>
    <n v="24.990000000000002"/>
    <x v="45"/>
    <x v="19"/>
    <x v="1"/>
    <x v="0"/>
  </r>
  <r>
    <d v="2021-02-23T00:00:00"/>
    <s v="P0005"/>
    <n v="2"/>
    <x v="2"/>
    <x v="0"/>
    <n v="0"/>
    <x v="24"/>
    <x v="3"/>
    <x v="0"/>
    <n v="133"/>
    <n v="155.61000000000001"/>
    <n v="266"/>
    <n v="311.22000000000003"/>
    <x v="46"/>
    <x v="19"/>
    <x v="1"/>
    <x v="0"/>
  </r>
  <r>
    <d v="2021-02-25T00:00:00"/>
    <s v="P0002"/>
    <n v="4"/>
    <x v="0"/>
    <x v="0"/>
    <n v="0"/>
    <x v="29"/>
    <x v="3"/>
    <x v="1"/>
    <n v="105"/>
    <n v="142.80000000000001"/>
    <n v="420"/>
    <n v="571.20000000000005"/>
    <x v="47"/>
    <x v="11"/>
    <x v="1"/>
    <x v="0"/>
  </r>
  <r>
    <d v="2021-02-25T00:00:00"/>
    <s v="P0032"/>
    <n v="11"/>
    <x v="1"/>
    <x v="1"/>
    <n v="0"/>
    <x v="18"/>
    <x v="4"/>
    <x v="1"/>
    <n v="89"/>
    <n v="117.48"/>
    <n v="979"/>
    <n v="1292.28"/>
    <x v="48"/>
    <x v="11"/>
    <x v="1"/>
    <x v="0"/>
  </r>
  <r>
    <d v="2021-02-25T00:00:00"/>
    <s v="P0030"/>
    <n v="2"/>
    <x v="2"/>
    <x v="0"/>
    <n v="0"/>
    <x v="28"/>
    <x v="4"/>
    <x v="0"/>
    <n v="148"/>
    <n v="201.28"/>
    <n v="296"/>
    <n v="402.56"/>
    <x v="49"/>
    <x v="11"/>
    <x v="1"/>
    <x v="0"/>
  </r>
  <r>
    <d v="2021-02-27T00:00:00"/>
    <s v="P0018"/>
    <n v="11"/>
    <x v="0"/>
    <x v="0"/>
    <n v="0"/>
    <x v="30"/>
    <x v="2"/>
    <x v="3"/>
    <n v="37"/>
    <n v="49.21"/>
    <n v="407"/>
    <n v="541.31000000000006"/>
    <x v="50"/>
    <x v="13"/>
    <x v="1"/>
    <x v="0"/>
  </r>
  <r>
    <d v="2021-03-03T00:00:00"/>
    <s v="P0011"/>
    <n v="1"/>
    <x v="2"/>
    <x v="0"/>
    <n v="0"/>
    <x v="31"/>
    <x v="2"/>
    <x v="2"/>
    <n v="44"/>
    <n v="48.4"/>
    <n v="44"/>
    <n v="48.4"/>
    <x v="51"/>
    <x v="2"/>
    <x v="2"/>
    <x v="0"/>
  </r>
  <r>
    <d v="2021-03-07T00:00:00"/>
    <s v="P0021"/>
    <n v="9"/>
    <x v="2"/>
    <x v="1"/>
    <n v="0"/>
    <x v="32"/>
    <x v="0"/>
    <x v="0"/>
    <n v="126"/>
    <n v="162.54"/>
    <n v="1134"/>
    <n v="1462.86"/>
    <x v="52"/>
    <x v="20"/>
    <x v="2"/>
    <x v="0"/>
  </r>
  <r>
    <d v="2021-03-08T00:00:00"/>
    <s v="P0027"/>
    <n v="6"/>
    <x v="1"/>
    <x v="1"/>
    <n v="0"/>
    <x v="26"/>
    <x v="4"/>
    <x v="2"/>
    <n v="48"/>
    <n v="57.120000000000005"/>
    <n v="288"/>
    <n v="342.72"/>
    <x v="53"/>
    <x v="21"/>
    <x v="2"/>
    <x v="0"/>
  </r>
  <r>
    <d v="2021-03-08T00:00:00"/>
    <s v="P0044"/>
    <n v="9"/>
    <x v="1"/>
    <x v="0"/>
    <n v="0"/>
    <x v="11"/>
    <x v="1"/>
    <x v="1"/>
    <n v="76"/>
    <n v="82.08"/>
    <n v="684"/>
    <n v="738.72"/>
    <x v="23"/>
    <x v="21"/>
    <x v="2"/>
    <x v="0"/>
  </r>
  <r>
    <d v="2021-03-09T00:00:00"/>
    <s v="P0029"/>
    <n v="6"/>
    <x v="0"/>
    <x v="0"/>
    <n v="0"/>
    <x v="19"/>
    <x v="4"/>
    <x v="2"/>
    <n v="47"/>
    <n v="53.11"/>
    <n v="282"/>
    <n v="318.65999999999997"/>
    <x v="54"/>
    <x v="4"/>
    <x v="2"/>
    <x v="0"/>
  </r>
  <r>
    <d v="2021-03-11T00:00:00"/>
    <s v="P0025"/>
    <n v="11"/>
    <x v="2"/>
    <x v="1"/>
    <n v="0"/>
    <x v="7"/>
    <x v="0"/>
    <x v="3"/>
    <n v="7"/>
    <n v="8.33"/>
    <n v="77"/>
    <n v="91.63"/>
    <x v="55"/>
    <x v="5"/>
    <x v="2"/>
    <x v="0"/>
  </r>
  <r>
    <d v="2021-03-13T00:00:00"/>
    <s v="P0028"/>
    <n v="10"/>
    <x v="0"/>
    <x v="1"/>
    <n v="0"/>
    <x v="33"/>
    <x v="4"/>
    <x v="3"/>
    <n v="37"/>
    <n v="41.81"/>
    <n v="370"/>
    <n v="418.1"/>
    <x v="56"/>
    <x v="22"/>
    <x v="2"/>
    <x v="0"/>
  </r>
  <r>
    <d v="2021-03-15T00:00:00"/>
    <s v="P0039"/>
    <n v="11"/>
    <x v="1"/>
    <x v="1"/>
    <n v="0"/>
    <x v="34"/>
    <x v="1"/>
    <x v="3"/>
    <n v="37"/>
    <n v="42.55"/>
    <n v="407"/>
    <n v="468.04999999999995"/>
    <x v="57"/>
    <x v="17"/>
    <x v="2"/>
    <x v="0"/>
  </r>
  <r>
    <d v="2021-03-16T00:00:00"/>
    <s v="P0012"/>
    <n v="14"/>
    <x v="2"/>
    <x v="1"/>
    <n v="0"/>
    <x v="35"/>
    <x v="2"/>
    <x v="1"/>
    <n v="73"/>
    <n v="94.17"/>
    <n v="1022"/>
    <n v="1318.38"/>
    <x v="58"/>
    <x v="23"/>
    <x v="2"/>
    <x v="0"/>
  </r>
  <r>
    <d v="2021-03-18T00:00:00"/>
    <s v="P0042"/>
    <n v="8"/>
    <x v="0"/>
    <x v="1"/>
    <n v="0"/>
    <x v="10"/>
    <x v="1"/>
    <x v="0"/>
    <n v="120"/>
    <n v="162"/>
    <n v="960"/>
    <n v="1296"/>
    <x v="59"/>
    <x v="7"/>
    <x v="2"/>
    <x v="0"/>
  </r>
  <r>
    <d v="2021-03-19T00:00:00"/>
    <s v="P0028"/>
    <n v="9"/>
    <x v="1"/>
    <x v="1"/>
    <n v="0"/>
    <x v="33"/>
    <x v="4"/>
    <x v="3"/>
    <n v="37"/>
    <n v="41.81"/>
    <n v="333"/>
    <n v="376.29"/>
    <x v="60"/>
    <x v="8"/>
    <x v="2"/>
    <x v="0"/>
  </r>
  <r>
    <d v="2021-03-21T00:00:00"/>
    <s v="P0020"/>
    <n v="13"/>
    <x v="1"/>
    <x v="0"/>
    <n v="0"/>
    <x v="14"/>
    <x v="0"/>
    <x v="2"/>
    <n v="61"/>
    <n v="76.25"/>
    <n v="793"/>
    <n v="991.25"/>
    <x v="61"/>
    <x v="10"/>
    <x v="2"/>
    <x v="0"/>
  </r>
  <r>
    <d v="2021-03-21T00:00:00"/>
    <s v="P0039"/>
    <n v="7"/>
    <x v="2"/>
    <x v="0"/>
    <n v="0"/>
    <x v="34"/>
    <x v="1"/>
    <x v="3"/>
    <n v="37"/>
    <n v="42.55"/>
    <n v="259"/>
    <n v="297.84999999999997"/>
    <x v="62"/>
    <x v="10"/>
    <x v="2"/>
    <x v="0"/>
  </r>
  <r>
    <d v="2021-03-22T00:00:00"/>
    <s v="P0002"/>
    <n v="8"/>
    <x v="1"/>
    <x v="0"/>
    <n v="0"/>
    <x v="29"/>
    <x v="3"/>
    <x v="1"/>
    <n v="105"/>
    <n v="142.80000000000001"/>
    <n v="840"/>
    <n v="1142.4000000000001"/>
    <x v="63"/>
    <x v="18"/>
    <x v="2"/>
    <x v="0"/>
  </r>
  <r>
    <d v="2021-03-22T00:00:00"/>
    <s v="P0012"/>
    <n v="4"/>
    <x v="1"/>
    <x v="0"/>
    <n v="0"/>
    <x v="35"/>
    <x v="2"/>
    <x v="1"/>
    <n v="73"/>
    <n v="94.17"/>
    <n v="292"/>
    <n v="376.68"/>
    <x v="64"/>
    <x v="18"/>
    <x v="2"/>
    <x v="0"/>
  </r>
  <r>
    <d v="2021-03-25T00:00:00"/>
    <s v="P0024"/>
    <n v="14"/>
    <x v="1"/>
    <x v="1"/>
    <n v="0"/>
    <x v="0"/>
    <x v="0"/>
    <x v="0"/>
    <n v="144"/>
    <n v="156.96"/>
    <n v="2016"/>
    <n v="2197.44"/>
    <x v="65"/>
    <x v="11"/>
    <x v="2"/>
    <x v="0"/>
  </r>
  <r>
    <d v="2021-03-25T00:00:00"/>
    <s v="P0006"/>
    <n v="4"/>
    <x v="2"/>
    <x v="1"/>
    <n v="0"/>
    <x v="15"/>
    <x v="3"/>
    <x v="1"/>
    <n v="75"/>
    <n v="85.5"/>
    <n v="300"/>
    <n v="342"/>
    <x v="66"/>
    <x v="11"/>
    <x v="2"/>
    <x v="0"/>
  </r>
  <r>
    <d v="2021-03-25T00:00:00"/>
    <s v="P0029"/>
    <n v="8"/>
    <x v="2"/>
    <x v="1"/>
    <n v="0"/>
    <x v="19"/>
    <x v="4"/>
    <x v="2"/>
    <n v="47"/>
    <n v="53.11"/>
    <n v="376"/>
    <n v="424.88"/>
    <x v="67"/>
    <x v="11"/>
    <x v="2"/>
    <x v="0"/>
  </r>
  <r>
    <d v="2021-03-25T00:00:00"/>
    <s v="P0038"/>
    <n v="2"/>
    <x v="2"/>
    <x v="0"/>
    <n v="0"/>
    <x v="1"/>
    <x v="1"/>
    <x v="1"/>
    <n v="72"/>
    <n v="79.92"/>
    <n v="144"/>
    <n v="159.84"/>
    <x v="68"/>
    <x v="11"/>
    <x v="2"/>
    <x v="0"/>
  </r>
  <r>
    <d v="2021-03-26T00:00:00"/>
    <s v="P0001"/>
    <n v="4"/>
    <x v="2"/>
    <x v="1"/>
    <n v="0"/>
    <x v="16"/>
    <x v="3"/>
    <x v="1"/>
    <n v="98"/>
    <n v="103.88"/>
    <n v="392"/>
    <n v="415.52"/>
    <x v="69"/>
    <x v="12"/>
    <x v="2"/>
    <x v="0"/>
  </r>
  <r>
    <d v="2021-03-26T00:00:00"/>
    <s v="P0042"/>
    <n v="1"/>
    <x v="2"/>
    <x v="1"/>
    <n v="0"/>
    <x v="10"/>
    <x v="1"/>
    <x v="0"/>
    <n v="120"/>
    <n v="162"/>
    <n v="120"/>
    <n v="162"/>
    <x v="70"/>
    <x v="12"/>
    <x v="2"/>
    <x v="0"/>
  </r>
  <r>
    <d v="2021-03-26T00:00:00"/>
    <s v="P0010"/>
    <n v="9"/>
    <x v="2"/>
    <x v="0"/>
    <n v="0"/>
    <x v="20"/>
    <x v="2"/>
    <x v="0"/>
    <n v="148"/>
    <n v="164.28"/>
    <n v="1332"/>
    <n v="1478.52"/>
    <x v="71"/>
    <x v="12"/>
    <x v="2"/>
    <x v="0"/>
  </r>
  <r>
    <d v="2021-03-27T00:00:00"/>
    <s v="P0030"/>
    <n v="3"/>
    <x v="2"/>
    <x v="0"/>
    <n v="0"/>
    <x v="28"/>
    <x v="4"/>
    <x v="0"/>
    <n v="148"/>
    <n v="201.28"/>
    <n v="444"/>
    <n v="603.84"/>
    <x v="72"/>
    <x v="13"/>
    <x v="2"/>
    <x v="0"/>
  </r>
  <r>
    <d v="2021-03-28T00:00:00"/>
    <s v="P0007"/>
    <n v="8"/>
    <x v="1"/>
    <x v="1"/>
    <n v="0"/>
    <x v="36"/>
    <x v="3"/>
    <x v="2"/>
    <n v="43"/>
    <n v="47.730000000000004"/>
    <n v="344"/>
    <n v="381.84000000000003"/>
    <x v="73"/>
    <x v="14"/>
    <x v="2"/>
    <x v="0"/>
  </r>
  <r>
    <d v="2021-03-30T00:00:00"/>
    <s v="P0038"/>
    <n v="1"/>
    <x v="1"/>
    <x v="1"/>
    <n v="0"/>
    <x v="1"/>
    <x v="1"/>
    <x v="1"/>
    <n v="72"/>
    <n v="79.92"/>
    <n v="72"/>
    <n v="79.92"/>
    <x v="74"/>
    <x v="24"/>
    <x v="2"/>
    <x v="0"/>
  </r>
  <r>
    <d v="2021-03-31T00:00:00"/>
    <s v="P0042"/>
    <n v="3"/>
    <x v="2"/>
    <x v="1"/>
    <n v="0"/>
    <x v="10"/>
    <x v="1"/>
    <x v="0"/>
    <n v="120"/>
    <n v="162"/>
    <n v="360"/>
    <n v="486"/>
    <x v="75"/>
    <x v="25"/>
    <x v="2"/>
    <x v="0"/>
  </r>
  <r>
    <d v="2021-04-04T00:00:00"/>
    <s v="P0040"/>
    <n v="4"/>
    <x v="2"/>
    <x v="1"/>
    <n v="0"/>
    <x v="17"/>
    <x v="1"/>
    <x v="1"/>
    <n v="90"/>
    <n v="115.2"/>
    <n v="360"/>
    <n v="460.8"/>
    <x v="76"/>
    <x v="3"/>
    <x v="3"/>
    <x v="0"/>
  </r>
  <r>
    <d v="2021-04-04T00:00:00"/>
    <s v="P0009"/>
    <n v="9"/>
    <x v="1"/>
    <x v="1"/>
    <n v="0"/>
    <x v="37"/>
    <x v="0"/>
    <x v="3"/>
    <n v="6"/>
    <n v="7.8599999999999994"/>
    <n v="54"/>
    <n v="70.739999999999995"/>
    <x v="77"/>
    <x v="3"/>
    <x v="3"/>
    <x v="0"/>
  </r>
  <r>
    <d v="2021-04-05T00:00:00"/>
    <s v="P0031"/>
    <n v="15"/>
    <x v="1"/>
    <x v="0"/>
    <n v="0"/>
    <x v="5"/>
    <x v="4"/>
    <x v="1"/>
    <n v="93"/>
    <n v="104.16"/>
    <n v="1395"/>
    <n v="1562.3999999999999"/>
    <x v="78"/>
    <x v="15"/>
    <x v="3"/>
    <x v="0"/>
  </r>
  <r>
    <d v="2021-04-09T00:00:00"/>
    <s v="P0005"/>
    <n v="3"/>
    <x v="1"/>
    <x v="0"/>
    <n v="0"/>
    <x v="24"/>
    <x v="3"/>
    <x v="0"/>
    <n v="133"/>
    <n v="155.61000000000001"/>
    <n v="399"/>
    <n v="466.83000000000004"/>
    <x v="79"/>
    <x v="4"/>
    <x v="3"/>
    <x v="0"/>
  </r>
  <r>
    <d v="2021-04-10T00:00:00"/>
    <s v="P0022"/>
    <n v="14"/>
    <x v="2"/>
    <x v="0"/>
    <n v="0"/>
    <x v="22"/>
    <x v="0"/>
    <x v="0"/>
    <n v="121"/>
    <n v="141.57"/>
    <n v="1694"/>
    <n v="1981.98"/>
    <x v="80"/>
    <x v="26"/>
    <x v="3"/>
    <x v="0"/>
  </r>
  <r>
    <d v="2021-04-12T00:00:00"/>
    <s v="P0037"/>
    <n v="3"/>
    <x v="2"/>
    <x v="1"/>
    <n v="0"/>
    <x v="8"/>
    <x v="1"/>
    <x v="1"/>
    <n v="67"/>
    <n v="85.76"/>
    <n v="201"/>
    <n v="257.28000000000003"/>
    <x v="8"/>
    <x v="6"/>
    <x v="3"/>
    <x v="0"/>
  </r>
  <r>
    <d v="2021-04-12T00:00:00"/>
    <s v="P0029"/>
    <n v="4"/>
    <x v="2"/>
    <x v="0"/>
    <n v="0"/>
    <x v="19"/>
    <x v="4"/>
    <x v="2"/>
    <n v="47"/>
    <n v="53.11"/>
    <n v="188"/>
    <n v="212.44"/>
    <x v="81"/>
    <x v="6"/>
    <x v="3"/>
    <x v="0"/>
  </r>
  <r>
    <d v="2021-04-12T00:00:00"/>
    <s v="P0027"/>
    <n v="9"/>
    <x v="2"/>
    <x v="0"/>
    <n v="0"/>
    <x v="26"/>
    <x v="4"/>
    <x v="2"/>
    <n v="48"/>
    <n v="57.120000000000005"/>
    <n v="432"/>
    <n v="514.08000000000004"/>
    <x v="82"/>
    <x v="6"/>
    <x v="3"/>
    <x v="0"/>
  </r>
  <r>
    <d v="2021-04-12T00:00:00"/>
    <s v="P0033"/>
    <n v="13"/>
    <x v="2"/>
    <x v="1"/>
    <n v="0"/>
    <x v="38"/>
    <x v="4"/>
    <x v="1"/>
    <n v="95"/>
    <n v="119.7"/>
    <n v="1235"/>
    <n v="1556.1000000000001"/>
    <x v="83"/>
    <x v="6"/>
    <x v="3"/>
    <x v="0"/>
  </r>
  <r>
    <d v="2021-04-15T00:00:00"/>
    <s v="P0017"/>
    <n v="3"/>
    <x v="2"/>
    <x v="0"/>
    <n v="0"/>
    <x v="39"/>
    <x v="2"/>
    <x v="0"/>
    <n v="134"/>
    <n v="156.78"/>
    <n v="402"/>
    <n v="470.34000000000003"/>
    <x v="84"/>
    <x v="17"/>
    <x v="3"/>
    <x v="0"/>
  </r>
  <r>
    <d v="2021-04-16T00:00:00"/>
    <s v="P0018"/>
    <n v="15"/>
    <x v="2"/>
    <x v="1"/>
    <n v="0"/>
    <x v="30"/>
    <x v="2"/>
    <x v="3"/>
    <n v="37"/>
    <n v="49.21"/>
    <n v="555"/>
    <n v="738.15"/>
    <x v="85"/>
    <x v="23"/>
    <x v="3"/>
    <x v="0"/>
  </r>
  <r>
    <d v="2021-04-18T00:00:00"/>
    <s v="P0038"/>
    <n v="9"/>
    <x v="0"/>
    <x v="0"/>
    <n v="0"/>
    <x v="1"/>
    <x v="1"/>
    <x v="1"/>
    <n v="72"/>
    <n v="79.92"/>
    <n v="648"/>
    <n v="719.28"/>
    <x v="86"/>
    <x v="7"/>
    <x v="3"/>
    <x v="0"/>
  </r>
  <r>
    <d v="2021-04-18T00:00:00"/>
    <s v="P0019"/>
    <n v="13"/>
    <x v="2"/>
    <x v="1"/>
    <n v="0"/>
    <x v="40"/>
    <x v="2"/>
    <x v="0"/>
    <n v="150"/>
    <n v="210"/>
    <n v="1950"/>
    <n v="2730"/>
    <x v="87"/>
    <x v="7"/>
    <x v="3"/>
    <x v="0"/>
  </r>
  <r>
    <d v="2021-04-23T00:00:00"/>
    <s v="P0042"/>
    <n v="6"/>
    <x v="2"/>
    <x v="0"/>
    <n v="0"/>
    <x v="10"/>
    <x v="1"/>
    <x v="0"/>
    <n v="120"/>
    <n v="162"/>
    <n v="720"/>
    <n v="972"/>
    <x v="19"/>
    <x v="19"/>
    <x v="3"/>
    <x v="0"/>
  </r>
  <r>
    <d v="2021-04-23T00:00:00"/>
    <s v="P0028"/>
    <n v="10"/>
    <x v="2"/>
    <x v="0"/>
    <n v="0"/>
    <x v="33"/>
    <x v="4"/>
    <x v="3"/>
    <n v="37"/>
    <n v="41.81"/>
    <n v="370"/>
    <n v="418.1"/>
    <x v="56"/>
    <x v="19"/>
    <x v="3"/>
    <x v="0"/>
  </r>
  <r>
    <d v="2021-04-24T00:00:00"/>
    <s v="P0030"/>
    <n v="2"/>
    <x v="1"/>
    <x v="0"/>
    <n v="0"/>
    <x v="28"/>
    <x v="4"/>
    <x v="0"/>
    <n v="148"/>
    <n v="201.28"/>
    <n v="296"/>
    <n v="402.56"/>
    <x v="49"/>
    <x v="27"/>
    <x v="3"/>
    <x v="0"/>
  </r>
  <r>
    <d v="2021-04-26T00:00:00"/>
    <s v="P0037"/>
    <n v="3"/>
    <x v="2"/>
    <x v="0"/>
    <n v="0"/>
    <x v="8"/>
    <x v="1"/>
    <x v="1"/>
    <n v="67"/>
    <n v="85.76"/>
    <n v="201"/>
    <n v="257.28000000000003"/>
    <x v="8"/>
    <x v="12"/>
    <x v="3"/>
    <x v="0"/>
  </r>
  <r>
    <d v="2021-04-29T00:00:00"/>
    <s v="P0030"/>
    <n v="7"/>
    <x v="2"/>
    <x v="0"/>
    <n v="0"/>
    <x v="28"/>
    <x v="4"/>
    <x v="0"/>
    <n v="148"/>
    <n v="201.28"/>
    <n v="1036"/>
    <n v="1408.96"/>
    <x v="88"/>
    <x v="28"/>
    <x v="3"/>
    <x v="0"/>
  </r>
  <r>
    <d v="2021-04-30T00:00:00"/>
    <s v="P0029"/>
    <n v="1"/>
    <x v="2"/>
    <x v="0"/>
    <n v="0"/>
    <x v="19"/>
    <x v="4"/>
    <x v="2"/>
    <n v="47"/>
    <n v="53.11"/>
    <n v="47"/>
    <n v="53.11"/>
    <x v="89"/>
    <x v="24"/>
    <x v="3"/>
    <x v="0"/>
  </r>
  <r>
    <d v="2021-05-01T00:00:00"/>
    <s v="P0018"/>
    <n v="3"/>
    <x v="1"/>
    <x v="1"/>
    <n v="0"/>
    <x v="30"/>
    <x v="2"/>
    <x v="3"/>
    <n v="37"/>
    <n v="49.21"/>
    <n v="111"/>
    <n v="147.63"/>
    <x v="90"/>
    <x v="0"/>
    <x v="4"/>
    <x v="0"/>
  </r>
  <r>
    <d v="2021-05-01T00:00:00"/>
    <s v="P0042"/>
    <n v="1"/>
    <x v="1"/>
    <x v="1"/>
    <n v="0"/>
    <x v="10"/>
    <x v="1"/>
    <x v="0"/>
    <n v="120"/>
    <n v="162"/>
    <n v="120"/>
    <n v="162"/>
    <x v="70"/>
    <x v="0"/>
    <x v="4"/>
    <x v="0"/>
  </r>
  <r>
    <d v="2021-05-03T00:00:00"/>
    <s v="P0034"/>
    <n v="3"/>
    <x v="1"/>
    <x v="0"/>
    <n v="0"/>
    <x v="13"/>
    <x v="4"/>
    <x v="2"/>
    <n v="55"/>
    <n v="58.3"/>
    <n v="165"/>
    <n v="174.89999999999998"/>
    <x v="91"/>
    <x v="2"/>
    <x v="4"/>
    <x v="0"/>
  </r>
  <r>
    <d v="2021-05-04T00:00:00"/>
    <s v="P0015"/>
    <n v="13"/>
    <x v="1"/>
    <x v="0"/>
    <n v="0"/>
    <x v="27"/>
    <x v="2"/>
    <x v="3"/>
    <n v="12"/>
    <n v="15.719999999999999"/>
    <n v="156"/>
    <n v="204.35999999999999"/>
    <x v="92"/>
    <x v="3"/>
    <x v="4"/>
    <x v="0"/>
  </r>
  <r>
    <d v="2021-05-04T00:00:00"/>
    <s v="P0014"/>
    <n v="4"/>
    <x v="2"/>
    <x v="1"/>
    <n v="0"/>
    <x v="9"/>
    <x v="2"/>
    <x v="1"/>
    <n v="112"/>
    <n v="146.72"/>
    <n v="448"/>
    <n v="586.88"/>
    <x v="9"/>
    <x v="3"/>
    <x v="4"/>
    <x v="0"/>
  </r>
  <r>
    <d v="2021-05-05T00:00:00"/>
    <s v="P0009"/>
    <n v="13"/>
    <x v="2"/>
    <x v="1"/>
    <n v="0"/>
    <x v="37"/>
    <x v="0"/>
    <x v="3"/>
    <n v="6"/>
    <n v="7.8599999999999994"/>
    <n v="78"/>
    <n v="102.17999999999999"/>
    <x v="93"/>
    <x v="15"/>
    <x v="4"/>
    <x v="0"/>
  </r>
  <r>
    <d v="2021-05-06T00:00:00"/>
    <s v="P0008"/>
    <n v="15"/>
    <x v="2"/>
    <x v="0"/>
    <n v="0"/>
    <x v="25"/>
    <x v="3"/>
    <x v="1"/>
    <n v="83"/>
    <n v="94.62"/>
    <n v="1245"/>
    <n v="1419.3000000000002"/>
    <x v="94"/>
    <x v="16"/>
    <x v="4"/>
    <x v="0"/>
  </r>
  <r>
    <d v="2021-05-06T00:00:00"/>
    <s v="P0009"/>
    <n v="6"/>
    <x v="1"/>
    <x v="0"/>
    <n v="0"/>
    <x v="37"/>
    <x v="0"/>
    <x v="3"/>
    <n v="6"/>
    <n v="7.8599999999999994"/>
    <n v="36"/>
    <n v="47.16"/>
    <x v="95"/>
    <x v="16"/>
    <x v="4"/>
    <x v="0"/>
  </r>
  <r>
    <d v="2021-05-07T00:00:00"/>
    <s v="P0018"/>
    <n v="1"/>
    <x v="2"/>
    <x v="1"/>
    <n v="0"/>
    <x v="30"/>
    <x v="2"/>
    <x v="3"/>
    <n v="37"/>
    <n v="49.21"/>
    <n v="37"/>
    <n v="49.21"/>
    <x v="96"/>
    <x v="20"/>
    <x v="4"/>
    <x v="0"/>
  </r>
  <r>
    <d v="2021-05-09T00:00:00"/>
    <s v="P0016"/>
    <n v="6"/>
    <x v="1"/>
    <x v="0"/>
    <n v="0"/>
    <x v="21"/>
    <x v="2"/>
    <x v="3"/>
    <n v="13"/>
    <n v="16.64"/>
    <n v="78"/>
    <n v="99.84"/>
    <x v="97"/>
    <x v="4"/>
    <x v="4"/>
    <x v="0"/>
  </r>
  <r>
    <d v="2021-05-09T00:00:00"/>
    <s v="P0028"/>
    <n v="8"/>
    <x v="2"/>
    <x v="1"/>
    <n v="0"/>
    <x v="33"/>
    <x v="4"/>
    <x v="3"/>
    <n v="37"/>
    <n v="41.81"/>
    <n v="296"/>
    <n v="334.48"/>
    <x v="98"/>
    <x v="4"/>
    <x v="4"/>
    <x v="0"/>
  </r>
  <r>
    <d v="2021-05-12T00:00:00"/>
    <s v="P0016"/>
    <n v="3"/>
    <x v="2"/>
    <x v="0"/>
    <n v="0"/>
    <x v="21"/>
    <x v="2"/>
    <x v="3"/>
    <n v="13"/>
    <n v="16.64"/>
    <n v="39"/>
    <n v="49.92"/>
    <x v="99"/>
    <x v="6"/>
    <x v="4"/>
    <x v="0"/>
  </r>
  <r>
    <d v="2021-05-12T00:00:00"/>
    <s v="P0035"/>
    <n v="15"/>
    <x v="2"/>
    <x v="0"/>
    <n v="0"/>
    <x v="4"/>
    <x v="4"/>
    <x v="3"/>
    <n v="5"/>
    <n v="6.7"/>
    <n v="75"/>
    <n v="100.5"/>
    <x v="100"/>
    <x v="6"/>
    <x v="4"/>
    <x v="0"/>
  </r>
  <r>
    <d v="2021-05-13T00:00:00"/>
    <s v="P0029"/>
    <n v="4"/>
    <x v="2"/>
    <x v="0"/>
    <n v="0"/>
    <x v="19"/>
    <x v="4"/>
    <x v="2"/>
    <n v="47"/>
    <n v="53.11"/>
    <n v="188"/>
    <n v="212.44"/>
    <x v="81"/>
    <x v="22"/>
    <x v="4"/>
    <x v="0"/>
  </r>
  <r>
    <d v="2021-05-20T00:00:00"/>
    <s v="P0042"/>
    <n v="2"/>
    <x v="1"/>
    <x v="1"/>
    <n v="0"/>
    <x v="10"/>
    <x v="1"/>
    <x v="0"/>
    <n v="120"/>
    <n v="162"/>
    <n v="240"/>
    <n v="324"/>
    <x v="101"/>
    <x v="9"/>
    <x v="4"/>
    <x v="0"/>
  </r>
  <r>
    <d v="2021-05-23T00:00:00"/>
    <s v="P0040"/>
    <n v="11"/>
    <x v="2"/>
    <x v="0"/>
    <n v="0"/>
    <x v="17"/>
    <x v="1"/>
    <x v="1"/>
    <n v="90"/>
    <n v="115.2"/>
    <n v="990"/>
    <n v="1267.2"/>
    <x v="102"/>
    <x v="19"/>
    <x v="4"/>
    <x v="0"/>
  </r>
  <r>
    <d v="2021-05-30T00:00:00"/>
    <s v="P0023"/>
    <n v="13"/>
    <x v="1"/>
    <x v="0"/>
    <n v="0"/>
    <x v="12"/>
    <x v="0"/>
    <x v="0"/>
    <n v="141"/>
    <n v="149.46"/>
    <n v="1833"/>
    <n v="1942.98"/>
    <x v="103"/>
    <x v="24"/>
    <x v="4"/>
    <x v="0"/>
  </r>
  <r>
    <d v="2021-05-30T00:00:00"/>
    <s v="P0013"/>
    <n v="6"/>
    <x v="1"/>
    <x v="1"/>
    <n v="0"/>
    <x v="2"/>
    <x v="2"/>
    <x v="1"/>
    <n v="112"/>
    <n v="122.08"/>
    <n v="672"/>
    <n v="732.48"/>
    <x v="2"/>
    <x v="24"/>
    <x v="4"/>
    <x v="0"/>
  </r>
  <r>
    <d v="2021-06-03T00:00:00"/>
    <s v="P0021"/>
    <n v="10"/>
    <x v="2"/>
    <x v="1"/>
    <n v="0"/>
    <x v="32"/>
    <x v="0"/>
    <x v="0"/>
    <n v="126"/>
    <n v="162.54"/>
    <n v="1260"/>
    <n v="1625.3999999999999"/>
    <x v="104"/>
    <x v="2"/>
    <x v="5"/>
    <x v="0"/>
  </r>
  <r>
    <d v="2021-06-04T00:00:00"/>
    <s v="P0020"/>
    <n v="8"/>
    <x v="0"/>
    <x v="0"/>
    <n v="0"/>
    <x v="14"/>
    <x v="0"/>
    <x v="2"/>
    <n v="61"/>
    <n v="76.25"/>
    <n v="488"/>
    <n v="610"/>
    <x v="105"/>
    <x v="3"/>
    <x v="5"/>
    <x v="0"/>
  </r>
  <r>
    <d v="2021-06-04T00:00:00"/>
    <s v="P0020"/>
    <n v="12"/>
    <x v="1"/>
    <x v="1"/>
    <n v="0"/>
    <x v="14"/>
    <x v="0"/>
    <x v="2"/>
    <n v="61"/>
    <n v="76.25"/>
    <n v="732"/>
    <n v="915"/>
    <x v="106"/>
    <x v="3"/>
    <x v="5"/>
    <x v="0"/>
  </r>
  <r>
    <d v="2021-06-05T00:00:00"/>
    <s v="P0022"/>
    <n v="15"/>
    <x v="0"/>
    <x v="0"/>
    <n v="0"/>
    <x v="22"/>
    <x v="0"/>
    <x v="0"/>
    <n v="121"/>
    <n v="141.57"/>
    <n v="1815"/>
    <n v="2123.5499999999997"/>
    <x v="107"/>
    <x v="15"/>
    <x v="5"/>
    <x v="0"/>
  </r>
  <r>
    <d v="2021-06-05T00:00:00"/>
    <s v="P0035"/>
    <n v="10"/>
    <x v="2"/>
    <x v="0"/>
    <n v="0"/>
    <x v="4"/>
    <x v="4"/>
    <x v="3"/>
    <n v="5"/>
    <n v="6.7"/>
    <n v="50"/>
    <n v="67"/>
    <x v="108"/>
    <x v="15"/>
    <x v="5"/>
    <x v="0"/>
  </r>
  <r>
    <d v="2021-06-06T00:00:00"/>
    <s v="P0033"/>
    <n v="6"/>
    <x v="2"/>
    <x v="0"/>
    <n v="0"/>
    <x v="38"/>
    <x v="4"/>
    <x v="1"/>
    <n v="95"/>
    <n v="119.7"/>
    <n v="570"/>
    <n v="718.2"/>
    <x v="109"/>
    <x v="16"/>
    <x v="5"/>
    <x v="0"/>
  </r>
  <r>
    <d v="2021-06-08T00:00:00"/>
    <s v="P0028"/>
    <n v="11"/>
    <x v="2"/>
    <x v="0"/>
    <n v="0"/>
    <x v="33"/>
    <x v="4"/>
    <x v="3"/>
    <n v="37"/>
    <n v="41.81"/>
    <n v="407"/>
    <n v="459.91"/>
    <x v="110"/>
    <x v="21"/>
    <x v="5"/>
    <x v="0"/>
  </r>
  <r>
    <d v="2021-06-08T00:00:00"/>
    <s v="P0004"/>
    <n v="11"/>
    <x v="0"/>
    <x v="1"/>
    <n v="0"/>
    <x v="3"/>
    <x v="3"/>
    <x v="2"/>
    <n v="44"/>
    <n v="48.84"/>
    <n v="484"/>
    <n v="537.24"/>
    <x v="111"/>
    <x v="21"/>
    <x v="5"/>
    <x v="0"/>
  </r>
  <r>
    <d v="2021-06-09T00:00:00"/>
    <s v="P0001"/>
    <n v="7"/>
    <x v="2"/>
    <x v="0"/>
    <n v="0"/>
    <x v="16"/>
    <x v="3"/>
    <x v="1"/>
    <n v="98"/>
    <n v="103.88"/>
    <n v="686"/>
    <n v="727.16"/>
    <x v="25"/>
    <x v="4"/>
    <x v="5"/>
    <x v="0"/>
  </r>
  <r>
    <d v="2021-06-11T00:00:00"/>
    <s v="P0032"/>
    <n v="12"/>
    <x v="0"/>
    <x v="1"/>
    <n v="0"/>
    <x v="18"/>
    <x v="4"/>
    <x v="1"/>
    <n v="89"/>
    <n v="117.48"/>
    <n v="1068"/>
    <n v="1409.76"/>
    <x v="112"/>
    <x v="5"/>
    <x v="5"/>
    <x v="0"/>
  </r>
  <r>
    <d v="2021-06-12T00:00:00"/>
    <s v="P0041"/>
    <n v="6"/>
    <x v="2"/>
    <x v="0"/>
    <n v="0"/>
    <x v="41"/>
    <x v="1"/>
    <x v="0"/>
    <n v="138"/>
    <n v="173.88"/>
    <n v="828"/>
    <n v="1043.28"/>
    <x v="113"/>
    <x v="6"/>
    <x v="5"/>
    <x v="0"/>
  </r>
  <r>
    <d v="2021-06-14T00:00:00"/>
    <s v="P0025"/>
    <n v="10"/>
    <x v="1"/>
    <x v="1"/>
    <n v="0"/>
    <x v="7"/>
    <x v="0"/>
    <x v="3"/>
    <n v="7"/>
    <n v="8.33"/>
    <n v="70"/>
    <n v="83.3"/>
    <x v="114"/>
    <x v="29"/>
    <x v="5"/>
    <x v="0"/>
  </r>
  <r>
    <d v="2021-06-16T00:00:00"/>
    <s v="P0019"/>
    <n v="5"/>
    <x v="0"/>
    <x v="1"/>
    <n v="0"/>
    <x v="40"/>
    <x v="2"/>
    <x v="0"/>
    <n v="150"/>
    <n v="210"/>
    <n v="750"/>
    <n v="1050"/>
    <x v="115"/>
    <x v="23"/>
    <x v="5"/>
    <x v="0"/>
  </r>
  <r>
    <d v="2021-06-16T00:00:00"/>
    <s v="P0015"/>
    <n v="12"/>
    <x v="1"/>
    <x v="1"/>
    <n v="0"/>
    <x v="27"/>
    <x v="2"/>
    <x v="3"/>
    <n v="12"/>
    <n v="15.719999999999999"/>
    <n v="144"/>
    <n v="188.64"/>
    <x v="116"/>
    <x v="23"/>
    <x v="5"/>
    <x v="0"/>
  </r>
  <r>
    <d v="2021-06-16T00:00:00"/>
    <s v="P0039"/>
    <n v="11"/>
    <x v="2"/>
    <x v="1"/>
    <n v="0"/>
    <x v="34"/>
    <x v="1"/>
    <x v="3"/>
    <n v="37"/>
    <n v="42.55"/>
    <n v="407"/>
    <n v="468.04999999999995"/>
    <x v="57"/>
    <x v="23"/>
    <x v="5"/>
    <x v="0"/>
  </r>
  <r>
    <d v="2021-06-18T00:00:00"/>
    <s v="P0025"/>
    <n v="13"/>
    <x v="2"/>
    <x v="1"/>
    <n v="0"/>
    <x v="7"/>
    <x v="0"/>
    <x v="3"/>
    <n v="7"/>
    <n v="8.33"/>
    <n v="91"/>
    <n v="108.29"/>
    <x v="117"/>
    <x v="7"/>
    <x v="5"/>
    <x v="0"/>
  </r>
  <r>
    <d v="2021-06-19T00:00:00"/>
    <s v="P0041"/>
    <n v="5"/>
    <x v="2"/>
    <x v="0"/>
    <n v="0"/>
    <x v="41"/>
    <x v="1"/>
    <x v="0"/>
    <n v="138"/>
    <n v="173.88"/>
    <n v="690"/>
    <n v="869.4"/>
    <x v="118"/>
    <x v="8"/>
    <x v="5"/>
    <x v="0"/>
  </r>
  <r>
    <d v="2021-06-20T00:00:00"/>
    <s v="P0016"/>
    <n v="1"/>
    <x v="0"/>
    <x v="1"/>
    <n v="0"/>
    <x v="21"/>
    <x v="2"/>
    <x v="3"/>
    <n v="13"/>
    <n v="16.64"/>
    <n v="13"/>
    <n v="16.64"/>
    <x v="119"/>
    <x v="9"/>
    <x v="5"/>
    <x v="0"/>
  </r>
  <r>
    <d v="2021-06-23T00:00:00"/>
    <s v="P0016"/>
    <n v="4"/>
    <x v="2"/>
    <x v="0"/>
    <n v="0"/>
    <x v="21"/>
    <x v="2"/>
    <x v="3"/>
    <n v="13"/>
    <n v="16.64"/>
    <n v="52"/>
    <n v="66.56"/>
    <x v="120"/>
    <x v="19"/>
    <x v="5"/>
    <x v="0"/>
  </r>
  <r>
    <d v="2021-06-24T00:00:00"/>
    <s v="P0011"/>
    <n v="13"/>
    <x v="2"/>
    <x v="0"/>
    <n v="0"/>
    <x v="31"/>
    <x v="2"/>
    <x v="2"/>
    <n v="44"/>
    <n v="48.4"/>
    <n v="572"/>
    <n v="629.19999999999993"/>
    <x v="121"/>
    <x v="27"/>
    <x v="5"/>
    <x v="0"/>
  </r>
  <r>
    <d v="2021-06-26T00:00:00"/>
    <s v="P0009"/>
    <n v="7"/>
    <x v="1"/>
    <x v="0"/>
    <n v="0"/>
    <x v="37"/>
    <x v="0"/>
    <x v="3"/>
    <n v="6"/>
    <n v="7.8599999999999994"/>
    <n v="42"/>
    <n v="55.019999999999996"/>
    <x v="122"/>
    <x v="12"/>
    <x v="5"/>
    <x v="0"/>
  </r>
  <r>
    <d v="2021-06-27T00:00:00"/>
    <s v="P0005"/>
    <n v="11"/>
    <x v="2"/>
    <x v="1"/>
    <n v="0"/>
    <x v="24"/>
    <x v="3"/>
    <x v="0"/>
    <n v="133"/>
    <n v="155.61000000000001"/>
    <n v="1463"/>
    <n v="1711.71"/>
    <x v="123"/>
    <x v="13"/>
    <x v="5"/>
    <x v="0"/>
  </r>
  <r>
    <d v="2021-06-28T00:00:00"/>
    <s v="P0021"/>
    <n v="2"/>
    <x v="1"/>
    <x v="1"/>
    <n v="0"/>
    <x v="32"/>
    <x v="0"/>
    <x v="0"/>
    <n v="126"/>
    <n v="162.54"/>
    <n v="252"/>
    <n v="325.08"/>
    <x v="124"/>
    <x v="14"/>
    <x v="5"/>
    <x v="0"/>
  </r>
  <r>
    <d v="2021-06-28T00:00:00"/>
    <s v="P0035"/>
    <n v="7"/>
    <x v="1"/>
    <x v="0"/>
    <n v="0"/>
    <x v="4"/>
    <x v="4"/>
    <x v="3"/>
    <n v="5"/>
    <n v="6.7"/>
    <n v="35"/>
    <n v="46.9"/>
    <x v="21"/>
    <x v="14"/>
    <x v="5"/>
    <x v="0"/>
  </r>
  <r>
    <d v="2021-06-29T00:00:00"/>
    <s v="P0014"/>
    <n v="4"/>
    <x v="2"/>
    <x v="0"/>
    <n v="0"/>
    <x v="9"/>
    <x v="2"/>
    <x v="1"/>
    <n v="112"/>
    <n v="146.72"/>
    <n v="448"/>
    <n v="586.88"/>
    <x v="9"/>
    <x v="28"/>
    <x v="5"/>
    <x v="0"/>
  </r>
  <r>
    <d v="2021-07-01T00:00:00"/>
    <s v="P0005"/>
    <n v="11"/>
    <x v="2"/>
    <x v="1"/>
    <n v="0"/>
    <x v="24"/>
    <x v="3"/>
    <x v="0"/>
    <n v="133"/>
    <n v="155.61000000000001"/>
    <n v="1463"/>
    <n v="1711.71"/>
    <x v="123"/>
    <x v="0"/>
    <x v="6"/>
    <x v="0"/>
  </r>
  <r>
    <d v="2021-07-02T00:00:00"/>
    <s v="P0010"/>
    <n v="11"/>
    <x v="2"/>
    <x v="1"/>
    <n v="0"/>
    <x v="20"/>
    <x v="2"/>
    <x v="0"/>
    <n v="148"/>
    <n v="164.28"/>
    <n v="1628"/>
    <n v="1807.08"/>
    <x v="125"/>
    <x v="1"/>
    <x v="6"/>
    <x v="0"/>
  </r>
  <r>
    <d v="2021-07-03T00:00:00"/>
    <s v="P0033"/>
    <n v="9"/>
    <x v="1"/>
    <x v="1"/>
    <n v="0"/>
    <x v="38"/>
    <x v="4"/>
    <x v="1"/>
    <n v="95"/>
    <n v="119.7"/>
    <n v="855"/>
    <n v="1077.3"/>
    <x v="126"/>
    <x v="2"/>
    <x v="6"/>
    <x v="0"/>
  </r>
  <r>
    <d v="2021-07-03T00:00:00"/>
    <s v="P0003"/>
    <n v="8"/>
    <x v="1"/>
    <x v="1"/>
    <n v="0"/>
    <x v="6"/>
    <x v="3"/>
    <x v="1"/>
    <n v="71"/>
    <n v="80.94"/>
    <n v="568"/>
    <n v="647.52"/>
    <x v="6"/>
    <x v="2"/>
    <x v="6"/>
    <x v="0"/>
  </r>
  <r>
    <d v="2021-07-05T00:00:00"/>
    <s v="P0002"/>
    <n v="8"/>
    <x v="2"/>
    <x v="0"/>
    <n v="0"/>
    <x v="29"/>
    <x v="3"/>
    <x v="1"/>
    <n v="105"/>
    <n v="142.80000000000001"/>
    <n v="840"/>
    <n v="1142.4000000000001"/>
    <x v="63"/>
    <x v="15"/>
    <x v="6"/>
    <x v="0"/>
  </r>
  <r>
    <d v="2021-07-06T00:00:00"/>
    <s v="P0041"/>
    <n v="15"/>
    <x v="2"/>
    <x v="1"/>
    <n v="0"/>
    <x v="41"/>
    <x v="1"/>
    <x v="0"/>
    <n v="138"/>
    <n v="173.88"/>
    <n v="2070"/>
    <n v="2608.1999999999998"/>
    <x v="127"/>
    <x v="16"/>
    <x v="6"/>
    <x v="0"/>
  </r>
  <r>
    <d v="2021-07-08T00:00:00"/>
    <s v="P0004"/>
    <n v="10"/>
    <x v="2"/>
    <x v="0"/>
    <n v="0"/>
    <x v="3"/>
    <x v="3"/>
    <x v="2"/>
    <n v="44"/>
    <n v="48.84"/>
    <n v="440"/>
    <n v="488.40000000000003"/>
    <x v="28"/>
    <x v="21"/>
    <x v="6"/>
    <x v="0"/>
  </r>
  <r>
    <d v="2021-07-10T00:00:00"/>
    <s v="P0034"/>
    <n v="6"/>
    <x v="0"/>
    <x v="1"/>
    <n v="0"/>
    <x v="13"/>
    <x v="4"/>
    <x v="2"/>
    <n v="55"/>
    <n v="58.3"/>
    <n v="330"/>
    <n v="349.79999999999995"/>
    <x v="20"/>
    <x v="26"/>
    <x v="6"/>
    <x v="0"/>
  </r>
  <r>
    <d v="2021-07-11T00:00:00"/>
    <s v="P0009"/>
    <n v="4"/>
    <x v="0"/>
    <x v="0"/>
    <n v="0"/>
    <x v="37"/>
    <x v="0"/>
    <x v="3"/>
    <n v="6"/>
    <n v="7.8599999999999994"/>
    <n v="24"/>
    <n v="31.439999999999998"/>
    <x v="128"/>
    <x v="5"/>
    <x v="6"/>
    <x v="0"/>
  </r>
  <r>
    <d v="2021-07-13T00:00:00"/>
    <s v="P0019"/>
    <n v="1"/>
    <x v="2"/>
    <x v="1"/>
    <n v="0"/>
    <x v="40"/>
    <x v="2"/>
    <x v="0"/>
    <n v="150"/>
    <n v="210"/>
    <n v="150"/>
    <n v="210"/>
    <x v="129"/>
    <x v="22"/>
    <x v="6"/>
    <x v="0"/>
  </r>
  <r>
    <d v="2021-07-16T00:00:00"/>
    <s v="P0023"/>
    <n v="8"/>
    <x v="0"/>
    <x v="1"/>
    <n v="0"/>
    <x v="12"/>
    <x v="0"/>
    <x v="0"/>
    <n v="141"/>
    <n v="149.46"/>
    <n v="1128"/>
    <n v="1195.68"/>
    <x v="130"/>
    <x v="23"/>
    <x v="6"/>
    <x v="0"/>
  </r>
  <r>
    <d v="2021-07-18T00:00:00"/>
    <s v="P0027"/>
    <n v="14"/>
    <x v="1"/>
    <x v="0"/>
    <n v="0"/>
    <x v="26"/>
    <x v="4"/>
    <x v="2"/>
    <n v="48"/>
    <n v="57.120000000000005"/>
    <n v="672"/>
    <n v="799.68000000000006"/>
    <x v="131"/>
    <x v="7"/>
    <x v="6"/>
    <x v="0"/>
  </r>
  <r>
    <d v="2021-07-20T00:00:00"/>
    <s v="P0038"/>
    <n v="11"/>
    <x v="1"/>
    <x v="0"/>
    <n v="0"/>
    <x v="1"/>
    <x v="1"/>
    <x v="1"/>
    <n v="72"/>
    <n v="79.92"/>
    <n v="792"/>
    <n v="879.12"/>
    <x v="132"/>
    <x v="9"/>
    <x v="6"/>
    <x v="0"/>
  </r>
  <r>
    <d v="2021-07-20T00:00:00"/>
    <s v="P0043"/>
    <n v="5"/>
    <x v="2"/>
    <x v="0"/>
    <n v="0"/>
    <x v="23"/>
    <x v="1"/>
    <x v="1"/>
    <n v="67"/>
    <n v="83.08"/>
    <n v="335"/>
    <n v="415.4"/>
    <x v="133"/>
    <x v="9"/>
    <x v="6"/>
    <x v="0"/>
  </r>
  <r>
    <d v="2021-07-21T00:00:00"/>
    <s v="P0029"/>
    <n v="15"/>
    <x v="2"/>
    <x v="0"/>
    <n v="0"/>
    <x v="19"/>
    <x v="4"/>
    <x v="2"/>
    <n v="47"/>
    <n v="53.11"/>
    <n v="705"/>
    <n v="796.65"/>
    <x v="134"/>
    <x v="10"/>
    <x v="6"/>
    <x v="0"/>
  </r>
  <r>
    <d v="2021-07-22T00:00:00"/>
    <s v="P0026"/>
    <n v="3"/>
    <x v="0"/>
    <x v="1"/>
    <n v="0"/>
    <x v="42"/>
    <x v="4"/>
    <x v="3"/>
    <n v="18"/>
    <n v="24.66"/>
    <n v="54"/>
    <n v="73.98"/>
    <x v="135"/>
    <x v="18"/>
    <x v="6"/>
    <x v="0"/>
  </r>
  <r>
    <d v="2021-07-22T00:00:00"/>
    <s v="P0024"/>
    <n v="14"/>
    <x v="1"/>
    <x v="1"/>
    <n v="0"/>
    <x v="0"/>
    <x v="0"/>
    <x v="0"/>
    <n v="144"/>
    <n v="156.96"/>
    <n v="2016"/>
    <n v="2197.44"/>
    <x v="65"/>
    <x v="18"/>
    <x v="6"/>
    <x v="0"/>
  </r>
  <r>
    <d v="2021-07-23T00:00:00"/>
    <s v="P0036"/>
    <n v="7"/>
    <x v="0"/>
    <x v="0"/>
    <n v="0"/>
    <x v="43"/>
    <x v="4"/>
    <x v="1"/>
    <n v="90"/>
    <n v="96.3"/>
    <n v="630"/>
    <n v="674.1"/>
    <x v="136"/>
    <x v="19"/>
    <x v="6"/>
    <x v="0"/>
  </r>
  <r>
    <d v="2021-07-23T00:00:00"/>
    <s v="P0037"/>
    <n v="8"/>
    <x v="2"/>
    <x v="0"/>
    <n v="0"/>
    <x v="8"/>
    <x v="1"/>
    <x v="1"/>
    <n v="67"/>
    <n v="85.76"/>
    <n v="536"/>
    <n v="686.08"/>
    <x v="137"/>
    <x v="19"/>
    <x v="6"/>
    <x v="0"/>
  </r>
  <r>
    <d v="2021-07-24T00:00:00"/>
    <s v="P0009"/>
    <n v="4"/>
    <x v="1"/>
    <x v="1"/>
    <n v="0"/>
    <x v="37"/>
    <x v="0"/>
    <x v="3"/>
    <n v="6"/>
    <n v="7.8599999999999994"/>
    <n v="24"/>
    <n v="31.439999999999998"/>
    <x v="128"/>
    <x v="27"/>
    <x v="6"/>
    <x v="0"/>
  </r>
  <r>
    <d v="2021-07-29T00:00:00"/>
    <s v="P0044"/>
    <n v="15"/>
    <x v="1"/>
    <x v="1"/>
    <n v="0"/>
    <x v="11"/>
    <x v="1"/>
    <x v="1"/>
    <n v="76"/>
    <n v="82.08"/>
    <n v="1140"/>
    <n v="1231.2"/>
    <x v="138"/>
    <x v="28"/>
    <x v="6"/>
    <x v="0"/>
  </r>
  <r>
    <d v="2021-08-01T00:00:00"/>
    <s v="P0001"/>
    <n v="11"/>
    <x v="2"/>
    <x v="1"/>
    <n v="0"/>
    <x v="16"/>
    <x v="3"/>
    <x v="1"/>
    <n v="98"/>
    <n v="103.88"/>
    <n v="1078"/>
    <n v="1142.6799999999998"/>
    <x v="139"/>
    <x v="0"/>
    <x v="7"/>
    <x v="0"/>
  </r>
  <r>
    <d v="2021-08-02T00:00:00"/>
    <s v="P0023"/>
    <n v="3"/>
    <x v="2"/>
    <x v="0"/>
    <n v="0"/>
    <x v="12"/>
    <x v="0"/>
    <x v="0"/>
    <n v="141"/>
    <n v="149.46"/>
    <n v="423"/>
    <n v="448.38"/>
    <x v="13"/>
    <x v="1"/>
    <x v="7"/>
    <x v="0"/>
  </r>
  <r>
    <d v="2021-08-03T00:00:00"/>
    <s v="P0022"/>
    <n v="13"/>
    <x v="1"/>
    <x v="0"/>
    <n v="0"/>
    <x v="22"/>
    <x v="0"/>
    <x v="0"/>
    <n v="121"/>
    <n v="141.57"/>
    <n v="1573"/>
    <n v="1840.4099999999999"/>
    <x v="140"/>
    <x v="2"/>
    <x v="7"/>
    <x v="0"/>
  </r>
  <r>
    <d v="2021-08-03T00:00:00"/>
    <s v="P0034"/>
    <n v="12"/>
    <x v="1"/>
    <x v="0"/>
    <n v="0"/>
    <x v="13"/>
    <x v="4"/>
    <x v="2"/>
    <n v="55"/>
    <n v="58.3"/>
    <n v="660"/>
    <n v="699.59999999999991"/>
    <x v="141"/>
    <x v="2"/>
    <x v="7"/>
    <x v="0"/>
  </r>
  <r>
    <d v="2021-08-05T00:00:00"/>
    <s v="P0028"/>
    <n v="14"/>
    <x v="2"/>
    <x v="1"/>
    <n v="0"/>
    <x v="33"/>
    <x v="4"/>
    <x v="3"/>
    <n v="37"/>
    <n v="41.81"/>
    <n v="518"/>
    <n v="585.34"/>
    <x v="142"/>
    <x v="15"/>
    <x v="7"/>
    <x v="0"/>
  </r>
  <r>
    <d v="2021-08-06T00:00:00"/>
    <s v="P0037"/>
    <n v="1"/>
    <x v="0"/>
    <x v="1"/>
    <n v="0"/>
    <x v="8"/>
    <x v="1"/>
    <x v="1"/>
    <n v="67"/>
    <n v="85.76"/>
    <n v="67"/>
    <n v="85.76"/>
    <x v="143"/>
    <x v="16"/>
    <x v="7"/>
    <x v="0"/>
  </r>
  <r>
    <d v="2021-08-10T00:00:00"/>
    <s v="P0005"/>
    <n v="4"/>
    <x v="0"/>
    <x v="1"/>
    <n v="0"/>
    <x v="24"/>
    <x v="3"/>
    <x v="0"/>
    <n v="133"/>
    <n v="155.61000000000001"/>
    <n v="532"/>
    <n v="622.44000000000005"/>
    <x v="144"/>
    <x v="26"/>
    <x v="7"/>
    <x v="0"/>
  </r>
  <r>
    <d v="2021-08-10T00:00:00"/>
    <s v="P0044"/>
    <n v="10"/>
    <x v="1"/>
    <x v="1"/>
    <n v="0"/>
    <x v="11"/>
    <x v="1"/>
    <x v="1"/>
    <n v="76"/>
    <n v="82.08"/>
    <n v="760"/>
    <n v="820.8"/>
    <x v="145"/>
    <x v="26"/>
    <x v="7"/>
    <x v="0"/>
  </r>
  <r>
    <d v="2021-08-10T00:00:00"/>
    <s v="P0006"/>
    <n v="6"/>
    <x v="2"/>
    <x v="1"/>
    <n v="0"/>
    <x v="15"/>
    <x v="3"/>
    <x v="1"/>
    <n v="75"/>
    <n v="85.5"/>
    <n v="450"/>
    <n v="513"/>
    <x v="146"/>
    <x v="26"/>
    <x v="7"/>
    <x v="0"/>
  </r>
  <r>
    <d v="2021-08-11T00:00:00"/>
    <s v="P0023"/>
    <n v="4"/>
    <x v="2"/>
    <x v="0"/>
    <n v="0"/>
    <x v="12"/>
    <x v="0"/>
    <x v="0"/>
    <n v="141"/>
    <n v="149.46"/>
    <n v="564"/>
    <n v="597.84"/>
    <x v="147"/>
    <x v="5"/>
    <x v="7"/>
    <x v="0"/>
  </r>
  <r>
    <d v="2021-08-13T00:00:00"/>
    <s v="P0011"/>
    <n v="13"/>
    <x v="2"/>
    <x v="0"/>
    <n v="0"/>
    <x v="31"/>
    <x v="2"/>
    <x v="2"/>
    <n v="44"/>
    <n v="48.4"/>
    <n v="572"/>
    <n v="629.19999999999993"/>
    <x v="121"/>
    <x v="22"/>
    <x v="7"/>
    <x v="0"/>
  </r>
  <r>
    <d v="2021-08-13T00:00:00"/>
    <s v="P0027"/>
    <n v="9"/>
    <x v="2"/>
    <x v="0"/>
    <n v="0"/>
    <x v="26"/>
    <x v="4"/>
    <x v="2"/>
    <n v="48"/>
    <n v="57.120000000000005"/>
    <n v="432"/>
    <n v="514.08000000000004"/>
    <x v="82"/>
    <x v="22"/>
    <x v="7"/>
    <x v="0"/>
  </r>
  <r>
    <d v="2021-08-16T00:00:00"/>
    <s v="P0003"/>
    <n v="3"/>
    <x v="1"/>
    <x v="0"/>
    <n v="0"/>
    <x v="6"/>
    <x v="3"/>
    <x v="1"/>
    <n v="71"/>
    <n v="80.94"/>
    <n v="213"/>
    <n v="242.82"/>
    <x v="148"/>
    <x v="23"/>
    <x v="7"/>
    <x v="0"/>
  </r>
  <r>
    <d v="2021-08-18T00:00:00"/>
    <s v="P0025"/>
    <n v="6"/>
    <x v="2"/>
    <x v="0"/>
    <n v="0"/>
    <x v="7"/>
    <x v="0"/>
    <x v="3"/>
    <n v="7"/>
    <n v="8.33"/>
    <n v="42"/>
    <n v="49.980000000000004"/>
    <x v="149"/>
    <x v="7"/>
    <x v="7"/>
    <x v="0"/>
  </r>
  <r>
    <d v="2021-08-20T00:00:00"/>
    <s v="P0020"/>
    <n v="15"/>
    <x v="2"/>
    <x v="1"/>
    <n v="0"/>
    <x v="14"/>
    <x v="0"/>
    <x v="2"/>
    <n v="61"/>
    <n v="76.25"/>
    <n v="915"/>
    <n v="1143.75"/>
    <x v="150"/>
    <x v="9"/>
    <x v="7"/>
    <x v="0"/>
  </r>
  <r>
    <d v="2021-08-20T00:00:00"/>
    <s v="P0031"/>
    <n v="9"/>
    <x v="2"/>
    <x v="0"/>
    <n v="0"/>
    <x v="5"/>
    <x v="4"/>
    <x v="1"/>
    <n v="93"/>
    <n v="104.16"/>
    <n v="837"/>
    <n v="937.43999999999994"/>
    <x v="151"/>
    <x v="9"/>
    <x v="7"/>
    <x v="0"/>
  </r>
  <r>
    <d v="2021-08-20T00:00:00"/>
    <s v="P0028"/>
    <n v="13"/>
    <x v="2"/>
    <x v="0"/>
    <n v="0"/>
    <x v="33"/>
    <x v="4"/>
    <x v="3"/>
    <n v="37"/>
    <n v="41.81"/>
    <n v="481"/>
    <n v="543.53"/>
    <x v="152"/>
    <x v="9"/>
    <x v="7"/>
    <x v="0"/>
  </r>
  <r>
    <d v="2021-08-26T00:00:00"/>
    <s v="P0039"/>
    <n v="4"/>
    <x v="2"/>
    <x v="0"/>
    <n v="0"/>
    <x v="34"/>
    <x v="1"/>
    <x v="3"/>
    <n v="37"/>
    <n v="42.55"/>
    <n v="148"/>
    <n v="170.2"/>
    <x v="153"/>
    <x v="12"/>
    <x v="7"/>
    <x v="0"/>
  </r>
  <r>
    <d v="2021-08-29T00:00:00"/>
    <s v="P0034"/>
    <n v="12"/>
    <x v="0"/>
    <x v="0"/>
    <n v="0"/>
    <x v="13"/>
    <x v="4"/>
    <x v="2"/>
    <n v="55"/>
    <n v="58.3"/>
    <n v="660"/>
    <n v="699.59999999999991"/>
    <x v="141"/>
    <x v="28"/>
    <x v="7"/>
    <x v="0"/>
  </r>
  <r>
    <d v="2021-08-30T00:00:00"/>
    <s v="P0013"/>
    <n v="13"/>
    <x v="2"/>
    <x v="0"/>
    <n v="0"/>
    <x v="2"/>
    <x v="2"/>
    <x v="1"/>
    <n v="112"/>
    <n v="122.08"/>
    <n v="1456"/>
    <n v="1587.04"/>
    <x v="154"/>
    <x v="24"/>
    <x v="7"/>
    <x v="0"/>
  </r>
  <r>
    <d v="2021-08-31T00:00:00"/>
    <s v="P0001"/>
    <n v="2"/>
    <x v="2"/>
    <x v="0"/>
    <n v="0"/>
    <x v="16"/>
    <x v="3"/>
    <x v="1"/>
    <n v="98"/>
    <n v="103.88"/>
    <n v="196"/>
    <n v="207.76"/>
    <x v="155"/>
    <x v="25"/>
    <x v="7"/>
    <x v="0"/>
  </r>
  <r>
    <d v="2021-08-31T00:00:00"/>
    <s v="P0035"/>
    <n v="11"/>
    <x v="2"/>
    <x v="0"/>
    <n v="0"/>
    <x v="4"/>
    <x v="4"/>
    <x v="3"/>
    <n v="5"/>
    <n v="6.7"/>
    <n v="55"/>
    <n v="73.7"/>
    <x v="156"/>
    <x v="25"/>
    <x v="7"/>
    <x v="0"/>
  </r>
  <r>
    <d v="2021-09-01T00:00:00"/>
    <s v="P0024"/>
    <n v="1"/>
    <x v="0"/>
    <x v="1"/>
    <n v="0"/>
    <x v="0"/>
    <x v="0"/>
    <x v="0"/>
    <n v="144"/>
    <n v="156.96"/>
    <n v="144"/>
    <n v="156.96"/>
    <x v="157"/>
    <x v="0"/>
    <x v="8"/>
    <x v="0"/>
  </r>
  <r>
    <d v="2021-09-01T00:00:00"/>
    <s v="P0003"/>
    <n v="14"/>
    <x v="1"/>
    <x v="0"/>
    <n v="0"/>
    <x v="6"/>
    <x v="3"/>
    <x v="1"/>
    <n v="71"/>
    <n v="80.94"/>
    <n v="994"/>
    <n v="1133.1599999999999"/>
    <x v="158"/>
    <x v="0"/>
    <x v="8"/>
    <x v="0"/>
  </r>
  <r>
    <d v="2021-09-03T00:00:00"/>
    <s v="P0041"/>
    <n v="8"/>
    <x v="2"/>
    <x v="0"/>
    <n v="0"/>
    <x v="41"/>
    <x v="1"/>
    <x v="0"/>
    <n v="138"/>
    <n v="173.88"/>
    <n v="1104"/>
    <n v="1391.04"/>
    <x v="159"/>
    <x v="2"/>
    <x v="8"/>
    <x v="0"/>
  </r>
  <r>
    <d v="2021-09-04T00:00:00"/>
    <s v="P0028"/>
    <n v="7"/>
    <x v="2"/>
    <x v="0"/>
    <n v="0"/>
    <x v="33"/>
    <x v="4"/>
    <x v="3"/>
    <n v="37"/>
    <n v="41.81"/>
    <n v="259"/>
    <n v="292.67"/>
    <x v="160"/>
    <x v="3"/>
    <x v="8"/>
    <x v="0"/>
  </r>
  <r>
    <d v="2021-09-04T00:00:00"/>
    <s v="P0023"/>
    <n v="15"/>
    <x v="2"/>
    <x v="0"/>
    <n v="0"/>
    <x v="12"/>
    <x v="0"/>
    <x v="0"/>
    <n v="141"/>
    <n v="149.46"/>
    <n v="2115"/>
    <n v="2241.9"/>
    <x v="161"/>
    <x v="3"/>
    <x v="8"/>
    <x v="0"/>
  </r>
  <r>
    <d v="2021-09-05T00:00:00"/>
    <s v="P0032"/>
    <n v="1"/>
    <x v="2"/>
    <x v="1"/>
    <n v="0"/>
    <x v="18"/>
    <x v="4"/>
    <x v="1"/>
    <n v="89"/>
    <n v="117.48"/>
    <n v="89"/>
    <n v="117.48"/>
    <x v="162"/>
    <x v="15"/>
    <x v="8"/>
    <x v="0"/>
  </r>
  <r>
    <d v="2021-09-07T00:00:00"/>
    <s v="P0019"/>
    <n v="5"/>
    <x v="2"/>
    <x v="0"/>
    <n v="0"/>
    <x v="40"/>
    <x v="2"/>
    <x v="0"/>
    <n v="150"/>
    <n v="210"/>
    <n v="750"/>
    <n v="1050"/>
    <x v="115"/>
    <x v="20"/>
    <x v="8"/>
    <x v="0"/>
  </r>
  <r>
    <d v="2021-09-09T00:00:00"/>
    <s v="P0044"/>
    <n v="4"/>
    <x v="2"/>
    <x v="0"/>
    <n v="0"/>
    <x v="11"/>
    <x v="1"/>
    <x v="1"/>
    <n v="76"/>
    <n v="82.08"/>
    <n v="304"/>
    <n v="328.32"/>
    <x v="163"/>
    <x v="4"/>
    <x v="8"/>
    <x v="0"/>
  </r>
  <r>
    <d v="2021-09-10T00:00:00"/>
    <s v="P0030"/>
    <n v="6"/>
    <x v="2"/>
    <x v="0"/>
    <n v="0"/>
    <x v="28"/>
    <x v="4"/>
    <x v="0"/>
    <n v="148"/>
    <n v="201.28"/>
    <n v="888"/>
    <n v="1207.68"/>
    <x v="164"/>
    <x v="26"/>
    <x v="8"/>
    <x v="0"/>
  </r>
  <r>
    <d v="2021-09-10T00:00:00"/>
    <s v="P0001"/>
    <n v="9"/>
    <x v="0"/>
    <x v="0"/>
    <n v="0"/>
    <x v="16"/>
    <x v="3"/>
    <x v="1"/>
    <n v="98"/>
    <n v="103.88"/>
    <n v="882"/>
    <n v="934.92"/>
    <x v="165"/>
    <x v="26"/>
    <x v="8"/>
    <x v="0"/>
  </r>
  <r>
    <d v="2021-09-10T00:00:00"/>
    <s v="P0026"/>
    <n v="2"/>
    <x v="2"/>
    <x v="0"/>
    <n v="0"/>
    <x v="42"/>
    <x v="4"/>
    <x v="3"/>
    <n v="18"/>
    <n v="24.66"/>
    <n v="36"/>
    <n v="49.32"/>
    <x v="166"/>
    <x v="26"/>
    <x v="8"/>
    <x v="0"/>
  </r>
  <r>
    <d v="2021-09-11T00:00:00"/>
    <s v="P0001"/>
    <n v="6"/>
    <x v="0"/>
    <x v="0"/>
    <n v="0"/>
    <x v="16"/>
    <x v="3"/>
    <x v="1"/>
    <n v="98"/>
    <n v="103.88"/>
    <n v="588"/>
    <n v="623.28"/>
    <x v="167"/>
    <x v="5"/>
    <x v="8"/>
    <x v="0"/>
  </r>
  <r>
    <d v="2021-09-13T00:00:00"/>
    <s v="P0041"/>
    <n v="7"/>
    <x v="2"/>
    <x v="1"/>
    <n v="0"/>
    <x v="41"/>
    <x v="1"/>
    <x v="0"/>
    <n v="138"/>
    <n v="173.88"/>
    <n v="966"/>
    <n v="1217.1599999999999"/>
    <x v="168"/>
    <x v="22"/>
    <x v="8"/>
    <x v="0"/>
  </r>
  <r>
    <d v="2021-09-15T00:00:00"/>
    <s v="P0042"/>
    <n v="6"/>
    <x v="2"/>
    <x v="0"/>
    <n v="0"/>
    <x v="10"/>
    <x v="1"/>
    <x v="0"/>
    <n v="120"/>
    <n v="162"/>
    <n v="720"/>
    <n v="972"/>
    <x v="19"/>
    <x v="17"/>
    <x v="8"/>
    <x v="0"/>
  </r>
  <r>
    <d v="2021-09-15T00:00:00"/>
    <s v="P0042"/>
    <n v="14"/>
    <x v="2"/>
    <x v="0"/>
    <n v="0"/>
    <x v="10"/>
    <x v="1"/>
    <x v="0"/>
    <n v="120"/>
    <n v="162"/>
    <n v="1680"/>
    <n v="2268"/>
    <x v="169"/>
    <x v="17"/>
    <x v="8"/>
    <x v="0"/>
  </r>
  <r>
    <d v="2021-09-21T00:00:00"/>
    <s v="P0020"/>
    <n v="7"/>
    <x v="0"/>
    <x v="1"/>
    <n v="0"/>
    <x v="14"/>
    <x v="0"/>
    <x v="2"/>
    <n v="61"/>
    <n v="76.25"/>
    <n v="427"/>
    <n v="533.75"/>
    <x v="170"/>
    <x v="10"/>
    <x v="8"/>
    <x v="0"/>
  </r>
  <r>
    <d v="2021-09-22T00:00:00"/>
    <s v="P0040"/>
    <n v="2"/>
    <x v="1"/>
    <x v="1"/>
    <n v="0"/>
    <x v="17"/>
    <x v="1"/>
    <x v="1"/>
    <n v="90"/>
    <n v="115.2"/>
    <n v="180"/>
    <n v="230.4"/>
    <x v="171"/>
    <x v="18"/>
    <x v="8"/>
    <x v="0"/>
  </r>
  <r>
    <d v="2021-09-22T00:00:00"/>
    <s v="P0002"/>
    <n v="4"/>
    <x v="2"/>
    <x v="1"/>
    <n v="0"/>
    <x v="29"/>
    <x v="3"/>
    <x v="1"/>
    <n v="105"/>
    <n v="142.80000000000001"/>
    <n v="420"/>
    <n v="571.20000000000005"/>
    <x v="47"/>
    <x v="18"/>
    <x v="8"/>
    <x v="0"/>
  </r>
  <r>
    <d v="2021-09-23T00:00:00"/>
    <s v="P0018"/>
    <n v="12"/>
    <x v="2"/>
    <x v="1"/>
    <n v="0"/>
    <x v="30"/>
    <x v="2"/>
    <x v="3"/>
    <n v="37"/>
    <n v="49.21"/>
    <n v="444"/>
    <n v="590.52"/>
    <x v="172"/>
    <x v="19"/>
    <x v="8"/>
    <x v="0"/>
  </r>
  <r>
    <d v="2021-09-23T00:00:00"/>
    <s v="P0021"/>
    <n v="7"/>
    <x v="1"/>
    <x v="0"/>
    <n v="0"/>
    <x v="32"/>
    <x v="0"/>
    <x v="0"/>
    <n v="126"/>
    <n v="162.54"/>
    <n v="882"/>
    <n v="1137.78"/>
    <x v="173"/>
    <x v="19"/>
    <x v="8"/>
    <x v="0"/>
  </r>
  <r>
    <d v="2021-09-27T00:00:00"/>
    <s v="P0034"/>
    <n v="1"/>
    <x v="2"/>
    <x v="1"/>
    <n v="0"/>
    <x v="13"/>
    <x v="4"/>
    <x v="2"/>
    <n v="55"/>
    <n v="58.3"/>
    <n v="55"/>
    <n v="58.3"/>
    <x v="174"/>
    <x v="13"/>
    <x v="8"/>
    <x v="0"/>
  </r>
  <r>
    <d v="2021-09-30T00:00:00"/>
    <s v="P0014"/>
    <n v="9"/>
    <x v="1"/>
    <x v="0"/>
    <n v="0"/>
    <x v="9"/>
    <x v="2"/>
    <x v="1"/>
    <n v="112"/>
    <n v="146.72"/>
    <n v="1008"/>
    <n v="1320.48"/>
    <x v="175"/>
    <x v="24"/>
    <x v="8"/>
    <x v="0"/>
  </r>
  <r>
    <d v="2021-09-30T00:00:00"/>
    <s v="P0006"/>
    <n v="5"/>
    <x v="1"/>
    <x v="0"/>
    <n v="0"/>
    <x v="15"/>
    <x v="3"/>
    <x v="1"/>
    <n v="75"/>
    <n v="85.5"/>
    <n v="375"/>
    <n v="427.5"/>
    <x v="176"/>
    <x v="24"/>
    <x v="8"/>
    <x v="0"/>
  </r>
  <r>
    <d v="2021-10-01T00:00:00"/>
    <s v="P0030"/>
    <n v="14"/>
    <x v="1"/>
    <x v="1"/>
    <n v="0"/>
    <x v="28"/>
    <x v="4"/>
    <x v="0"/>
    <n v="148"/>
    <n v="201.28"/>
    <n v="2072"/>
    <n v="2817.92"/>
    <x v="177"/>
    <x v="0"/>
    <x v="9"/>
    <x v="0"/>
  </r>
  <r>
    <d v="2021-10-02T00:00:00"/>
    <s v="P0014"/>
    <n v="15"/>
    <x v="2"/>
    <x v="0"/>
    <n v="0"/>
    <x v="9"/>
    <x v="2"/>
    <x v="1"/>
    <n v="112"/>
    <n v="146.72"/>
    <n v="1680"/>
    <n v="2200.8000000000002"/>
    <x v="178"/>
    <x v="1"/>
    <x v="9"/>
    <x v="0"/>
  </r>
  <r>
    <d v="2021-10-03T00:00:00"/>
    <s v="P0019"/>
    <n v="9"/>
    <x v="2"/>
    <x v="0"/>
    <n v="0"/>
    <x v="40"/>
    <x v="2"/>
    <x v="0"/>
    <n v="150"/>
    <n v="210"/>
    <n v="1350"/>
    <n v="1890"/>
    <x v="179"/>
    <x v="2"/>
    <x v="9"/>
    <x v="0"/>
  </r>
  <r>
    <d v="2021-10-06T00:00:00"/>
    <s v="P0035"/>
    <n v="1"/>
    <x v="2"/>
    <x v="0"/>
    <n v="0"/>
    <x v="4"/>
    <x v="4"/>
    <x v="3"/>
    <n v="5"/>
    <n v="6.7"/>
    <n v="5"/>
    <n v="6.7"/>
    <x v="37"/>
    <x v="16"/>
    <x v="9"/>
    <x v="0"/>
  </r>
  <r>
    <d v="2021-10-06T00:00:00"/>
    <s v="P0036"/>
    <n v="12"/>
    <x v="1"/>
    <x v="0"/>
    <n v="0"/>
    <x v="43"/>
    <x v="4"/>
    <x v="1"/>
    <n v="90"/>
    <n v="96.3"/>
    <n v="1080"/>
    <n v="1155.5999999999999"/>
    <x v="180"/>
    <x v="16"/>
    <x v="9"/>
    <x v="0"/>
  </r>
  <r>
    <d v="2021-10-07T00:00:00"/>
    <s v="P0026"/>
    <n v="6"/>
    <x v="2"/>
    <x v="1"/>
    <n v="0"/>
    <x v="42"/>
    <x v="4"/>
    <x v="3"/>
    <n v="18"/>
    <n v="24.66"/>
    <n v="108"/>
    <n v="147.96"/>
    <x v="181"/>
    <x v="20"/>
    <x v="9"/>
    <x v="0"/>
  </r>
  <r>
    <d v="2021-10-09T00:00:00"/>
    <s v="P0038"/>
    <n v="5"/>
    <x v="2"/>
    <x v="1"/>
    <n v="0"/>
    <x v="1"/>
    <x v="1"/>
    <x v="1"/>
    <n v="72"/>
    <n v="79.92"/>
    <n v="360"/>
    <n v="399.6"/>
    <x v="182"/>
    <x v="4"/>
    <x v="9"/>
    <x v="0"/>
  </r>
  <r>
    <d v="2021-10-09T00:00:00"/>
    <s v="P0032"/>
    <n v="11"/>
    <x v="1"/>
    <x v="1"/>
    <n v="0"/>
    <x v="18"/>
    <x v="4"/>
    <x v="1"/>
    <n v="89"/>
    <n v="117.48"/>
    <n v="979"/>
    <n v="1292.28"/>
    <x v="48"/>
    <x v="4"/>
    <x v="9"/>
    <x v="0"/>
  </r>
  <r>
    <d v="2021-10-10T00:00:00"/>
    <s v="P0035"/>
    <n v="14"/>
    <x v="2"/>
    <x v="1"/>
    <n v="0"/>
    <x v="4"/>
    <x v="4"/>
    <x v="3"/>
    <n v="5"/>
    <n v="6.7"/>
    <n v="70"/>
    <n v="93.8"/>
    <x v="183"/>
    <x v="26"/>
    <x v="9"/>
    <x v="0"/>
  </r>
  <r>
    <d v="2021-10-11T00:00:00"/>
    <s v="P0011"/>
    <n v="15"/>
    <x v="2"/>
    <x v="1"/>
    <n v="0"/>
    <x v="31"/>
    <x v="2"/>
    <x v="2"/>
    <n v="44"/>
    <n v="48.4"/>
    <n v="660"/>
    <n v="726"/>
    <x v="184"/>
    <x v="5"/>
    <x v="9"/>
    <x v="0"/>
  </r>
  <r>
    <d v="2021-10-12T00:00:00"/>
    <s v="P0027"/>
    <n v="8"/>
    <x v="1"/>
    <x v="0"/>
    <n v="0"/>
    <x v="26"/>
    <x v="4"/>
    <x v="2"/>
    <n v="48"/>
    <n v="57.120000000000005"/>
    <n v="384"/>
    <n v="456.96000000000004"/>
    <x v="185"/>
    <x v="6"/>
    <x v="9"/>
    <x v="0"/>
  </r>
  <r>
    <d v="2021-10-17T00:00:00"/>
    <s v="P0001"/>
    <n v="13"/>
    <x v="2"/>
    <x v="0"/>
    <n v="0"/>
    <x v="16"/>
    <x v="3"/>
    <x v="1"/>
    <n v="98"/>
    <n v="103.88"/>
    <n v="1274"/>
    <n v="1350.44"/>
    <x v="186"/>
    <x v="30"/>
    <x v="9"/>
    <x v="0"/>
  </r>
  <r>
    <d v="2021-10-18T00:00:00"/>
    <s v="P0025"/>
    <n v="6"/>
    <x v="1"/>
    <x v="1"/>
    <n v="0"/>
    <x v="7"/>
    <x v="0"/>
    <x v="3"/>
    <n v="7"/>
    <n v="8.33"/>
    <n v="42"/>
    <n v="49.980000000000004"/>
    <x v="149"/>
    <x v="7"/>
    <x v="9"/>
    <x v="0"/>
  </r>
  <r>
    <d v="2021-10-18T00:00:00"/>
    <s v="P0021"/>
    <n v="13"/>
    <x v="1"/>
    <x v="1"/>
    <n v="0"/>
    <x v="32"/>
    <x v="0"/>
    <x v="0"/>
    <n v="126"/>
    <n v="162.54"/>
    <n v="1638"/>
    <n v="2113.02"/>
    <x v="187"/>
    <x v="7"/>
    <x v="9"/>
    <x v="0"/>
  </r>
  <r>
    <d v="2021-10-22T00:00:00"/>
    <s v="P0011"/>
    <n v="7"/>
    <x v="2"/>
    <x v="1"/>
    <n v="0"/>
    <x v="31"/>
    <x v="2"/>
    <x v="2"/>
    <n v="44"/>
    <n v="48.4"/>
    <n v="308"/>
    <n v="338.8"/>
    <x v="188"/>
    <x v="18"/>
    <x v="9"/>
    <x v="0"/>
  </r>
  <r>
    <d v="2021-10-22T00:00:00"/>
    <s v="P0024"/>
    <n v="13"/>
    <x v="1"/>
    <x v="1"/>
    <n v="0"/>
    <x v="0"/>
    <x v="0"/>
    <x v="0"/>
    <n v="144"/>
    <n v="156.96"/>
    <n v="1872"/>
    <n v="2040.48"/>
    <x v="189"/>
    <x v="18"/>
    <x v="9"/>
    <x v="0"/>
  </r>
  <r>
    <d v="2021-10-22T00:00:00"/>
    <s v="P0009"/>
    <n v="1"/>
    <x v="2"/>
    <x v="1"/>
    <n v="0"/>
    <x v="37"/>
    <x v="0"/>
    <x v="3"/>
    <n v="6"/>
    <n v="7.8599999999999994"/>
    <n v="6"/>
    <n v="7.8599999999999994"/>
    <x v="190"/>
    <x v="18"/>
    <x v="9"/>
    <x v="0"/>
  </r>
  <r>
    <d v="2021-10-24T00:00:00"/>
    <s v="P0011"/>
    <n v="3"/>
    <x v="0"/>
    <x v="1"/>
    <n v="0"/>
    <x v="31"/>
    <x v="2"/>
    <x v="2"/>
    <n v="44"/>
    <n v="48.4"/>
    <n v="132"/>
    <n v="145.19999999999999"/>
    <x v="191"/>
    <x v="27"/>
    <x v="9"/>
    <x v="0"/>
  </r>
  <r>
    <d v="2021-10-25T00:00:00"/>
    <s v="P0044"/>
    <n v="9"/>
    <x v="1"/>
    <x v="1"/>
    <n v="0"/>
    <x v="11"/>
    <x v="1"/>
    <x v="1"/>
    <n v="76"/>
    <n v="82.08"/>
    <n v="684"/>
    <n v="738.72"/>
    <x v="23"/>
    <x v="11"/>
    <x v="9"/>
    <x v="0"/>
  </r>
  <r>
    <d v="2021-10-26T00:00:00"/>
    <s v="P0004"/>
    <n v="6"/>
    <x v="0"/>
    <x v="1"/>
    <n v="0"/>
    <x v="3"/>
    <x v="3"/>
    <x v="2"/>
    <n v="44"/>
    <n v="48.84"/>
    <n v="264"/>
    <n v="293.04000000000002"/>
    <x v="192"/>
    <x v="12"/>
    <x v="9"/>
    <x v="0"/>
  </r>
  <r>
    <d v="2021-10-28T00:00:00"/>
    <s v="P0008"/>
    <n v="1"/>
    <x v="2"/>
    <x v="1"/>
    <n v="0"/>
    <x v="25"/>
    <x v="3"/>
    <x v="1"/>
    <n v="83"/>
    <n v="94.62"/>
    <n v="83"/>
    <n v="94.62"/>
    <x v="193"/>
    <x v="14"/>
    <x v="9"/>
    <x v="0"/>
  </r>
  <r>
    <d v="2021-10-29T00:00:00"/>
    <s v="P0038"/>
    <n v="14"/>
    <x v="1"/>
    <x v="0"/>
    <n v="0"/>
    <x v="1"/>
    <x v="1"/>
    <x v="1"/>
    <n v="72"/>
    <n v="79.92"/>
    <n v="1008"/>
    <n v="1118.8800000000001"/>
    <x v="194"/>
    <x v="28"/>
    <x v="9"/>
    <x v="0"/>
  </r>
  <r>
    <d v="2021-10-31T00:00:00"/>
    <s v="P0021"/>
    <n v="6"/>
    <x v="1"/>
    <x v="1"/>
    <n v="0"/>
    <x v="32"/>
    <x v="0"/>
    <x v="0"/>
    <n v="126"/>
    <n v="162.54"/>
    <n v="756"/>
    <n v="975.24"/>
    <x v="195"/>
    <x v="25"/>
    <x v="9"/>
    <x v="0"/>
  </r>
  <r>
    <d v="2021-11-03T00:00:00"/>
    <s v="P0013"/>
    <n v="12"/>
    <x v="2"/>
    <x v="1"/>
    <n v="0"/>
    <x v="2"/>
    <x v="2"/>
    <x v="1"/>
    <n v="112"/>
    <n v="122.08"/>
    <n v="1344"/>
    <n v="1464.96"/>
    <x v="196"/>
    <x v="2"/>
    <x v="10"/>
    <x v="0"/>
  </r>
  <r>
    <d v="2021-11-06T00:00:00"/>
    <s v="P0036"/>
    <n v="10"/>
    <x v="2"/>
    <x v="0"/>
    <n v="0"/>
    <x v="43"/>
    <x v="4"/>
    <x v="1"/>
    <n v="90"/>
    <n v="96.3"/>
    <n v="900"/>
    <n v="963"/>
    <x v="197"/>
    <x v="16"/>
    <x v="10"/>
    <x v="0"/>
  </r>
  <r>
    <d v="2021-11-08T00:00:00"/>
    <s v="P0007"/>
    <n v="15"/>
    <x v="2"/>
    <x v="0"/>
    <n v="0"/>
    <x v="36"/>
    <x v="3"/>
    <x v="2"/>
    <n v="43"/>
    <n v="47.730000000000004"/>
    <n v="645"/>
    <n v="715.95"/>
    <x v="198"/>
    <x v="21"/>
    <x v="10"/>
    <x v="0"/>
  </r>
  <r>
    <d v="2021-11-10T00:00:00"/>
    <s v="P0042"/>
    <n v="6"/>
    <x v="1"/>
    <x v="1"/>
    <n v="0"/>
    <x v="10"/>
    <x v="1"/>
    <x v="0"/>
    <n v="120"/>
    <n v="162"/>
    <n v="720"/>
    <n v="972"/>
    <x v="19"/>
    <x v="26"/>
    <x v="10"/>
    <x v="0"/>
  </r>
  <r>
    <d v="2021-11-11T00:00:00"/>
    <s v="P0040"/>
    <n v="12"/>
    <x v="0"/>
    <x v="0"/>
    <n v="0"/>
    <x v="17"/>
    <x v="1"/>
    <x v="1"/>
    <n v="90"/>
    <n v="115.2"/>
    <n v="1080"/>
    <n v="1382.4"/>
    <x v="199"/>
    <x v="5"/>
    <x v="10"/>
    <x v="0"/>
  </r>
  <r>
    <d v="2021-11-12T00:00:00"/>
    <s v="P0010"/>
    <n v="3"/>
    <x v="1"/>
    <x v="1"/>
    <n v="0"/>
    <x v="20"/>
    <x v="2"/>
    <x v="0"/>
    <n v="148"/>
    <n v="164.28"/>
    <n v="444"/>
    <n v="492.84000000000003"/>
    <x v="200"/>
    <x v="6"/>
    <x v="10"/>
    <x v="0"/>
  </r>
  <r>
    <d v="2021-11-20T00:00:00"/>
    <s v="P0034"/>
    <n v="14"/>
    <x v="1"/>
    <x v="0"/>
    <n v="0"/>
    <x v="13"/>
    <x v="4"/>
    <x v="2"/>
    <n v="55"/>
    <n v="58.3"/>
    <n v="770"/>
    <n v="816.19999999999993"/>
    <x v="38"/>
    <x v="9"/>
    <x v="10"/>
    <x v="0"/>
  </r>
  <r>
    <d v="2021-11-20T00:00:00"/>
    <s v="P0008"/>
    <n v="11"/>
    <x v="1"/>
    <x v="1"/>
    <n v="0"/>
    <x v="25"/>
    <x v="3"/>
    <x v="1"/>
    <n v="83"/>
    <n v="94.62"/>
    <n v="913"/>
    <n v="1040.8200000000002"/>
    <x v="201"/>
    <x v="9"/>
    <x v="10"/>
    <x v="0"/>
  </r>
  <r>
    <d v="2021-11-21T00:00:00"/>
    <s v="P0014"/>
    <n v="1"/>
    <x v="0"/>
    <x v="0"/>
    <n v="0"/>
    <x v="9"/>
    <x v="2"/>
    <x v="1"/>
    <n v="112"/>
    <n v="146.72"/>
    <n v="112"/>
    <n v="146.72"/>
    <x v="202"/>
    <x v="10"/>
    <x v="10"/>
    <x v="0"/>
  </r>
  <r>
    <d v="2021-11-21T00:00:00"/>
    <s v="P0006"/>
    <n v="1"/>
    <x v="1"/>
    <x v="1"/>
    <n v="0"/>
    <x v="15"/>
    <x v="3"/>
    <x v="1"/>
    <n v="75"/>
    <n v="85.5"/>
    <n v="75"/>
    <n v="85.5"/>
    <x v="203"/>
    <x v="10"/>
    <x v="10"/>
    <x v="0"/>
  </r>
  <r>
    <d v="2021-11-27T00:00:00"/>
    <s v="P0012"/>
    <n v="8"/>
    <x v="1"/>
    <x v="0"/>
    <n v="0"/>
    <x v="35"/>
    <x v="2"/>
    <x v="1"/>
    <n v="73"/>
    <n v="94.17"/>
    <n v="584"/>
    <n v="753.36"/>
    <x v="204"/>
    <x v="13"/>
    <x v="10"/>
    <x v="0"/>
  </r>
  <r>
    <d v="2021-11-28T00:00:00"/>
    <s v="P0040"/>
    <n v="2"/>
    <x v="2"/>
    <x v="1"/>
    <n v="0"/>
    <x v="17"/>
    <x v="1"/>
    <x v="1"/>
    <n v="90"/>
    <n v="115.2"/>
    <n v="180"/>
    <n v="230.4"/>
    <x v="171"/>
    <x v="14"/>
    <x v="10"/>
    <x v="0"/>
  </r>
  <r>
    <d v="2021-11-30T00:00:00"/>
    <s v="P0039"/>
    <n v="15"/>
    <x v="2"/>
    <x v="0"/>
    <n v="0"/>
    <x v="34"/>
    <x v="1"/>
    <x v="3"/>
    <n v="37"/>
    <n v="42.55"/>
    <n v="555"/>
    <n v="638.25"/>
    <x v="205"/>
    <x v="24"/>
    <x v="10"/>
    <x v="0"/>
  </r>
  <r>
    <d v="2021-12-02T00:00:00"/>
    <s v="P0016"/>
    <n v="10"/>
    <x v="2"/>
    <x v="1"/>
    <n v="0"/>
    <x v="21"/>
    <x v="2"/>
    <x v="3"/>
    <n v="13"/>
    <n v="16.64"/>
    <n v="130"/>
    <n v="166.4"/>
    <x v="206"/>
    <x v="1"/>
    <x v="11"/>
    <x v="0"/>
  </r>
  <r>
    <d v="2021-12-03T00:00:00"/>
    <s v="P0034"/>
    <n v="2"/>
    <x v="1"/>
    <x v="1"/>
    <n v="0"/>
    <x v="13"/>
    <x v="4"/>
    <x v="2"/>
    <n v="55"/>
    <n v="58.3"/>
    <n v="110"/>
    <n v="116.6"/>
    <x v="207"/>
    <x v="2"/>
    <x v="11"/>
    <x v="0"/>
  </r>
  <r>
    <d v="2021-12-03T00:00:00"/>
    <s v="P0019"/>
    <n v="8"/>
    <x v="1"/>
    <x v="0"/>
    <n v="0"/>
    <x v="40"/>
    <x v="2"/>
    <x v="0"/>
    <n v="150"/>
    <n v="210"/>
    <n v="1200"/>
    <n v="1680"/>
    <x v="208"/>
    <x v="2"/>
    <x v="11"/>
    <x v="0"/>
  </r>
  <r>
    <d v="2021-12-05T00:00:00"/>
    <s v="P0004"/>
    <n v="15"/>
    <x v="2"/>
    <x v="1"/>
    <n v="0"/>
    <x v="3"/>
    <x v="3"/>
    <x v="2"/>
    <n v="44"/>
    <n v="48.84"/>
    <n v="660"/>
    <n v="732.6"/>
    <x v="17"/>
    <x v="15"/>
    <x v="11"/>
    <x v="0"/>
  </r>
  <r>
    <d v="2021-12-05T00:00:00"/>
    <s v="P0010"/>
    <n v="1"/>
    <x v="2"/>
    <x v="0"/>
    <n v="0"/>
    <x v="20"/>
    <x v="2"/>
    <x v="0"/>
    <n v="148"/>
    <n v="164.28"/>
    <n v="148"/>
    <n v="164.28"/>
    <x v="209"/>
    <x v="15"/>
    <x v="11"/>
    <x v="0"/>
  </r>
  <r>
    <d v="2021-12-07T00:00:00"/>
    <s v="P0013"/>
    <n v="8"/>
    <x v="2"/>
    <x v="0"/>
    <n v="0"/>
    <x v="2"/>
    <x v="2"/>
    <x v="1"/>
    <n v="112"/>
    <n v="122.08"/>
    <n v="896"/>
    <n v="976.64"/>
    <x v="210"/>
    <x v="20"/>
    <x v="11"/>
    <x v="0"/>
  </r>
  <r>
    <d v="2021-12-08T00:00:00"/>
    <s v="P0044"/>
    <n v="14"/>
    <x v="2"/>
    <x v="0"/>
    <n v="0"/>
    <x v="11"/>
    <x v="1"/>
    <x v="1"/>
    <n v="76"/>
    <n v="82.08"/>
    <n v="1064"/>
    <n v="1149.1199999999999"/>
    <x v="211"/>
    <x v="21"/>
    <x v="11"/>
    <x v="0"/>
  </r>
  <r>
    <d v="2021-12-14T00:00:00"/>
    <s v="P0042"/>
    <n v="4"/>
    <x v="2"/>
    <x v="0"/>
    <n v="0"/>
    <x v="10"/>
    <x v="1"/>
    <x v="0"/>
    <n v="120"/>
    <n v="162"/>
    <n v="480"/>
    <n v="648"/>
    <x v="10"/>
    <x v="29"/>
    <x v="11"/>
    <x v="0"/>
  </r>
  <r>
    <d v="2021-12-18T00:00:00"/>
    <s v="P0003"/>
    <n v="2"/>
    <x v="2"/>
    <x v="1"/>
    <n v="0"/>
    <x v="6"/>
    <x v="3"/>
    <x v="1"/>
    <n v="71"/>
    <n v="80.94"/>
    <n v="142"/>
    <n v="161.88"/>
    <x v="212"/>
    <x v="7"/>
    <x v="11"/>
    <x v="0"/>
  </r>
  <r>
    <d v="2021-12-18T00:00:00"/>
    <s v="P0022"/>
    <n v="8"/>
    <x v="1"/>
    <x v="1"/>
    <n v="0"/>
    <x v="22"/>
    <x v="0"/>
    <x v="0"/>
    <n v="121"/>
    <n v="141.57"/>
    <n v="968"/>
    <n v="1132.56"/>
    <x v="213"/>
    <x v="7"/>
    <x v="11"/>
    <x v="0"/>
  </r>
  <r>
    <d v="2021-12-19T00:00:00"/>
    <s v="P0023"/>
    <n v="12"/>
    <x v="2"/>
    <x v="0"/>
    <n v="0"/>
    <x v="12"/>
    <x v="0"/>
    <x v="0"/>
    <n v="141"/>
    <n v="149.46"/>
    <n v="1692"/>
    <n v="1793.52"/>
    <x v="214"/>
    <x v="8"/>
    <x v="11"/>
    <x v="0"/>
  </r>
  <r>
    <d v="2021-12-19T00:00:00"/>
    <s v="P0029"/>
    <n v="3"/>
    <x v="0"/>
    <x v="0"/>
    <n v="0"/>
    <x v="19"/>
    <x v="4"/>
    <x v="2"/>
    <n v="47"/>
    <n v="53.11"/>
    <n v="141"/>
    <n v="159.32999999999998"/>
    <x v="215"/>
    <x v="8"/>
    <x v="11"/>
    <x v="0"/>
  </r>
  <r>
    <d v="2021-12-19T00:00:00"/>
    <s v="P0011"/>
    <n v="10"/>
    <x v="1"/>
    <x v="0"/>
    <n v="0"/>
    <x v="31"/>
    <x v="2"/>
    <x v="2"/>
    <n v="44"/>
    <n v="48.4"/>
    <n v="440"/>
    <n v="484"/>
    <x v="216"/>
    <x v="8"/>
    <x v="11"/>
    <x v="0"/>
  </r>
  <r>
    <d v="2021-12-20T00:00:00"/>
    <s v="P0012"/>
    <n v="14"/>
    <x v="2"/>
    <x v="0"/>
    <n v="0"/>
    <x v="35"/>
    <x v="2"/>
    <x v="1"/>
    <n v="73"/>
    <n v="94.17"/>
    <n v="1022"/>
    <n v="1318.38"/>
    <x v="58"/>
    <x v="9"/>
    <x v="11"/>
    <x v="0"/>
  </r>
  <r>
    <d v="2021-12-21T00:00:00"/>
    <s v="P0026"/>
    <n v="10"/>
    <x v="1"/>
    <x v="1"/>
    <n v="0"/>
    <x v="42"/>
    <x v="4"/>
    <x v="3"/>
    <n v="18"/>
    <n v="24.66"/>
    <n v="180"/>
    <n v="246.6"/>
    <x v="217"/>
    <x v="10"/>
    <x v="11"/>
    <x v="0"/>
  </r>
  <r>
    <d v="2021-12-24T00:00:00"/>
    <s v="P0042"/>
    <n v="8"/>
    <x v="0"/>
    <x v="1"/>
    <n v="0"/>
    <x v="10"/>
    <x v="1"/>
    <x v="0"/>
    <n v="120"/>
    <n v="162"/>
    <n v="960"/>
    <n v="1296"/>
    <x v="59"/>
    <x v="27"/>
    <x v="11"/>
    <x v="0"/>
  </r>
  <r>
    <d v="2021-12-24T00:00:00"/>
    <s v="P0036"/>
    <n v="8"/>
    <x v="0"/>
    <x v="0"/>
    <n v="0"/>
    <x v="43"/>
    <x v="4"/>
    <x v="1"/>
    <n v="90"/>
    <n v="96.3"/>
    <n v="720"/>
    <n v="770.4"/>
    <x v="218"/>
    <x v="27"/>
    <x v="11"/>
    <x v="0"/>
  </r>
  <r>
    <d v="2021-12-26T00:00:00"/>
    <s v="P0041"/>
    <n v="14"/>
    <x v="1"/>
    <x v="1"/>
    <n v="0"/>
    <x v="41"/>
    <x v="1"/>
    <x v="0"/>
    <n v="138"/>
    <n v="173.88"/>
    <n v="1932"/>
    <n v="2434.3199999999997"/>
    <x v="219"/>
    <x v="12"/>
    <x v="11"/>
    <x v="0"/>
  </r>
  <r>
    <d v="2021-12-27T00:00:00"/>
    <s v="P0029"/>
    <n v="14"/>
    <x v="2"/>
    <x v="1"/>
    <n v="0"/>
    <x v="19"/>
    <x v="4"/>
    <x v="2"/>
    <n v="47"/>
    <n v="53.11"/>
    <n v="658"/>
    <n v="743.54"/>
    <x v="220"/>
    <x v="13"/>
    <x v="11"/>
    <x v="0"/>
  </r>
  <r>
    <d v="2021-12-28T00:00:00"/>
    <s v="P0029"/>
    <n v="6"/>
    <x v="2"/>
    <x v="1"/>
    <n v="0"/>
    <x v="19"/>
    <x v="4"/>
    <x v="2"/>
    <n v="47"/>
    <n v="53.11"/>
    <n v="282"/>
    <n v="318.65999999999997"/>
    <x v="54"/>
    <x v="14"/>
    <x v="11"/>
    <x v="0"/>
  </r>
  <r>
    <d v="2021-12-30T00:00:00"/>
    <s v="P0010"/>
    <n v="13"/>
    <x v="1"/>
    <x v="0"/>
    <n v="0"/>
    <x v="20"/>
    <x v="2"/>
    <x v="0"/>
    <n v="148"/>
    <n v="164.28"/>
    <n v="1924"/>
    <n v="2135.64"/>
    <x v="221"/>
    <x v="24"/>
    <x v="11"/>
    <x v="0"/>
  </r>
  <r>
    <d v="2022-01-01T00:00:00"/>
    <s v="P0022"/>
    <n v="1"/>
    <x v="0"/>
    <x v="1"/>
    <n v="0"/>
    <x v="22"/>
    <x v="0"/>
    <x v="0"/>
    <n v="121"/>
    <n v="141.57"/>
    <n v="121"/>
    <n v="141.57"/>
    <x v="222"/>
    <x v="0"/>
    <x v="0"/>
    <x v="1"/>
  </r>
  <r>
    <d v="2022-01-02T00:00:00"/>
    <s v="P0010"/>
    <n v="7"/>
    <x v="2"/>
    <x v="1"/>
    <n v="0"/>
    <x v="20"/>
    <x v="2"/>
    <x v="0"/>
    <n v="148"/>
    <n v="164.28"/>
    <n v="1036"/>
    <n v="1149.96"/>
    <x v="30"/>
    <x v="1"/>
    <x v="0"/>
    <x v="1"/>
  </r>
  <r>
    <d v="2022-01-02T00:00:00"/>
    <s v="P0015"/>
    <n v="2"/>
    <x v="1"/>
    <x v="1"/>
    <n v="0"/>
    <x v="27"/>
    <x v="2"/>
    <x v="3"/>
    <n v="12"/>
    <n v="15.719999999999999"/>
    <n v="24"/>
    <n v="31.439999999999998"/>
    <x v="223"/>
    <x v="1"/>
    <x v="0"/>
    <x v="1"/>
  </r>
  <r>
    <d v="2022-01-02T00:00:00"/>
    <s v="P0033"/>
    <n v="1"/>
    <x v="2"/>
    <x v="1"/>
    <n v="0"/>
    <x v="38"/>
    <x v="4"/>
    <x v="1"/>
    <n v="95"/>
    <n v="119.7"/>
    <n v="95"/>
    <n v="119.7"/>
    <x v="224"/>
    <x v="1"/>
    <x v="0"/>
    <x v="1"/>
  </r>
  <r>
    <d v="2022-01-03T00:00:00"/>
    <s v="P0043"/>
    <n v="9"/>
    <x v="2"/>
    <x v="1"/>
    <n v="0"/>
    <x v="23"/>
    <x v="1"/>
    <x v="1"/>
    <n v="67"/>
    <n v="83.08"/>
    <n v="603"/>
    <n v="747.72"/>
    <x v="36"/>
    <x v="2"/>
    <x v="0"/>
    <x v="1"/>
  </r>
  <r>
    <d v="2022-01-04T00:00:00"/>
    <s v="P0012"/>
    <n v="8"/>
    <x v="2"/>
    <x v="0"/>
    <n v="0"/>
    <x v="35"/>
    <x v="2"/>
    <x v="1"/>
    <n v="73"/>
    <n v="94.17"/>
    <n v="584"/>
    <n v="753.36"/>
    <x v="204"/>
    <x v="3"/>
    <x v="0"/>
    <x v="1"/>
  </r>
  <r>
    <d v="2022-01-04T00:00:00"/>
    <s v="P0029"/>
    <n v="1"/>
    <x v="1"/>
    <x v="0"/>
    <n v="0"/>
    <x v="19"/>
    <x v="4"/>
    <x v="2"/>
    <n v="47"/>
    <n v="53.11"/>
    <n v="47"/>
    <n v="53.11"/>
    <x v="89"/>
    <x v="3"/>
    <x v="0"/>
    <x v="1"/>
  </r>
  <r>
    <d v="2022-01-09T00:00:00"/>
    <s v="P0032"/>
    <n v="12"/>
    <x v="2"/>
    <x v="0"/>
    <n v="0"/>
    <x v="18"/>
    <x v="4"/>
    <x v="1"/>
    <n v="89"/>
    <n v="117.48"/>
    <n v="1068"/>
    <n v="1409.76"/>
    <x v="112"/>
    <x v="4"/>
    <x v="0"/>
    <x v="1"/>
  </r>
  <r>
    <d v="2022-01-10T00:00:00"/>
    <s v="P0034"/>
    <n v="14"/>
    <x v="1"/>
    <x v="0"/>
    <n v="0"/>
    <x v="13"/>
    <x v="4"/>
    <x v="2"/>
    <n v="55"/>
    <n v="58.3"/>
    <n v="770"/>
    <n v="816.19999999999993"/>
    <x v="38"/>
    <x v="26"/>
    <x v="0"/>
    <x v="1"/>
  </r>
  <r>
    <d v="2022-01-11T00:00:00"/>
    <s v="P0032"/>
    <n v="2"/>
    <x v="2"/>
    <x v="0"/>
    <n v="0"/>
    <x v="18"/>
    <x v="4"/>
    <x v="1"/>
    <n v="89"/>
    <n v="117.48"/>
    <n v="178"/>
    <n v="234.96"/>
    <x v="225"/>
    <x v="5"/>
    <x v="0"/>
    <x v="1"/>
  </r>
  <r>
    <d v="2022-01-13T00:00:00"/>
    <s v="P0019"/>
    <n v="6"/>
    <x v="1"/>
    <x v="0"/>
    <n v="0"/>
    <x v="40"/>
    <x v="2"/>
    <x v="0"/>
    <n v="150"/>
    <n v="210"/>
    <n v="900"/>
    <n v="1260"/>
    <x v="226"/>
    <x v="22"/>
    <x v="0"/>
    <x v="1"/>
  </r>
  <r>
    <d v="2022-01-14T00:00:00"/>
    <s v="P0011"/>
    <n v="14"/>
    <x v="2"/>
    <x v="0"/>
    <n v="0"/>
    <x v="31"/>
    <x v="2"/>
    <x v="2"/>
    <n v="44"/>
    <n v="48.4"/>
    <n v="616"/>
    <n v="677.6"/>
    <x v="227"/>
    <x v="29"/>
    <x v="0"/>
    <x v="1"/>
  </r>
  <r>
    <d v="2022-01-15T00:00:00"/>
    <s v="P0022"/>
    <n v="10"/>
    <x v="2"/>
    <x v="1"/>
    <n v="0"/>
    <x v="22"/>
    <x v="0"/>
    <x v="0"/>
    <n v="121"/>
    <n v="141.57"/>
    <n v="1210"/>
    <n v="1415.6999999999998"/>
    <x v="228"/>
    <x v="17"/>
    <x v="0"/>
    <x v="1"/>
  </r>
  <r>
    <d v="2022-01-16T00:00:00"/>
    <s v="P0014"/>
    <n v="11"/>
    <x v="1"/>
    <x v="1"/>
    <n v="0"/>
    <x v="9"/>
    <x v="2"/>
    <x v="1"/>
    <n v="112"/>
    <n v="146.72"/>
    <n v="1232"/>
    <n v="1613.92"/>
    <x v="229"/>
    <x v="23"/>
    <x v="0"/>
    <x v="1"/>
  </r>
  <r>
    <d v="2022-01-17T00:00:00"/>
    <s v="P0040"/>
    <n v="4"/>
    <x v="1"/>
    <x v="0"/>
    <n v="0"/>
    <x v="17"/>
    <x v="1"/>
    <x v="1"/>
    <n v="90"/>
    <n v="115.2"/>
    <n v="360"/>
    <n v="460.8"/>
    <x v="76"/>
    <x v="30"/>
    <x v="0"/>
    <x v="1"/>
  </r>
  <r>
    <d v="2022-01-18T00:00:00"/>
    <s v="P0008"/>
    <n v="9"/>
    <x v="0"/>
    <x v="1"/>
    <n v="0"/>
    <x v="25"/>
    <x v="3"/>
    <x v="1"/>
    <n v="83"/>
    <n v="94.62"/>
    <n v="747"/>
    <n v="851.58"/>
    <x v="230"/>
    <x v="7"/>
    <x v="0"/>
    <x v="1"/>
  </r>
  <r>
    <d v="2022-01-20T00:00:00"/>
    <s v="P0021"/>
    <n v="2"/>
    <x v="2"/>
    <x v="1"/>
    <n v="0"/>
    <x v="32"/>
    <x v="0"/>
    <x v="0"/>
    <n v="126"/>
    <n v="162.54"/>
    <n v="252"/>
    <n v="325.08"/>
    <x v="124"/>
    <x v="9"/>
    <x v="0"/>
    <x v="1"/>
  </r>
  <r>
    <d v="2022-01-20T00:00:00"/>
    <s v="P0014"/>
    <n v="7"/>
    <x v="1"/>
    <x v="0"/>
    <n v="0"/>
    <x v="9"/>
    <x v="2"/>
    <x v="1"/>
    <n v="112"/>
    <n v="146.72"/>
    <n v="784"/>
    <n v="1027.04"/>
    <x v="231"/>
    <x v="9"/>
    <x v="0"/>
    <x v="1"/>
  </r>
  <r>
    <d v="2022-01-22T00:00:00"/>
    <s v="P0001"/>
    <n v="6"/>
    <x v="1"/>
    <x v="1"/>
    <n v="0"/>
    <x v="16"/>
    <x v="3"/>
    <x v="1"/>
    <n v="98"/>
    <n v="103.88"/>
    <n v="588"/>
    <n v="623.28"/>
    <x v="167"/>
    <x v="18"/>
    <x v="0"/>
    <x v="1"/>
  </r>
  <r>
    <d v="2022-01-23T00:00:00"/>
    <s v="P0002"/>
    <n v="5"/>
    <x v="0"/>
    <x v="1"/>
    <n v="0"/>
    <x v="29"/>
    <x v="3"/>
    <x v="1"/>
    <n v="105"/>
    <n v="142.80000000000001"/>
    <n v="525"/>
    <n v="714"/>
    <x v="232"/>
    <x v="19"/>
    <x v="0"/>
    <x v="1"/>
  </r>
  <r>
    <d v="2022-01-23T00:00:00"/>
    <s v="P0042"/>
    <n v="8"/>
    <x v="2"/>
    <x v="0"/>
    <n v="0"/>
    <x v="10"/>
    <x v="1"/>
    <x v="0"/>
    <n v="120"/>
    <n v="162"/>
    <n v="960"/>
    <n v="1296"/>
    <x v="59"/>
    <x v="19"/>
    <x v="0"/>
    <x v="1"/>
  </r>
  <r>
    <d v="2022-01-24T00:00:00"/>
    <s v="P0030"/>
    <n v="15"/>
    <x v="1"/>
    <x v="0"/>
    <n v="0"/>
    <x v="28"/>
    <x v="4"/>
    <x v="0"/>
    <n v="148"/>
    <n v="201.28"/>
    <n v="2220"/>
    <n v="3019.2"/>
    <x v="233"/>
    <x v="27"/>
    <x v="0"/>
    <x v="1"/>
  </r>
  <r>
    <d v="2022-01-25T00:00:00"/>
    <s v="P0017"/>
    <n v="14"/>
    <x v="2"/>
    <x v="1"/>
    <n v="0"/>
    <x v="39"/>
    <x v="2"/>
    <x v="0"/>
    <n v="134"/>
    <n v="156.78"/>
    <n v="1876"/>
    <n v="2194.92"/>
    <x v="234"/>
    <x v="11"/>
    <x v="0"/>
    <x v="1"/>
  </r>
  <r>
    <d v="2022-01-28T00:00:00"/>
    <s v="P0016"/>
    <n v="11"/>
    <x v="2"/>
    <x v="0"/>
    <n v="0"/>
    <x v="21"/>
    <x v="2"/>
    <x v="3"/>
    <n v="13"/>
    <n v="16.64"/>
    <n v="143"/>
    <n v="183.04000000000002"/>
    <x v="235"/>
    <x v="14"/>
    <x v="0"/>
    <x v="1"/>
  </r>
  <r>
    <d v="2022-01-31T00:00:00"/>
    <s v="P0023"/>
    <n v="6"/>
    <x v="1"/>
    <x v="1"/>
    <n v="0"/>
    <x v="12"/>
    <x v="0"/>
    <x v="0"/>
    <n v="141"/>
    <n v="149.46"/>
    <n v="846"/>
    <n v="896.76"/>
    <x v="236"/>
    <x v="25"/>
    <x v="0"/>
    <x v="1"/>
  </r>
  <r>
    <d v="2022-01-31T00:00:00"/>
    <s v="P0041"/>
    <n v="9"/>
    <x v="2"/>
    <x v="1"/>
    <n v="0"/>
    <x v="41"/>
    <x v="1"/>
    <x v="0"/>
    <n v="138"/>
    <n v="173.88"/>
    <n v="1242"/>
    <n v="1564.92"/>
    <x v="237"/>
    <x v="25"/>
    <x v="0"/>
    <x v="1"/>
  </r>
  <r>
    <d v="2022-02-01T00:00:00"/>
    <s v="P0005"/>
    <n v="9"/>
    <x v="2"/>
    <x v="1"/>
    <n v="0"/>
    <x v="24"/>
    <x v="3"/>
    <x v="0"/>
    <n v="133"/>
    <n v="155.61000000000001"/>
    <n v="1197"/>
    <n v="1400.4900000000002"/>
    <x v="238"/>
    <x v="0"/>
    <x v="1"/>
    <x v="1"/>
  </r>
  <r>
    <d v="2022-02-03T00:00:00"/>
    <s v="P0014"/>
    <n v="8"/>
    <x v="2"/>
    <x v="0"/>
    <n v="0"/>
    <x v="9"/>
    <x v="2"/>
    <x v="1"/>
    <n v="112"/>
    <n v="146.72"/>
    <n v="896"/>
    <n v="1173.76"/>
    <x v="239"/>
    <x v="2"/>
    <x v="1"/>
    <x v="1"/>
  </r>
  <r>
    <d v="2022-02-05T00:00:00"/>
    <s v="P0018"/>
    <n v="6"/>
    <x v="2"/>
    <x v="1"/>
    <n v="0"/>
    <x v="30"/>
    <x v="2"/>
    <x v="3"/>
    <n v="37"/>
    <n v="49.21"/>
    <n v="222"/>
    <n v="295.26"/>
    <x v="240"/>
    <x v="15"/>
    <x v="1"/>
    <x v="1"/>
  </r>
  <r>
    <d v="2022-02-06T00:00:00"/>
    <s v="P0002"/>
    <n v="6"/>
    <x v="2"/>
    <x v="1"/>
    <n v="0"/>
    <x v="29"/>
    <x v="3"/>
    <x v="1"/>
    <n v="105"/>
    <n v="142.80000000000001"/>
    <n v="630"/>
    <n v="856.80000000000007"/>
    <x v="241"/>
    <x v="16"/>
    <x v="1"/>
    <x v="1"/>
  </r>
  <r>
    <d v="2022-02-08T00:00:00"/>
    <s v="P0005"/>
    <n v="11"/>
    <x v="1"/>
    <x v="1"/>
    <n v="0"/>
    <x v="24"/>
    <x v="3"/>
    <x v="0"/>
    <n v="133"/>
    <n v="155.61000000000001"/>
    <n v="1463"/>
    <n v="1711.71"/>
    <x v="123"/>
    <x v="21"/>
    <x v="1"/>
    <x v="1"/>
  </r>
  <r>
    <d v="2022-02-08T00:00:00"/>
    <s v="P0004"/>
    <n v="3"/>
    <x v="1"/>
    <x v="1"/>
    <n v="0"/>
    <x v="3"/>
    <x v="3"/>
    <x v="2"/>
    <n v="44"/>
    <n v="48.84"/>
    <n v="132"/>
    <n v="146.52000000000001"/>
    <x v="242"/>
    <x v="21"/>
    <x v="1"/>
    <x v="1"/>
  </r>
  <r>
    <d v="2022-02-09T00:00:00"/>
    <s v="P0032"/>
    <n v="14"/>
    <x v="1"/>
    <x v="0"/>
    <n v="0"/>
    <x v="18"/>
    <x v="4"/>
    <x v="1"/>
    <n v="89"/>
    <n v="117.48"/>
    <n v="1246"/>
    <n v="1644.72"/>
    <x v="243"/>
    <x v="4"/>
    <x v="1"/>
    <x v="1"/>
  </r>
  <r>
    <d v="2022-02-12T00:00:00"/>
    <s v="P0010"/>
    <n v="13"/>
    <x v="2"/>
    <x v="1"/>
    <n v="0"/>
    <x v="20"/>
    <x v="2"/>
    <x v="0"/>
    <n v="148"/>
    <n v="164.28"/>
    <n v="1924"/>
    <n v="2135.64"/>
    <x v="221"/>
    <x v="6"/>
    <x v="1"/>
    <x v="1"/>
  </r>
  <r>
    <d v="2022-02-14T00:00:00"/>
    <s v="P0026"/>
    <n v="8"/>
    <x v="1"/>
    <x v="1"/>
    <n v="0"/>
    <x v="42"/>
    <x v="4"/>
    <x v="3"/>
    <n v="18"/>
    <n v="24.66"/>
    <n v="144"/>
    <n v="197.28"/>
    <x v="244"/>
    <x v="29"/>
    <x v="1"/>
    <x v="1"/>
  </r>
  <r>
    <d v="2022-02-14T00:00:00"/>
    <s v="P0028"/>
    <n v="3"/>
    <x v="2"/>
    <x v="1"/>
    <n v="0"/>
    <x v="33"/>
    <x v="4"/>
    <x v="3"/>
    <n v="37"/>
    <n v="41.81"/>
    <n v="111"/>
    <n v="125.43"/>
    <x v="245"/>
    <x v="29"/>
    <x v="1"/>
    <x v="1"/>
  </r>
  <r>
    <d v="2022-02-16T00:00:00"/>
    <s v="P0032"/>
    <n v="1"/>
    <x v="1"/>
    <x v="1"/>
    <n v="0"/>
    <x v="18"/>
    <x v="4"/>
    <x v="1"/>
    <n v="89"/>
    <n v="117.48"/>
    <n v="89"/>
    <n v="117.48"/>
    <x v="162"/>
    <x v="23"/>
    <x v="1"/>
    <x v="1"/>
  </r>
  <r>
    <d v="2022-02-19T00:00:00"/>
    <s v="P0002"/>
    <n v="13"/>
    <x v="1"/>
    <x v="1"/>
    <n v="0"/>
    <x v="29"/>
    <x v="3"/>
    <x v="1"/>
    <n v="105"/>
    <n v="142.80000000000001"/>
    <n v="1365"/>
    <n v="1856.4"/>
    <x v="246"/>
    <x v="8"/>
    <x v="1"/>
    <x v="1"/>
  </r>
  <r>
    <d v="2022-02-20T00:00:00"/>
    <s v="P0012"/>
    <n v="6"/>
    <x v="2"/>
    <x v="1"/>
    <n v="0"/>
    <x v="35"/>
    <x v="2"/>
    <x v="1"/>
    <n v="73"/>
    <n v="94.17"/>
    <n v="438"/>
    <n v="565.02"/>
    <x v="247"/>
    <x v="9"/>
    <x v="1"/>
    <x v="1"/>
  </r>
  <r>
    <d v="2022-02-23T00:00:00"/>
    <s v="P0013"/>
    <n v="6"/>
    <x v="1"/>
    <x v="0"/>
    <n v="0"/>
    <x v="2"/>
    <x v="2"/>
    <x v="1"/>
    <n v="112"/>
    <n v="122.08"/>
    <n v="672"/>
    <n v="732.48"/>
    <x v="2"/>
    <x v="19"/>
    <x v="1"/>
    <x v="1"/>
  </r>
  <r>
    <d v="2022-02-23T00:00:00"/>
    <s v="P0016"/>
    <n v="15"/>
    <x v="1"/>
    <x v="1"/>
    <n v="0"/>
    <x v="21"/>
    <x v="2"/>
    <x v="3"/>
    <n v="13"/>
    <n v="16.64"/>
    <n v="195"/>
    <n v="249.60000000000002"/>
    <x v="248"/>
    <x v="19"/>
    <x v="1"/>
    <x v="1"/>
  </r>
  <r>
    <d v="2022-02-23T00:00:00"/>
    <s v="P0036"/>
    <n v="8"/>
    <x v="2"/>
    <x v="0"/>
    <n v="0"/>
    <x v="43"/>
    <x v="4"/>
    <x v="1"/>
    <n v="90"/>
    <n v="96.3"/>
    <n v="720"/>
    <n v="770.4"/>
    <x v="218"/>
    <x v="19"/>
    <x v="1"/>
    <x v="1"/>
  </r>
  <r>
    <d v="2022-02-27T00:00:00"/>
    <s v="P0012"/>
    <n v="7"/>
    <x v="2"/>
    <x v="1"/>
    <n v="0"/>
    <x v="35"/>
    <x v="2"/>
    <x v="1"/>
    <n v="73"/>
    <n v="94.17"/>
    <n v="511"/>
    <n v="659.19"/>
    <x v="249"/>
    <x v="13"/>
    <x v="1"/>
    <x v="1"/>
  </r>
  <r>
    <d v="2022-02-27T00:00:00"/>
    <s v="P0005"/>
    <n v="15"/>
    <x v="2"/>
    <x v="0"/>
    <n v="0"/>
    <x v="24"/>
    <x v="3"/>
    <x v="0"/>
    <n v="133"/>
    <n v="155.61000000000001"/>
    <n v="1995"/>
    <n v="2334.15"/>
    <x v="250"/>
    <x v="13"/>
    <x v="1"/>
    <x v="1"/>
  </r>
  <r>
    <d v="2022-02-28T00:00:00"/>
    <s v="P0037"/>
    <n v="15"/>
    <x v="2"/>
    <x v="1"/>
    <n v="0"/>
    <x v="8"/>
    <x v="1"/>
    <x v="1"/>
    <n v="67"/>
    <n v="85.76"/>
    <n v="1005"/>
    <n v="1286.4000000000001"/>
    <x v="251"/>
    <x v="14"/>
    <x v="1"/>
    <x v="1"/>
  </r>
  <r>
    <d v="2022-03-04T00:00:00"/>
    <s v="P0026"/>
    <n v="13"/>
    <x v="0"/>
    <x v="0"/>
    <n v="0"/>
    <x v="42"/>
    <x v="4"/>
    <x v="3"/>
    <n v="18"/>
    <n v="24.66"/>
    <n v="234"/>
    <n v="320.58"/>
    <x v="252"/>
    <x v="3"/>
    <x v="2"/>
    <x v="1"/>
  </r>
  <r>
    <d v="2022-03-06T00:00:00"/>
    <s v="P0004"/>
    <n v="2"/>
    <x v="2"/>
    <x v="1"/>
    <n v="0"/>
    <x v="3"/>
    <x v="3"/>
    <x v="2"/>
    <n v="44"/>
    <n v="48.84"/>
    <n v="88"/>
    <n v="97.68"/>
    <x v="253"/>
    <x v="16"/>
    <x v="2"/>
    <x v="1"/>
  </r>
  <r>
    <d v="2022-03-07T00:00:00"/>
    <s v="P0003"/>
    <n v="1"/>
    <x v="2"/>
    <x v="1"/>
    <n v="0"/>
    <x v="6"/>
    <x v="3"/>
    <x v="1"/>
    <n v="71"/>
    <n v="80.94"/>
    <n v="71"/>
    <n v="80.94"/>
    <x v="254"/>
    <x v="20"/>
    <x v="2"/>
    <x v="1"/>
  </r>
  <r>
    <d v="2022-03-08T00:00:00"/>
    <s v="P0044"/>
    <n v="6"/>
    <x v="2"/>
    <x v="0"/>
    <n v="0"/>
    <x v="11"/>
    <x v="1"/>
    <x v="1"/>
    <n v="76"/>
    <n v="82.08"/>
    <n v="456"/>
    <n v="492.48"/>
    <x v="255"/>
    <x v="21"/>
    <x v="2"/>
    <x v="1"/>
  </r>
  <r>
    <d v="2022-03-09T00:00:00"/>
    <s v="P0030"/>
    <n v="3"/>
    <x v="2"/>
    <x v="0"/>
    <n v="0"/>
    <x v="28"/>
    <x v="4"/>
    <x v="0"/>
    <n v="148"/>
    <n v="201.28"/>
    <n v="444"/>
    <n v="603.84"/>
    <x v="72"/>
    <x v="4"/>
    <x v="2"/>
    <x v="1"/>
  </r>
  <r>
    <d v="2022-03-09T00:00:00"/>
    <s v="P0004"/>
    <n v="11"/>
    <x v="1"/>
    <x v="1"/>
    <n v="0"/>
    <x v="3"/>
    <x v="3"/>
    <x v="2"/>
    <n v="44"/>
    <n v="48.84"/>
    <n v="484"/>
    <n v="537.24"/>
    <x v="111"/>
    <x v="4"/>
    <x v="2"/>
    <x v="1"/>
  </r>
  <r>
    <d v="2022-03-10T00:00:00"/>
    <s v="P0033"/>
    <n v="12"/>
    <x v="0"/>
    <x v="0"/>
    <n v="0"/>
    <x v="38"/>
    <x v="4"/>
    <x v="1"/>
    <n v="95"/>
    <n v="119.7"/>
    <n v="1140"/>
    <n v="1436.4"/>
    <x v="256"/>
    <x v="26"/>
    <x v="2"/>
    <x v="1"/>
  </r>
  <r>
    <d v="2022-03-14T00:00:00"/>
    <s v="P0016"/>
    <n v="2"/>
    <x v="2"/>
    <x v="1"/>
    <n v="0"/>
    <x v="21"/>
    <x v="2"/>
    <x v="3"/>
    <n v="13"/>
    <n v="16.64"/>
    <n v="26"/>
    <n v="33.28"/>
    <x v="257"/>
    <x v="29"/>
    <x v="2"/>
    <x v="1"/>
  </r>
  <r>
    <d v="2022-03-14T00:00:00"/>
    <s v="P0026"/>
    <n v="13"/>
    <x v="2"/>
    <x v="0"/>
    <n v="0"/>
    <x v="42"/>
    <x v="4"/>
    <x v="3"/>
    <n v="18"/>
    <n v="24.66"/>
    <n v="234"/>
    <n v="320.58"/>
    <x v="252"/>
    <x v="29"/>
    <x v="2"/>
    <x v="1"/>
  </r>
  <r>
    <d v="2022-03-18T00:00:00"/>
    <s v="P0019"/>
    <n v="2"/>
    <x v="1"/>
    <x v="1"/>
    <n v="0"/>
    <x v="40"/>
    <x v="2"/>
    <x v="0"/>
    <n v="150"/>
    <n v="210"/>
    <n v="300"/>
    <n v="420"/>
    <x v="258"/>
    <x v="7"/>
    <x v="2"/>
    <x v="1"/>
  </r>
  <r>
    <d v="2022-03-18T00:00:00"/>
    <s v="P0027"/>
    <n v="10"/>
    <x v="2"/>
    <x v="1"/>
    <n v="0"/>
    <x v="26"/>
    <x v="4"/>
    <x v="2"/>
    <n v="48"/>
    <n v="57.120000000000005"/>
    <n v="480"/>
    <n v="571.20000000000005"/>
    <x v="259"/>
    <x v="7"/>
    <x v="2"/>
    <x v="1"/>
  </r>
  <r>
    <d v="2022-03-19T00:00:00"/>
    <s v="P0041"/>
    <n v="6"/>
    <x v="0"/>
    <x v="1"/>
    <n v="0"/>
    <x v="41"/>
    <x v="1"/>
    <x v="0"/>
    <n v="138"/>
    <n v="173.88"/>
    <n v="828"/>
    <n v="1043.28"/>
    <x v="113"/>
    <x v="8"/>
    <x v="2"/>
    <x v="1"/>
  </r>
  <r>
    <d v="2022-03-23T00:00:00"/>
    <s v="P0032"/>
    <n v="9"/>
    <x v="2"/>
    <x v="1"/>
    <n v="0"/>
    <x v="18"/>
    <x v="4"/>
    <x v="1"/>
    <n v="89"/>
    <n v="117.48"/>
    <n v="801"/>
    <n v="1057.32"/>
    <x v="260"/>
    <x v="19"/>
    <x v="2"/>
    <x v="1"/>
  </r>
  <r>
    <d v="2022-03-25T00:00:00"/>
    <s v="P0001"/>
    <n v="2"/>
    <x v="0"/>
    <x v="0"/>
    <n v="0"/>
    <x v="16"/>
    <x v="3"/>
    <x v="1"/>
    <n v="98"/>
    <n v="103.88"/>
    <n v="196"/>
    <n v="207.76"/>
    <x v="155"/>
    <x v="11"/>
    <x v="2"/>
    <x v="1"/>
  </r>
  <r>
    <d v="2022-03-25T00:00:00"/>
    <s v="P0030"/>
    <n v="11"/>
    <x v="2"/>
    <x v="0"/>
    <n v="0"/>
    <x v="28"/>
    <x v="4"/>
    <x v="0"/>
    <n v="148"/>
    <n v="201.28"/>
    <n v="1628"/>
    <n v="2214.08"/>
    <x v="43"/>
    <x v="11"/>
    <x v="2"/>
    <x v="1"/>
  </r>
  <r>
    <d v="2022-03-29T00:00:00"/>
    <s v="P0032"/>
    <n v="12"/>
    <x v="1"/>
    <x v="0"/>
    <n v="0"/>
    <x v="18"/>
    <x v="4"/>
    <x v="1"/>
    <n v="89"/>
    <n v="117.48"/>
    <n v="1068"/>
    <n v="1409.76"/>
    <x v="112"/>
    <x v="28"/>
    <x v="2"/>
    <x v="1"/>
  </r>
  <r>
    <d v="2022-03-30T00:00:00"/>
    <s v="P0001"/>
    <n v="13"/>
    <x v="1"/>
    <x v="1"/>
    <n v="0"/>
    <x v="16"/>
    <x v="3"/>
    <x v="1"/>
    <n v="98"/>
    <n v="103.88"/>
    <n v="1274"/>
    <n v="1350.44"/>
    <x v="186"/>
    <x v="24"/>
    <x v="2"/>
    <x v="1"/>
  </r>
  <r>
    <d v="2022-04-01T00:00:00"/>
    <s v="P0002"/>
    <n v="2"/>
    <x v="1"/>
    <x v="1"/>
    <n v="0"/>
    <x v="29"/>
    <x v="3"/>
    <x v="1"/>
    <n v="105"/>
    <n v="142.80000000000001"/>
    <n v="210"/>
    <n v="285.60000000000002"/>
    <x v="261"/>
    <x v="0"/>
    <x v="3"/>
    <x v="1"/>
  </r>
  <r>
    <d v="2022-04-02T00:00:00"/>
    <s v="P0002"/>
    <n v="3"/>
    <x v="2"/>
    <x v="1"/>
    <n v="0"/>
    <x v="29"/>
    <x v="3"/>
    <x v="1"/>
    <n v="105"/>
    <n v="142.80000000000001"/>
    <n v="315"/>
    <n v="428.40000000000003"/>
    <x v="262"/>
    <x v="1"/>
    <x v="3"/>
    <x v="1"/>
  </r>
  <r>
    <d v="2022-04-06T00:00:00"/>
    <s v="P0040"/>
    <n v="2"/>
    <x v="0"/>
    <x v="1"/>
    <n v="0"/>
    <x v="17"/>
    <x v="1"/>
    <x v="1"/>
    <n v="90"/>
    <n v="115.2"/>
    <n v="180"/>
    <n v="230.4"/>
    <x v="171"/>
    <x v="16"/>
    <x v="3"/>
    <x v="1"/>
  </r>
  <r>
    <d v="2022-04-07T00:00:00"/>
    <s v="P0026"/>
    <n v="7"/>
    <x v="2"/>
    <x v="0"/>
    <n v="0"/>
    <x v="42"/>
    <x v="4"/>
    <x v="3"/>
    <n v="18"/>
    <n v="24.66"/>
    <n v="126"/>
    <n v="172.62"/>
    <x v="263"/>
    <x v="20"/>
    <x v="3"/>
    <x v="1"/>
  </r>
  <r>
    <d v="2022-04-09T00:00:00"/>
    <s v="P0039"/>
    <n v="12"/>
    <x v="0"/>
    <x v="1"/>
    <n v="0"/>
    <x v="34"/>
    <x v="1"/>
    <x v="3"/>
    <n v="37"/>
    <n v="42.55"/>
    <n v="444"/>
    <n v="510.59999999999997"/>
    <x v="264"/>
    <x v="4"/>
    <x v="3"/>
    <x v="1"/>
  </r>
  <r>
    <d v="2022-04-09T00:00:00"/>
    <s v="P0002"/>
    <n v="9"/>
    <x v="1"/>
    <x v="0"/>
    <n v="0"/>
    <x v="29"/>
    <x v="3"/>
    <x v="1"/>
    <n v="105"/>
    <n v="142.80000000000001"/>
    <n v="945"/>
    <n v="1285.2"/>
    <x v="265"/>
    <x v="4"/>
    <x v="3"/>
    <x v="1"/>
  </r>
  <r>
    <d v="2022-04-13T00:00:00"/>
    <s v="P0016"/>
    <n v="14"/>
    <x v="0"/>
    <x v="0"/>
    <n v="0"/>
    <x v="21"/>
    <x v="2"/>
    <x v="3"/>
    <n v="13"/>
    <n v="16.64"/>
    <n v="182"/>
    <n v="232.96"/>
    <x v="266"/>
    <x v="22"/>
    <x v="3"/>
    <x v="1"/>
  </r>
  <r>
    <d v="2022-04-18T00:00:00"/>
    <s v="P0041"/>
    <n v="9"/>
    <x v="2"/>
    <x v="1"/>
    <n v="0"/>
    <x v="41"/>
    <x v="1"/>
    <x v="0"/>
    <n v="138"/>
    <n v="173.88"/>
    <n v="1242"/>
    <n v="1564.92"/>
    <x v="237"/>
    <x v="7"/>
    <x v="3"/>
    <x v="1"/>
  </r>
  <r>
    <d v="2022-04-20T00:00:00"/>
    <s v="P0018"/>
    <n v="2"/>
    <x v="0"/>
    <x v="0"/>
    <n v="0"/>
    <x v="30"/>
    <x v="2"/>
    <x v="3"/>
    <n v="37"/>
    <n v="49.21"/>
    <n v="74"/>
    <n v="98.42"/>
    <x v="267"/>
    <x v="9"/>
    <x v="3"/>
    <x v="1"/>
  </r>
  <r>
    <d v="2022-04-20T00:00:00"/>
    <s v="P0012"/>
    <n v="4"/>
    <x v="2"/>
    <x v="0"/>
    <n v="0"/>
    <x v="35"/>
    <x v="2"/>
    <x v="1"/>
    <n v="73"/>
    <n v="94.17"/>
    <n v="292"/>
    <n v="376.68"/>
    <x v="64"/>
    <x v="9"/>
    <x v="3"/>
    <x v="1"/>
  </r>
  <r>
    <d v="2022-04-21T00:00:00"/>
    <s v="P0030"/>
    <n v="2"/>
    <x v="2"/>
    <x v="1"/>
    <n v="0"/>
    <x v="28"/>
    <x v="4"/>
    <x v="0"/>
    <n v="148"/>
    <n v="201.28"/>
    <n v="296"/>
    <n v="402.56"/>
    <x v="49"/>
    <x v="10"/>
    <x v="3"/>
    <x v="1"/>
  </r>
  <r>
    <d v="2022-04-21T00:00:00"/>
    <s v="P0026"/>
    <n v="14"/>
    <x v="1"/>
    <x v="0"/>
    <n v="0"/>
    <x v="42"/>
    <x v="4"/>
    <x v="3"/>
    <n v="18"/>
    <n v="24.66"/>
    <n v="252"/>
    <n v="345.24"/>
    <x v="268"/>
    <x v="10"/>
    <x v="3"/>
    <x v="1"/>
  </r>
  <r>
    <d v="2022-04-23T00:00:00"/>
    <s v="P0044"/>
    <n v="15"/>
    <x v="1"/>
    <x v="0"/>
    <n v="0"/>
    <x v="11"/>
    <x v="1"/>
    <x v="1"/>
    <n v="76"/>
    <n v="82.08"/>
    <n v="1140"/>
    <n v="1231.2"/>
    <x v="138"/>
    <x v="19"/>
    <x v="3"/>
    <x v="1"/>
  </r>
  <r>
    <d v="2022-04-24T00:00:00"/>
    <s v="P0034"/>
    <n v="4"/>
    <x v="2"/>
    <x v="0"/>
    <n v="0"/>
    <x v="13"/>
    <x v="4"/>
    <x v="2"/>
    <n v="55"/>
    <n v="58.3"/>
    <n v="220"/>
    <n v="233.2"/>
    <x v="15"/>
    <x v="27"/>
    <x v="3"/>
    <x v="1"/>
  </r>
  <r>
    <d v="2022-04-25T00:00:00"/>
    <s v="P0004"/>
    <n v="9"/>
    <x v="2"/>
    <x v="1"/>
    <n v="0"/>
    <x v="3"/>
    <x v="3"/>
    <x v="2"/>
    <n v="44"/>
    <n v="48.84"/>
    <n v="396"/>
    <n v="439.56000000000006"/>
    <x v="269"/>
    <x v="11"/>
    <x v="3"/>
    <x v="1"/>
  </r>
  <r>
    <d v="2022-04-25T00:00:00"/>
    <s v="P0003"/>
    <n v="8"/>
    <x v="1"/>
    <x v="0"/>
    <n v="0"/>
    <x v="6"/>
    <x v="3"/>
    <x v="1"/>
    <n v="71"/>
    <n v="80.94"/>
    <n v="568"/>
    <n v="647.52"/>
    <x v="6"/>
    <x v="11"/>
    <x v="3"/>
    <x v="1"/>
  </r>
  <r>
    <d v="2022-04-26T00:00:00"/>
    <s v="P0027"/>
    <n v="2"/>
    <x v="2"/>
    <x v="1"/>
    <n v="0"/>
    <x v="26"/>
    <x v="4"/>
    <x v="2"/>
    <n v="48"/>
    <n v="57.120000000000005"/>
    <n v="96"/>
    <n v="114.24000000000001"/>
    <x v="270"/>
    <x v="12"/>
    <x v="3"/>
    <x v="1"/>
  </r>
  <r>
    <d v="2022-04-28T00:00:00"/>
    <s v="P0014"/>
    <n v="14"/>
    <x v="2"/>
    <x v="1"/>
    <n v="0"/>
    <x v="9"/>
    <x v="2"/>
    <x v="1"/>
    <n v="112"/>
    <n v="146.72"/>
    <n v="1568"/>
    <n v="2054.08"/>
    <x v="271"/>
    <x v="14"/>
    <x v="3"/>
    <x v="1"/>
  </r>
  <r>
    <d v="2022-04-30T00:00:00"/>
    <s v="P0016"/>
    <n v="13"/>
    <x v="1"/>
    <x v="0"/>
    <n v="0"/>
    <x v="21"/>
    <x v="2"/>
    <x v="3"/>
    <n v="13"/>
    <n v="16.64"/>
    <n v="169"/>
    <n v="216.32"/>
    <x v="31"/>
    <x v="24"/>
    <x v="3"/>
    <x v="1"/>
  </r>
  <r>
    <d v="2022-04-30T00:00:00"/>
    <s v="P0027"/>
    <n v="8"/>
    <x v="2"/>
    <x v="0"/>
    <n v="0"/>
    <x v="26"/>
    <x v="4"/>
    <x v="2"/>
    <n v="48"/>
    <n v="57.120000000000005"/>
    <n v="384"/>
    <n v="456.96000000000004"/>
    <x v="185"/>
    <x v="24"/>
    <x v="3"/>
    <x v="1"/>
  </r>
  <r>
    <d v="2022-05-01T00:00:00"/>
    <s v="P0034"/>
    <n v="9"/>
    <x v="0"/>
    <x v="0"/>
    <n v="0"/>
    <x v="13"/>
    <x v="4"/>
    <x v="2"/>
    <n v="55"/>
    <n v="58.3"/>
    <n v="495"/>
    <n v="524.69999999999993"/>
    <x v="272"/>
    <x v="0"/>
    <x v="4"/>
    <x v="1"/>
  </r>
  <r>
    <d v="2022-05-01T00:00:00"/>
    <s v="P0033"/>
    <n v="6"/>
    <x v="1"/>
    <x v="0"/>
    <n v="0"/>
    <x v="38"/>
    <x v="4"/>
    <x v="1"/>
    <n v="95"/>
    <n v="119.7"/>
    <n v="570"/>
    <n v="718.2"/>
    <x v="109"/>
    <x v="0"/>
    <x v="4"/>
    <x v="1"/>
  </r>
  <r>
    <d v="2022-05-02T00:00:00"/>
    <s v="P0013"/>
    <n v="4"/>
    <x v="1"/>
    <x v="1"/>
    <n v="0"/>
    <x v="2"/>
    <x v="2"/>
    <x v="1"/>
    <n v="112"/>
    <n v="122.08"/>
    <n v="448"/>
    <n v="488.32"/>
    <x v="273"/>
    <x v="1"/>
    <x v="4"/>
    <x v="1"/>
  </r>
  <r>
    <d v="2022-05-04T00:00:00"/>
    <s v="P0020"/>
    <n v="10"/>
    <x v="2"/>
    <x v="0"/>
    <n v="0"/>
    <x v="14"/>
    <x v="0"/>
    <x v="2"/>
    <n v="61"/>
    <n v="76.25"/>
    <n v="610"/>
    <n v="762.5"/>
    <x v="274"/>
    <x v="3"/>
    <x v="4"/>
    <x v="1"/>
  </r>
  <r>
    <d v="2022-05-06T00:00:00"/>
    <s v="P0034"/>
    <n v="7"/>
    <x v="2"/>
    <x v="0"/>
    <n v="0"/>
    <x v="13"/>
    <x v="4"/>
    <x v="2"/>
    <n v="55"/>
    <n v="58.3"/>
    <n v="385"/>
    <n v="408.09999999999997"/>
    <x v="275"/>
    <x v="16"/>
    <x v="4"/>
    <x v="1"/>
  </r>
  <r>
    <d v="2022-05-07T00:00:00"/>
    <s v="P0015"/>
    <n v="4"/>
    <x v="1"/>
    <x v="1"/>
    <n v="0"/>
    <x v="27"/>
    <x v="2"/>
    <x v="3"/>
    <n v="12"/>
    <n v="15.719999999999999"/>
    <n v="48"/>
    <n v="62.879999999999995"/>
    <x v="276"/>
    <x v="20"/>
    <x v="4"/>
    <x v="1"/>
  </r>
  <r>
    <d v="2022-05-07T00:00:00"/>
    <s v="P0027"/>
    <n v="1"/>
    <x v="1"/>
    <x v="0"/>
    <n v="0"/>
    <x v="26"/>
    <x v="4"/>
    <x v="2"/>
    <n v="48"/>
    <n v="57.120000000000005"/>
    <n v="48"/>
    <n v="57.120000000000005"/>
    <x v="277"/>
    <x v="20"/>
    <x v="4"/>
    <x v="1"/>
  </r>
  <r>
    <d v="2022-05-08T00:00:00"/>
    <s v="P0022"/>
    <n v="7"/>
    <x v="1"/>
    <x v="0"/>
    <n v="0"/>
    <x v="22"/>
    <x v="0"/>
    <x v="0"/>
    <n v="121"/>
    <n v="141.57"/>
    <n v="847"/>
    <n v="990.99"/>
    <x v="278"/>
    <x v="21"/>
    <x v="4"/>
    <x v="1"/>
  </r>
  <r>
    <d v="2022-05-09T00:00:00"/>
    <s v="P0017"/>
    <n v="12"/>
    <x v="0"/>
    <x v="1"/>
    <n v="0"/>
    <x v="39"/>
    <x v="2"/>
    <x v="0"/>
    <n v="134"/>
    <n v="156.78"/>
    <n v="1608"/>
    <n v="1881.3600000000001"/>
    <x v="279"/>
    <x v="4"/>
    <x v="4"/>
    <x v="1"/>
  </r>
  <r>
    <d v="2022-05-10T00:00:00"/>
    <s v="P0009"/>
    <n v="6"/>
    <x v="2"/>
    <x v="0"/>
    <n v="0"/>
    <x v="37"/>
    <x v="0"/>
    <x v="3"/>
    <n v="6"/>
    <n v="7.8599999999999994"/>
    <n v="36"/>
    <n v="47.16"/>
    <x v="95"/>
    <x v="26"/>
    <x v="4"/>
    <x v="1"/>
  </r>
  <r>
    <d v="2022-05-12T00:00:00"/>
    <s v="P0011"/>
    <n v="7"/>
    <x v="1"/>
    <x v="1"/>
    <n v="0"/>
    <x v="31"/>
    <x v="2"/>
    <x v="2"/>
    <n v="44"/>
    <n v="48.4"/>
    <n v="308"/>
    <n v="338.8"/>
    <x v="188"/>
    <x v="6"/>
    <x v="4"/>
    <x v="1"/>
  </r>
  <r>
    <d v="2022-05-13T00:00:00"/>
    <s v="P0012"/>
    <n v="5"/>
    <x v="2"/>
    <x v="0"/>
    <n v="0"/>
    <x v="35"/>
    <x v="2"/>
    <x v="1"/>
    <n v="73"/>
    <n v="94.17"/>
    <n v="365"/>
    <n v="470.85"/>
    <x v="280"/>
    <x v="22"/>
    <x v="4"/>
    <x v="1"/>
  </r>
  <r>
    <d v="2022-05-14T00:00:00"/>
    <s v="P0008"/>
    <n v="14"/>
    <x v="2"/>
    <x v="1"/>
    <n v="0"/>
    <x v="25"/>
    <x v="3"/>
    <x v="1"/>
    <n v="83"/>
    <n v="94.62"/>
    <n v="1162"/>
    <n v="1324.68"/>
    <x v="281"/>
    <x v="29"/>
    <x v="4"/>
    <x v="1"/>
  </r>
  <r>
    <d v="2022-05-15T00:00:00"/>
    <s v="P0020"/>
    <n v="5"/>
    <x v="1"/>
    <x v="0"/>
    <n v="0"/>
    <x v="14"/>
    <x v="0"/>
    <x v="2"/>
    <n v="61"/>
    <n v="76.25"/>
    <n v="305"/>
    <n v="381.25"/>
    <x v="282"/>
    <x v="17"/>
    <x v="4"/>
    <x v="1"/>
  </r>
  <r>
    <d v="2022-05-16T00:00:00"/>
    <s v="P0010"/>
    <n v="13"/>
    <x v="2"/>
    <x v="1"/>
    <n v="0"/>
    <x v="20"/>
    <x v="2"/>
    <x v="0"/>
    <n v="148"/>
    <n v="164.28"/>
    <n v="1924"/>
    <n v="2135.64"/>
    <x v="221"/>
    <x v="23"/>
    <x v="4"/>
    <x v="1"/>
  </r>
  <r>
    <d v="2022-05-16T00:00:00"/>
    <s v="P0031"/>
    <n v="13"/>
    <x v="1"/>
    <x v="0"/>
    <n v="0"/>
    <x v="5"/>
    <x v="4"/>
    <x v="1"/>
    <n v="93"/>
    <n v="104.16"/>
    <n v="1209"/>
    <n v="1354.08"/>
    <x v="283"/>
    <x v="23"/>
    <x v="4"/>
    <x v="1"/>
  </r>
  <r>
    <d v="2022-05-17T00:00:00"/>
    <s v="P0027"/>
    <n v="8"/>
    <x v="2"/>
    <x v="1"/>
    <n v="0"/>
    <x v="26"/>
    <x v="4"/>
    <x v="2"/>
    <n v="48"/>
    <n v="57.120000000000005"/>
    <n v="384"/>
    <n v="456.96000000000004"/>
    <x v="185"/>
    <x v="30"/>
    <x v="4"/>
    <x v="1"/>
  </r>
  <r>
    <d v="2022-05-18T00:00:00"/>
    <s v="P0027"/>
    <n v="4"/>
    <x v="0"/>
    <x v="0"/>
    <n v="0"/>
    <x v="26"/>
    <x v="4"/>
    <x v="2"/>
    <n v="48"/>
    <n v="57.120000000000005"/>
    <n v="192"/>
    <n v="228.48000000000002"/>
    <x v="41"/>
    <x v="7"/>
    <x v="4"/>
    <x v="1"/>
  </r>
  <r>
    <d v="2022-05-18T00:00:00"/>
    <s v="P0038"/>
    <n v="8"/>
    <x v="0"/>
    <x v="0"/>
    <n v="0"/>
    <x v="1"/>
    <x v="1"/>
    <x v="1"/>
    <n v="72"/>
    <n v="79.92"/>
    <n v="576"/>
    <n v="639.36"/>
    <x v="284"/>
    <x v="7"/>
    <x v="4"/>
    <x v="1"/>
  </r>
  <r>
    <d v="2022-05-20T00:00:00"/>
    <s v="P0044"/>
    <n v="15"/>
    <x v="1"/>
    <x v="1"/>
    <n v="0"/>
    <x v="11"/>
    <x v="1"/>
    <x v="1"/>
    <n v="76"/>
    <n v="82.08"/>
    <n v="1140"/>
    <n v="1231.2"/>
    <x v="138"/>
    <x v="9"/>
    <x v="4"/>
    <x v="1"/>
  </r>
  <r>
    <d v="2022-05-22T00:00:00"/>
    <s v="P0015"/>
    <n v="12"/>
    <x v="2"/>
    <x v="0"/>
    <n v="0"/>
    <x v="27"/>
    <x v="2"/>
    <x v="3"/>
    <n v="12"/>
    <n v="15.719999999999999"/>
    <n v="144"/>
    <n v="188.64"/>
    <x v="116"/>
    <x v="18"/>
    <x v="4"/>
    <x v="1"/>
  </r>
  <r>
    <d v="2022-05-25T00:00:00"/>
    <s v="P0002"/>
    <n v="7"/>
    <x v="1"/>
    <x v="0"/>
    <n v="0"/>
    <x v="29"/>
    <x v="3"/>
    <x v="1"/>
    <n v="105"/>
    <n v="142.80000000000001"/>
    <n v="735"/>
    <n v="999.60000000000014"/>
    <x v="285"/>
    <x v="11"/>
    <x v="4"/>
    <x v="1"/>
  </r>
  <r>
    <d v="2022-05-26T00:00:00"/>
    <s v="P0028"/>
    <n v="2"/>
    <x v="2"/>
    <x v="0"/>
    <n v="0"/>
    <x v="33"/>
    <x v="4"/>
    <x v="3"/>
    <n v="37"/>
    <n v="41.81"/>
    <n v="74"/>
    <n v="83.62"/>
    <x v="286"/>
    <x v="12"/>
    <x v="4"/>
    <x v="1"/>
  </r>
  <r>
    <d v="2022-05-26T00:00:00"/>
    <s v="P0027"/>
    <n v="2"/>
    <x v="1"/>
    <x v="0"/>
    <n v="0"/>
    <x v="26"/>
    <x v="4"/>
    <x v="2"/>
    <n v="48"/>
    <n v="57.120000000000005"/>
    <n v="96"/>
    <n v="114.24000000000001"/>
    <x v="270"/>
    <x v="12"/>
    <x v="4"/>
    <x v="1"/>
  </r>
  <r>
    <d v="2022-05-28T00:00:00"/>
    <s v="P0041"/>
    <n v="10"/>
    <x v="0"/>
    <x v="1"/>
    <n v="0"/>
    <x v="41"/>
    <x v="1"/>
    <x v="0"/>
    <n v="138"/>
    <n v="173.88"/>
    <n v="1380"/>
    <n v="1738.8"/>
    <x v="287"/>
    <x v="14"/>
    <x v="4"/>
    <x v="1"/>
  </r>
  <r>
    <d v="2022-05-28T00:00:00"/>
    <s v="P0008"/>
    <n v="5"/>
    <x v="0"/>
    <x v="0"/>
    <n v="0"/>
    <x v="25"/>
    <x v="3"/>
    <x v="1"/>
    <n v="83"/>
    <n v="94.62"/>
    <n v="415"/>
    <n v="473.1"/>
    <x v="288"/>
    <x v="14"/>
    <x v="4"/>
    <x v="1"/>
  </r>
  <r>
    <d v="2022-05-28T00:00:00"/>
    <s v="P0010"/>
    <n v="9"/>
    <x v="1"/>
    <x v="1"/>
    <n v="0"/>
    <x v="20"/>
    <x v="2"/>
    <x v="0"/>
    <n v="148"/>
    <n v="164.28"/>
    <n v="1332"/>
    <n v="1478.52"/>
    <x v="71"/>
    <x v="14"/>
    <x v="4"/>
    <x v="1"/>
  </r>
  <r>
    <d v="2022-05-28T00:00:00"/>
    <s v="P0004"/>
    <n v="12"/>
    <x v="1"/>
    <x v="0"/>
    <n v="0"/>
    <x v="3"/>
    <x v="3"/>
    <x v="2"/>
    <n v="44"/>
    <n v="48.84"/>
    <n v="528"/>
    <n v="586.08000000000004"/>
    <x v="289"/>
    <x v="14"/>
    <x v="4"/>
    <x v="1"/>
  </r>
  <r>
    <d v="2022-05-28T00:00:00"/>
    <s v="P0020"/>
    <n v="14"/>
    <x v="2"/>
    <x v="1"/>
    <n v="0"/>
    <x v="14"/>
    <x v="0"/>
    <x v="2"/>
    <n v="61"/>
    <n v="76.25"/>
    <n v="854"/>
    <n v="1067.5"/>
    <x v="290"/>
    <x v="14"/>
    <x v="4"/>
    <x v="1"/>
  </r>
  <r>
    <d v="2022-05-30T00:00:00"/>
    <s v="P0044"/>
    <n v="9"/>
    <x v="2"/>
    <x v="0"/>
    <n v="0"/>
    <x v="11"/>
    <x v="1"/>
    <x v="1"/>
    <n v="76"/>
    <n v="82.08"/>
    <n v="684"/>
    <n v="738.72"/>
    <x v="23"/>
    <x v="24"/>
    <x v="4"/>
    <x v="1"/>
  </r>
  <r>
    <d v="2022-05-30T00:00:00"/>
    <s v="P0005"/>
    <n v="4"/>
    <x v="0"/>
    <x v="1"/>
    <n v="0"/>
    <x v="24"/>
    <x v="3"/>
    <x v="0"/>
    <n v="133"/>
    <n v="155.61000000000001"/>
    <n v="532"/>
    <n v="622.44000000000005"/>
    <x v="144"/>
    <x v="24"/>
    <x v="4"/>
    <x v="1"/>
  </r>
  <r>
    <d v="2022-05-30T00:00:00"/>
    <s v="P0033"/>
    <n v="3"/>
    <x v="1"/>
    <x v="1"/>
    <n v="0"/>
    <x v="38"/>
    <x v="4"/>
    <x v="1"/>
    <n v="95"/>
    <n v="119.7"/>
    <n v="285"/>
    <n v="359.1"/>
    <x v="291"/>
    <x v="24"/>
    <x v="4"/>
    <x v="1"/>
  </r>
  <r>
    <d v="2022-06-03T00:00:00"/>
    <s v="P0008"/>
    <n v="14"/>
    <x v="1"/>
    <x v="0"/>
    <n v="0"/>
    <x v="25"/>
    <x v="3"/>
    <x v="1"/>
    <n v="83"/>
    <n v="94.62"/>
    <n v="1162"/>
    <n v="1324.68"/>
    <x v="281"/>
    <x v="2"/>
    <x v="5"/>
    <x v="1"/>
  </r>
  <r>
    <d v="2022-06-10T00:00:00"/>
    <s v="P0028"/>
    <n v="8"/>
    <x v="0"/>
    <x v="0"/>
    <n v="0"/>
    <x v="33"/>
    <x v="4"/>
    <x v="3"/>
    <n v="37"/>
    <n v="41.81"/>
    <n v="296"/>
    <n v="334.48"/>
    <x v="98"/>
    <x v="26"/>
    <x v="5"/>
    <x v="1"/>
  </r>
  <r>
    <d v="2022-06-11T00:00:00"/>
    <s v="P0039"/>
    <n v="13"/>
    <x v="1"/>
    <x v="1"/>
    <n v="0"/>
    <x v="34"/>
    <x v="1"/>
    <x v="3"/>
    <n v="37"/>
    <n v="42.55"/>
    <n v="481"/>
    <n v="553.15"/>
    <x v="292"/>
    <x v="5"/>
    <x v="5"/>
    <x v="1"/>
  </r>
  <r>
    <d v="2022-06-11T00:00:00"/>
    <s v="P0021"/>
    <n v="6"/>
    <x v="2"/>
    <x v="0"/>
    <n v="0"/>
    <x v="32"/>
    <x v="0"/>
    <x v="0"/>
    <n v="126"/>
    <n v="162.54"/>
    <n v="756"/>
    <n v="975.24"/>
    <x v="195"/>
    <x v="5"/>
    <x v="5"/>
    <x v="1"/>
  </r>
  <r>
    <d v="2022-06-13T00:00:00"/>
    <s v="P0026"/>
    <n v="6"/>
    <x v="2"/>
    <x v="1"/>
    <n v="0"/>
    <x v="42"/>
    <x v="4"/>
    <x v="3"/>
    <n v="18"/>
    <n v="24.66"/>
    <n v="108"/>
    <n v="147.96"/>
    <x v="181"/>
    <x v="22"/>
    <x v="5"/>
    <x v="1"/>
  </r>
  <r>
    <d v="2022-06-15T00:00:00"/>
    <s v="P0042"/>
    <n v="15"/>
    <x v="0"/>
    <x v="0"/>
    <n v="0"/>
    <x v="10"/>
    <x v="1"/>
    <x v="0"/>
    <n v="120"/>
    <n v="162"/>
    <n v="1800"/>
    <n v="2430"/>
    <x v="293"/>
    <x v="17"/>
    <x v="5"/>
    <x v="1"/>
  </r>
  <r>
    <d v="2022-06-16T00:00:00"/>
    <s v="P0029"/>
    <n v="15"/>
    <x v="1"/>
    <x v="1"/>
    <n v="0"/>
    <x v="19"/>
    <x v="4"/>
    <x v="2"/>
    <n v="47"/>
    <n v="53.11"/>
    <n v="705"/>
    <n v="796.65"/>
    <x v="134"/>
    <x v="23"/>
    <x v="5"/>
    <x v="1"/>
  </r>
  <r>
    <d v="2022-06-19T00:00:00"/>
    <s v="P0002"/>
    <n v="8"/>
    <x v="2"/>
    <x v="1"/>
    <n v="0"/>
    <x v="29"/>
    <x v="3"/>
    <x v="1"/>
    <n v="105"/>
    <n v="142.80000000000001"/>
    <n v="840"/>
    <n v="1142.4000000000001"/>
    <x v="63"/>
    <x v="8"/>
    <x v="5"/>
    <x v="1"/>
  </r>
  <r>
    <d v="2022-06-21T00:00:00"/>
    <s v="P0017"/>
    <n v="14"/>
    <x v="2"/>
    <x v="1"/>
    <n v="0"/>
    <x v="39"/>
    <x v="2"/>
    <x v="0"/>
    <n v="134"/>
    <n v="156.78"/>
    <n v="1876"/>
    <n v="2194.92"/>
    <x v="234"/>
    <x v="10"/>
    <x v="5"/>
    <x v="1"/>
  </r>
  <r>
    <d v="2022-06-22T00:00:00"/>
    <s v="P0040"/>
    <n v="10"/>
    <x v="1"/>
    <x v="1"/>
    <n v="0"/>
    <x v="17"/>
    <x v="1"/>
    <x v="1"/>
    <n v="90"/>
    <n v="115.2"/>
    <n v="900"/>
    <n v="1152"/>
    <x v="294"/>
    <x v="18"/>
    <x v="5"/>
    <x v="1"/>
  </r>
  <r>
    <d v="2022-06-22T00:00:00"/>
    <s v="P0001"/>
    <n v="4"/>
    <x v="2"/>
    <x v="1"/>
    <n v="0"/>
    <x v="16"/>
    <x v="3"/>
    <x v="1"/>
    <n v="98"/>
    <n v="103.88"/>
    <n v="392"/>
    <n v="415.52"/>
    <x v="69"/>
    <x v="18"/>
    <x v="5"/>
    <x v="1"/>
  </r>
  <r>
    <d v="2022-06-23T00:00:00"/>
    <s v="P0004"/>
    <n v="8"/>
    <x v="2"/>
    <x v="0"/>
    <n v="0"/>
    <x v="3"/>
    <x v="3"/>
    <x v="2"/>
    <n v="44"/>
    <n v="48.84"/>
    <n v="352"/>
    <n v="390.72"/>
    <x v="295"/>
    <x v="19"/>
    <x v="5"/>
    <x v="1"/>
  </r>
  <r>
    <d v="2022-06-24T00:00:00"/>
    <s v="P0018"/>
    <n v="7"/>
    <x v="2"/>
    <x v="1"/>
    <n v="0"/>
    <x v="30"/>
    <x v="2"/>
    <x v="3"/>
    <n v="37"/>
    <n v="49.21"/>
    <n v="259"/>
    <n v="344.47"/>
    <x v="296"/>
    <x v="27"/>
    <x v="5"/>
    <x v="1"/>
  </r>
  <r>
    <d v="2022-06-25T00:00:00"/>
    <s v="P0012"/>
    <n v="7"/>
    <x v="1"/>
    <x v="0"/>
    <n v="0"/>
    <x v="35"/>
    <x v="2"/>
    <x v="1"/>
    <n v="73"/>
    <n v="94.17"/>
    <n v="511"/>
    <n v="659.19"/>
    <x v="249"/>
    <x v="11"/>
    <x v="5"/>
    <x v="1"/>
  </r>
  <r>
    <d v="2022-06-26T00:00:00"/>
    <s v="P0034"/>
    <n v="4"/>
    <x v="2"/>
    <x v="1"/>
    <n v="0"/>
    <x v="13"/>
    <x v="4"/>
    <x v="2"/>
    <n v="55"/>
    <n v="58.3"/>
    <n v="220"/>
    <n v="233.2"/>
    <x v="15"/>
    <x v="12"/>
    <x v="5"/>
    <x v="1"/>
  </r>
  <r>
    <d v="2022-06-26T00:00:00"/>
    <s v="P0043"/>
    <n v="12"/>
    <x v="2"/>
    <x v="0"/>
    <n v="0"/>
    <x v="23"/>
    <x v="1"/>
    <x v="1"/>
    <n v="67"/>
    <n v="83.08"/>
    <n v="804"/>
    <n v="996.96"/>
    <x v="297"/>
    <x v="12"/>
    <x v="5"/>
    <x v="1"/>
  </r>
  <r>
    <d v="2022-07-03T00:00:00"/>
    <s v="P0033"/>
    <n v="15"/>
    <x v="2"/>
    <x v="1"/>
    <n v="0"/>
    <x v="38"/>
    <x v="4"/>
    <x v="1"/>
    <n v="95"/>
    <n v="119.7"/>
    <n v="1425"/>
    <n v="1795.5"/>
    <x v="298"/>
    <x v="2"/>
    <x v="6"/>
    <x v="1"/>
  </r>
  <r>
    <d v="2022-07-04T00:00:00"/>
    <s v="P0007"/>
    <n v="7"/>
    <x v="2"/>
    <x v="0"/>
    <n v="0"/>
    <x v="36"/>
    <x v="3"/>
    <x v="2"/>
    <n v="43"/>
    <n v="47.730000000000004"/>
    <n v="301"/>
    <n v="334.11"/>
    <x v="299"/>
    <x v="3"/>
    <x v="6"/>
    <x v="1"/>
  </r>
  <r>
    <d v="2022-07-05T00:00:00"/>
    <s v="P0025"/>
    <n v="7"/>
    <x v="1"/>
    <x v="1"/>
    <n v="0"/>
    <x v="7"/>
    <x v="0"/>
    <x v="3"/>
    <n v="7"/>
    <n v="8.33"/>
    <n v="49"/>
    <n v="58.31"/>
    <x v="300"/>
    <x v="15"/>
    <x v="6"/>
    <x v="1"/>
  </r>
  <r>
    <d v="2022-07-05T00:00:00"/>
    <s v="P0015"/>
    <n v="8"/>
    <x v="2"/>
    <x v="0"/>
    <n v="0"/>
    <x v="27"/>
    <x v="2"/>
    <x v="3"/>
    <n v="12"/>
    <n v="15.719999999999999"/>
    <n v="96"/>
    <n v="125.75999999999999"/>
    <x v="301"/>
    <x v="15"/>
    <x v="6"/>
    <x v="1"/>
  </r>
  <r>
    <d v="2022-07-06T00:00:00"/>
    <s v="P0041"/>
    <n v="2"/>
    <x v="2"/>
    <x v="1"/>
    <n v="0"/>
    <x v="41"/>
    <x v="1"/>
    <x v="0"/>
    <n v="138"/>
    <n v="173.88"/>
    <n v="276"/>
    <n v="347.76"/>
    <x v="302"/>
    <x v="16"/>
    <x v="6"/>
    <x v="1"/>
  </r>
  <r>
    <d v="2022-07-08T00:00:00"/>
    <s v="P0018"/>
    <n v="2"/>
    <x v="2"/>
    <x v="0"/>
    <n v="0"/>
    <x v="30"/>
    <x v="2"/>
    <x v="3"/>
    <n v="37"/>
    <n v="49.21"/>
    <n v="74"/>
    <n v="98.42"/>
    <x v="267"/>
    <x v="21"/>
    <x v="6"/>
    <x v="1"/>
  </r>
  <r>
    <d v="2022-07-10T00:00:00"/>
    <s v="P0032"/>
    <n v="12"/>
    <x v="1"/>
    <x v="1"/>
    <n v="0"/>
    <x v="18"/>
    <x v="4"/>
    <x v="1"/>
    <n v="89"/>
    <n v="117.48"/>
    <n v="1068"/>
    <n v="1409.76"/>
    <x v="112"/>
    <x v="26"/>
    <x v="6"/>
    <x v="1"/>
  </r>
  <r>
    <d v="2022-07-12T00:00:00"/>
    <s v="P0028"/>
    <n v="12"/>
    <x v="2"/>
    <x v="1"/>
    <n v="0"/>
    <x v="33"/>
    <x v="4"/>
    <x v="3"/>
    <n v="37"/>
    <n v="41.81"/>
    <n v="444"/>
    <n v="501.72"/>
    <x v="303"/>
    <x v="6"/>
    <x v="6"/>
    <x v="1"/>
  </r>
  <r>
    <d v="2022-07-13T00:00:00"/>
    <s v="P0025"/>
    <n v="7"/>
    <x v="2"/>
    <x v="0"/>
    <n v="0"/>
    <x v="7"/>
    <x v="0"/>
    <x v="3"/>
    <n v="7"/>
    <n v="8.33"/>
    <n v="49"/>
    <n v="58.31"/>
    <x v="300"/>
    <x v="22"/>
    <x v="6"/>
    <x v="1"/>
  </r>
  <r>
    <d v="2022-07-14T00:00:00"/>
    <s v="P0033"/>
    <n v="9"/>
    <x v="2"/>
    <x v="0"/>
    <n v="0"/>
    <x v="38"/>
    <x v="4"/>
    <x v="1"/>
    <n v="95"/>
    <n v="119.7"/>
    <n v="855"/>
    <n v="1077.3"/>
    <x v="126"/>
    <x v="29"/>
    <x v="6"/>
    <x v="1"/>
  </r>
  <r>
    <d v="2022-07-15T00:00:00"/>
    <s v="P0004"/>
    <n v="2"/>
    <x v="1"/>
    <x v="0"/>
    <n v="0"/>
    <x v="3"/>
    <x v="3"/>
    <x v="2"/>
    <n v="44"/>
    <n v="48.84"/>
    <n v="88"/>
    <n v="97.68"/>
    <x v="253"/>
    <x v="17"/>
    <x v="6"/>
    <x v="1"/>
  </r>
  <r>
    <d v="2022-07-17T00:00:00"/>
    <s v="P0041"/>
    <n v="8"/>
    <x v="1"/>
    <x v="1"/>
    <n v="0"/>
    <x v="41"/>
    <x v="1"/>
    <x v="0"/>
    <n v="138"/>
    <n v="173.88"/>
    <n v="1104"/>
    <n v="1391.04"/>
    <x v="159"/>
    <x v="30"/>
    <x v="6"/>
    <x v="1"/>
  </r>
  <r>
    <d v="2022-07-18T00:00:00"/>
    <s v="P0010"/>
    <n v="12"/>
    <x v="2"/>
    <x v="0"/>
    <n v="0"/>
    <x v="20"/>
    <x v="2"/>
    <x v="0"/>
    <n v="148"/>
    <n v="164.28"/>
    <n v="1776"/>
    <n v="1971.3600000000001"/>
    <x v="304"/>
    <x v="7"/>
    <x v="6"/>
    <x v="1"/>
  </r>
  <r>
    <d v="2022-07-20T00:00:00"/>
    <s v="P0042"/>
    <n v="8"/>
    <x v="0"/>
    <x v="0"/>
    <n v="0"/>
    <x v="10"/>
    <x v="1"/>
    <x v="0"/>
    <n v="120"/>
    <n v="162"/>
    <n v="960"/>
    <n v="1296"/>
    <x v="59"/>
    <x v="9"/>
    <x v="6"/>
    <x v="1"/>
  </r>
  <r>
    <d v="2022-07-22T00:00:00"/>
    <s v="P0034"/>
    <n v="6"/>
    <x v="2"/>
    <x v="1"/>
    <n v="0"/>
    <x v="13"/>
    <x v="4"/>
    <x v="2"/>
    <n v="55"/>
    <n v="58.3"/>
    <n v="330"/>
    <n v="349.79999999999995"/>
    <x v="20"/>
    <x v="18"/>
    <x v="6"/>
    <x v="1"/>
  </r>
  <r>
    <d v="2022-07-23T00:00:00"/>
    <s v="P0018"/>
    <n v="2"/>
    <x v="1"/>
    <x v="0"/>
    <n v="0"/>
    <x v="30"/>
    <x v="2"/>
    <x v="3"/>
    <n v="37"/>
    <n v="49.21"/>
    <n v="74"/>
    <n v="98.42"/>
    <x v="267"/>
    <x v="19"/>
    <x v="6"/>
    <x v="1"/>
  </r>
  <r>
    <d v="2022-07-24T00:00:00"/>
    <s v="P0006"/>
    <n v="14"/>
    <x v="2"/>
    <x v="1"/>
    <n v="0"/>
    <x v="15"/>
    <x v="3"/>
    <x v="1"/>
    <n v="75"/>
    <n v="85.5"/>
    <n v="1050"/>
    <n v="1197"/>
    <x v="305"/>
    <x v="27"/>
    <x v="6"/>
    <x v="1"/>
  </r>
  <r>
    <d v="2022-07-24T00:00:00"/>
    <s v="P0027"/>
    <n v="1"/>
    <x v="1"/>
    <x v="0"/>
    <n v="0"/>
    <x v="26"/>
    <x v="4"/>
    <x v="2"/>
    <n v="48"/>
    <n v="57.120000000000005"/>
    <n v="48"/>
    <n v="57.120000000000005"/>
    <x v="277"/>
    <x v="27"/>
    <x v="6"/>
    <x v="1"/>
  </r>
  <r>
    <d v="2022-07-25T00:00:00"/>
    <s v="P0044"/>
    <n v="2"/>
    <x v="2"/>
    <x v="1"/>
    <n v="0"/>
    <x v="11"/>
    <x v="1"/>
    <x v="1"/>
    <n v="76"/>
    <n v="82.08"/>
    <n v="152"/>
    <n v="164.16"/>
    <x v="306"/>
    <x v="11"/>
    <x v="6"/>
    <x v="1"/>
  </r>
  <r>
    <d v="2022-07-25T00:00:00"/>
    <s v="P0017"/>
    <n v="12"/>
    <x v="2"/>
    <x v="1"/>
    <n v="0"/>
    <x v="39"/>
    <x v="2"/>
    <x v="0"/>
    <n v="134"/>
    <n v="156.78"/>
    <n v="1608"/>
    <n v="1881.3600000000001"/>
    <x v="279"/>
    <x v="11"/>
    <x v="6"/>
    <x v="1"/>
  </r>
  <r>
    <d v="2022-07-25T00:00:00"/>
    <s v="P0003"/>
    <n v="13"/>
    <x v="1"/>
    <x v="1"/>
    <n v="0"/>
    <x v="6"/>
    <x v="3"/>
    <x v="1"/>
    <n v="71"/>
    <n v="80.94"/>
    <n v="923"/>
    <n v="1052.22"/>
    <x v="307"/>
    <x v="11"/>
    <x v="6"/>
    <x v="1"/>
  </r>
  <r>
    <d v="2022-07-26T00:00:00"/>
    <s v="P0003"/>
    <n v="10"/>
    <x v="1"/>
    <x v="0"/>
    <n v="0"/>
    <x v="6"/>
    <x v="3"/>
    <x v="1"/>
    <n v="71"/>
    <n v="80.94"/>
    <n v="710"/>
    <n v="809.4"/>
    <x v="308"/>
    <x v="12"/>
    <x v="6"/>
    <x v="1"/>
  </r>
  <r>
    <d v="2022-07-26T00:00:00"/>
    <s v="P0026"/>
    <n v="1"/>
    <x v="1"/>
    <x v="1"/>
    <n v="0"/>
    <x v="42"/>
    <x v="4"/>
    <x v="3"/>
    <n v="18"/>
    <n v="24.66"/>
    <n v="18"/>
    <n v="24.66"/>
    <x v="309"/>
    <x v="12"/>
    <x v="6"/>
    <x v="1"/>
  </r>
  <r>
    <d v="2022-08-03T00:00:00"/>
    <s v="P0012"/>
    <n v="5"/>
    <x v="2"/>
    <x v="1"/>
    <n v="0"/>
    <x v="35"/>
    <x v="2"/>
    <x v="1"/>
    <n v="73"/>
    <n v="94.17"/>
    <n v="365"/>
    <n v="470.85"/>
    <x v="280"/>
    <x v="2"/>
    <x v="7"/>
    <x v="1"/>
  </r>
  <r>
    <d v="2022-08-06T00:00:00"/>
    <s v="P0016"/>
    <n v="9"/>
    <x v="1"/>
    <x v="0"/>
    <n v="0"/>
    <x v="21"/>
    <x v="2"/>
    <x v="3"/>
    <n v="13"/>
    <n v="16.64"/>
    <n v="117"/>
    <n v="149.76"/>
    <x v="310"/>
    <x v="16"/>
    <x v="7"/>
    <x v="1"/>
  </r>
  <r>
    <d v="2022-08-08T00:00:00"/>
    <s v="P0016"/>
    <n v="2"/>
    <x v="2"/>
    <x v="0"/>
    <n v="0"/>
    <x v="21"/>
    <x v="2"/>
    <x v="3"/>
    <n v="13"/>
    <n v="16.64"/>
    <n v="26"/>
    <n v="33.28"/>
    <x v="257"/>
    <x v="21"/>
    <x v="7"/>
    <x v="1"/>
  </r>
  <r>
    <d v="2022-08-08T00:00:00"/>
    <s v="P0032"/>
    <n v="12"/>
    <x v="2"/>
    <x v="1"/>
    <n v="0"/>
    <x v="18"/>
    <x v="4"/>
    <x v="1"/>
    <n v="89"/>
    <n v="117.48"/>
    <n v="1068"/>
    <n v="1409.76"/>
    <x v="112"/>
    <x v="21"/>
    <x v="7"/>
    <x v="1"/>
  </r>
  <r>
    <d v="2022-08-08T00:00:00"/>
    <s v="P0021"/>
    <n v="11"/>
    <x v="2"/>
    <x v="1"/>
    <n v="0"/>
    <x v="32"/>
    <x v="0"/>
    <x v="0"/>
    <n v="126"/>
    <n v="162.54"/>
    <n v="1386"/>
    <n v="1787.9399999999998"/>
    <x v="311"/>
    <x v="21"/>
    <x v="7"/>
    <x v="1"/>
  </r>
  <r>
    <d v="2022-08-14T00:00:00"/>
    <s v="P0030"/>
    <n v="14"/>
    <x v="2"/>
    <x v="1"/>
    <n v="0"/>
    <x v="28"/>
    <x v="4"/>
    <x v="0"/>
    <n v="148"/>
    <n v="201.28"/>
    <n v="2072"/>
    <n v="2817.92"/>
    <x v="177"/>
    <x v="29"/>
    <x v="7"/>
    <x v="1"/>
  </r>
  <r>
    <d v="2022-08-15T00:00:00"/>
    <s v="P0011"/>
    <n v="10"/>
    <x v="0"/>
    <x v="1"/>
    <n v="0"/>
    <x v="31"/>
    <x v="2"/>
    <x v="2"/>
    <n v="44"/>
    <n v="48.4"/>
    <n v="440"/>
    <n v="484"/>
    <x v="216"/>
    <x v="17"/>
    <x v="7"/>
    <x v="1"/>
  </r>
  <r>
    <d v="2022-08-15T00:00:00"/>
    <s v="P0015"/>
    <n v="7"/>
    <x v="2"/>
    <x v="0"/>
    <n v="0"/>
    <x v="27"/>
    <x v="2"/>
    <x v="3"/>
    <n v="12"/>
    <n v="15.719999999999999"/>
    <n v="84"/>
    <n v="110.03999999999999"/>
    <x v="312"/>
    <x v="17"/>
    <x v="7"/>
    <x v="1"/>
  </r>
  <r>
    <d v="2022-08-18T00:00:00"/>
    <s v="P0029"/>
    <n v="8"/>
    <x v="1"/>
    <x v="0"/>
    <n v="0"/>
    <x v="19"/>
    <x v="4"/>
    <x v="2"/>
    <n v="47"/>
    <n v="53.11"/>
    <n v="376"/>
    <n v="424.88"/>
    <x v="67"/>
    <x v="7"/>
    <x v="7"/>
    <x v="1"/>
  </r>
  <r>
    <d v="2022-08-18T00:00:00"/>
    <s v="P0010"/>
    <n v="2"/>
    <x v="1"/>
    <x v="1"/>
    <n v="0"/>
    <x v="20"/>
    <x v="2"/>
    <x v="0"/>
    <n v="148"/>
    <n v="164.28"/>
    <n v="296"/>
    <n v="328.56"/>
    <x v="313"/>
    <x v="7"/>
    <x v="7"/>
    <x v="1"/>
  </r>
  <r>
    <d v="2022-08-19T00:00:00"/>
    <s v="P0007"/>
    <n v="3"/>
    <x v="1"/>
    <x v="0"/>
    <n v="0"/>
    <x v="36"/>
    <x v="3"/>
    <x v="2"/>
    <n v="43"/>
    <n v="47.730000000000004"/>
    <n v="129"/>
    <n v="143.19"/>
    <x v="314"/>
    <x v="8"/>
    <x v="7"/>
    <x v="1"/>
  </r>
  <r>
    <d v="2022-08-20T00:00:00"/>
    <s v="P0023"/>
    <n v="13"/>
    <x v="2"/>
    <x v="0"/>
    <n v="0"/>
    <x v="12"/>
    <x v="0"/>
    <x v="0"/>
    <n v="141"/>
    <n v="149.46"/>
    <n v="1833"/>
    <n v="1942.98"/>
    <x v="103"/>
    <x v="9"/>
    <x v="7"/>
    <x v="1"/>
  </r>
  <r>
    <d v="2022-08-20T00:00:00"/>
    <s v="P0033"/>
    <n v="14"/>
    <x v="2"/>
    <x v="0"/>
    <n v="0"/>
    <x v="38"/>
    <x v="4"/>
    <x v="1"/>
    <n v="95"/>
    <n v="119.7"/>
    <n v="1330"/>
    <n v="1675.8"/>
    <x v="315"/>
    <x v="9"/>
    <x v="7"/>
    <x v="1"/>
  </r>
  <r>
    <d v="2022-08-21T00:00:00"/>
    <s v="P0016"/>
    <n v="4"/>
    <x v="2"/>
    <x v="0"/>
    <n v="0"/>
    <x v="21"/>
    <x v="2"/>
    <x v="3"/>
    <n v="13"/>
    <n v="16.64"/>
    <n v="52"/>
    <n v="66.56"/>
    <x v="120"/>
    <x v="10"/>
    <x v="7"/>
    <x v="1"/>
  </r>
  <r>
    <d v="2022-08-23T00:00:00"/>
    <s v="P0044"/>
    <n v="11"/>
    <x v="1"/>
    <x v="0"/>
    <n v="0"/>
    <x v="11"/>
    <x v="1"/>
    <x v="1"/>
    <n v="76"/>
    <n v="82.08"/>
    <n v="836"/>
    <n v="902.88"/>
    <x v="316"/>
    <x v="19"/>
    <x v="7"/>
    <x v="1"/>
  </r>
  <r>
    <d v="2022-08-23T00:00:00"/>
    <s v="P0029"/>
    <n v="14"/>
    <x v="2"/>
    <x v="1"/>
    <n v="0"/>
    <x v="19"/>
    <x v="4"/>
    <x v="2"/>
    <n v="47"/>
    <n v="53.11"/>
    <n v="658"/>
    <n v="743.54"/>
    <x v="220"/>
    <x v="19"/>
    <x v="7"/>
    <x v="1"/>
  </r>
  <r>
    <d v="2022-08-24T00:00:00"/>
    <s v="P0005"/>
    <n v="5"/>
    <x v="2"/>
    <x v="1"/>
    <n v="0"/>
    <x v="24"/>
    <x v="3"/>
    <x v="0"/>
    <n v="133"/>
    <n v="155.61000000000001"/>
    <n v="665"/>
    <n v="778.05000000000007"/>
    <x v="317"/>
    <x v="27"/>
    <x v="7"/>
    <x v="1"/>
  </r>
  <r>
    <d v="2022-08-26T00:00:00"/>
    <s v="P0019"/>
    <n v="13"/>
    <x v="0"/>
    <x v="1"/>
    <n v="0"/>
    <x v="40"/>
    <x v="2"/>
    <x v="0"/>
    <n v="150"/>
    <n v="210"/>
    <n v="1950"/>
    <n v="2730"/>
    <x v="87"/>
    <x v="12"/>
    <x v="7"/>
    <x v="1"/>
  </r>
  <r>
    <d v="2022-08-26T00:00:00"/>
    <s v="P0037"/>
    <n v="8"/>
    <x v="1"/>
    <x v="0"/>
    <n v="0"/>
    <x v="8"/>
    <x v="1"/>
    <x v="1"/>
    <n v="67"/>
    <n v="85.76"/>
    <n v="536"/>
    <n v="686.08"/>
    <x v="137"/>
    <x v="12"/>
    <x v="7"/>
    <x v="1"/>
  </r>
  <r>
    <d v="2022-08-27T00:00:00"/>
    <s v="P0039"/>
    <n v="15"/>
    <x v="0"/>
    <x v="0"/>
    <n v="0"/>
    <x v="34"/>
    <x v="1"/>
    <x v="3"/>
    <n v="37"/>
    <n v="42.55"/>
    <n v="555"/>
    <n v="638.25"/>
    <x v="205"/>
    <x v="13"/>
    <x v="7"/>
    <x v="1"/>
  </r>
  <r>
    <d v="2022-08-28T00:00:00"/>
    <s v="P0005"/>
    <n v="9"/>
    <x v="1"/>
    <x v="0"/>
    <n v="0"/>
    <x v="24"/>
    <x v="3"/>
    <x v="0"/>
    <n v="133"/>
    <n v="155.61000000000001"/>
    <n v="1197"/>
    <n v="1400.4900000000002"/>
    <x v="238"/>
    <x v="14"/>
    <x v="7"/>
    <x v="1"/>
  </r>
  <r>
    <d v="2022-08-28T00:00:00"/>
    <s v="P0039"/>
    <n v="5"/>
    <x v="2"/>
    <x v="0"/>
    <n v="0"/>
    <x v="34"/>
    <x v="1"/>
    <x v="3"/>
    <n v="37"/>
    <n v="42.55"/>
    <n v="185"/>
    <n v="212.75"/>
    <x v="318"/>
    <x v="14"/>
    <x v="7"/>
    <x v="1"/>
  </r>
  <r>
    <d v="2022-08-30T00:00:00"/>
    <s v="P0006"/>
    <n v="6"/>
    <x v="1"/>
    <x v="1"/>
    <n v="0"/>
    <x v="15"/>
    <x v="3"/>
    <x v="1"/>
    <n v="75"/>
    <n v="85.5"/>
    <n v="450"/>
    <n v="513"/>
    <x v="146"/>
    <x v="24"/>
    <x v="7"/>
    <x v="1"/>
  </r>
  <r>
    <d v="2022-08-30T00:00:00"/>
    <s v="P0043"/>
    <n v="6"/>
    <x v="2"/>
    <x v="1"/>
    <n v="0"/>
    <x v="23"/>
    <x v="1"/>
    <x v="1"/>
    <n v="67"/>
    <n v="83.08"/>
    <n v="402"/>
    <n v="498.48"/>
    <x v="319"/>
    <x v="24"/>
    <x v="7"/>
    <x v="1"/>
  </r>
  <r>
    <d v="2022-08-30T00:00:00"/>
    <s v="P0025"/>
    <n v="5"/>
    <x v="2"/>
    <x v="1"/>
    <n v="0"/>
    <x v="7"/>
    <x v="0"/>
    <x v="3"/>
    <n v="7"/>
    <n v="8.33"/>
    <n v="35"/>
    <n v="41.65"/>
    <x v="320"/>
    <x v="24"/>
    <x v="7"/>
    <x v="1"/>
  </r>
  <r>
    <d v="2022-08-31T00:00:00"/>
    <s v="P0015"/>
    <n v="13"/>
    <x v="2"/>
    <x v="1"/>
    <n v="0"/>
    <x v="27"/>
    <x v="2"/>
    <x v="3"/>
    <n v="12"/>
    <n v="15.719999999999999"/>
    <n v="156"/>
    <n v="204.35999999999999"/>
    <x v="92"/>
    <x v="25"/>
    <x v="7"/>
    <x v="1"/>
  </r>
  <r>
    <d v="2022-09-04T00:00:00"/>
    <s v="P0002"/>
    <n v="1"/>
    <x v="2"/>
    <x v="1"/>
    <n v="0"/>
    <x v="29"/>
    <x v="3"/>
    <x v="1"/>
    <n v="105"/>
    <n v="142.80000000000001"/>
    <n v="105"/>
    <n v="142.80000000000001"/>
    <x v="321"/>
    <x v="3"/>
    <x v="8"/>
    <x v="1"/>
  </r>
  <r>
    <d v="2022-09-06T00:00:00"/>
    <s v="P0005"/>
    <n v="12"/>
    <x v="0"/>
    <x v="0"/>
    <n v="0"/>
    <x v="24"/>
    <x v="3"/>
    <x v="0"/>
    <n v="133"/>
    <n v="155.61000000000001"/>
    <n v="1596"/>
    <n v="1867.3200000000002"/>
    <x v="322"/>
    <x v="16"/>
    <x v="8"/>
    <x v="1"/>
  </r>
  <r>
    <d v="2022-09-09T00:00:00"/>
    <s v="P0041"/>
    <n v="9"/>
    <x v="2"/>
    <x v="0"/>
    <n v="0"/>
    <x v="41"/>
    <x v="1"/>
    <x v="0"/>
    <n v="138"/>
    <n v="173.88"/>
    <n v="1242"/>
    <n v="1564.92"/>
    <x v="237"/>
    <x v="4"/>
    <x v="8"/>
    <x v="1"/>
  </r>
  <r>
    <d v="2022-09-09T00:00:00"/>
    <s v="P0003"/>
    <n v="3"/>
    <x v="2"/>
    <x v="0"/>
    <n v="0"/>
    <x v="6"/>
    <x v="3"/>
    <x v="1"/>
    <n v="71"/>
    <n v="80.94"/>
    <n v="213"/>
    <n v="242.82"/>
    <x v="148"/>
    <x v="4"/>
    <x v="8"/>
    <x v="1"/>
  </r>
  <r>
    <d v="2022-09-10T00:00:00"/>
    <s v="P0035"/>
    <n v="15"/>
    <x v="1"/>
    <x v="1"/>
    <n v="0"/>
    <x v="4"/>
    <x v="4"/>
    <x v="3"/>
    <n v="5"/>
    <n v="6.7"/>
    <n v="75"/>
    <n v="100.5"/>
    <x v="100"/>
    <x v="26"/>
    <x v="8"/>
    <x v="1"/>
  </r>
  <r>
    <d v="2022-09-10T00:00:00"/>
    <s v="P0038"/>
    <n v="4"/>
    <x v="2"/>
    <x v="1"/>
    <n v="0"/>
    <x v="1"/>
    <x v="1"/>
    <x v="1"/>
    <n v="72"/>
    <n v="79.92"/>
    <n v="288"/>
    <n v="319.68"/>
    <x v="323"/>
    <x v="26"/>
    <x v="8"/>
    <x v="1"/>
  </r>
  <r>
    <d v="2022-09-14T00:00:00"/>
    <s v="P0029"/>
    <n v="3"/>
    <x v="2"/>
    <x v="1"/>
    <n v="0"/>
    <x v="19"/>
    <x v="4"/>
    <x v="2"/>
    <n v="47"/>
    <n v="53.11"/>
    <n v="141"/>
    <n v="159.32999999999998"/>
    <x v="215"/>
    <x v="29"/>
    <x v="8"/>
    <x v="1"/>
  </r>
  <r>
    <d v="2022-09-15T00:00:00"/>
    <s v="P0037"/>
    <n v="15"/>
    <x v="1"/>
    <x v="0"/>
    <n v="0"/>
    <x v="8"/>
    <x v="1"/>
    <x v="1"/>
    <n v="67"/>
    <n v="85.76"/>
    <n v="1005"/>
    <n v="1286.4000000000001"/>
    <x v="251"/>
    <x v="17"/>
    <x v="8"/>
    <x v="1"/>
  </r>
  <r>
    <d v="2022-09-18T00:00:00"/>
    <s v="P0026"/>
    <n v="14"/>
    <x v="1"/>
    <x v="1"/>
    <n v="0"/>
    <x v="42"/>
    <x v="4"/>
    <x v="3"/>
    <n v="18"/>
    <n v="24.66"/>
    <n v="252"/>
    <n v="345.24"/>
    <x v="268"/>
    <x v="7"/>
    <x v="8"/>
    <x v="1"/>
  </r>
  <r>
    <d v="2022-09-19T00:00:00"/>
    <s v="P0033"/>
    <n v="8"/>
    <x v="0"/>
    <x v="1"/>
    <n v="0"/>
    <x v="38"/>
    <x v="4"/>
    <x v="1"/>
    <n v="95"/>
    <n v="119.7"/>
    <n v="760"/>
    <n v="957.6"/>
    <x v="324"/>
    <x v="8"/>
    <x v="8"/>
    <x v="1"/>
  </r>
  <r>
    <d v="2022-09-20T00:00:00"/>
    <s v="P0033"/>
    <n v="6"/>
    <x v="2"/>
    <x v="0"/>
    <n v="0"/>
    <x v="38"/>
    <x v="4"/>
    <x v="1"/>
    <n v="95"/>
    <n v="119.7"/>
    <n v="570"/>
    <n v="718.2"/>
    <x v="109"/>
    <x v="9"/>
    <x v="8"/>
    <x v="1"/>
  </r>
  <r>
    <d v="2022-09-20T00:00:00"/>
    <s v="P0001"/>
    <n v="10"/>
    <x v="2"/>
    <x v="0"/>
    <n v="0"/>
    <x v="16"/>
    <x v="3"/>
    <x v="1"/>
    <n v="98"/>
    <n v="103.88"/>
    <n v="980"/>
    <n v="1038.8"/>
    <x v="325"/>
    <x v="9"/>
    <x v="8"/>
    <x v="1"/>
  </r>
  <r>
    <d v="2022-09-21T00:00:00"/>
    <s v="P0018"/>
    <n v="14"/>
    <x v="1"/>
    <x v="0"/>
    <n v="0"/>
    <x v="30"/>
    <x v="2"/>
    <x v="3"/>
    <n v="37"/>
    <n v="49.21"/>
    <n v="518"/>
    <n v="688.94"/>
    <x v="326"/>
    <x v="10"/>
    <x v="8"/>
    <x v="1"/>
  </r>
  <r>
    <d v="2022-09-21T00:00:00"/>
    <s v="P0026"/>
    <n v="5"/>
    <x v="2"/>
    <x v="1"/>
    <n v="0"/>
    <x v="42"/>
    <x v="4"/>
    <x v="3"/>
    <n v="18"/>
    <n v="24.66"/>
    <n v="90"/>
    <n v="123.3"/>
    <x v="327"/>
    <x v="10"/>
    <x v="8"/>
    <x v="1"/>
  </r>
  <r>
    <d v="2022-09-22T00:00:00"/>
    <s v="P0043"/>
    <n v="12"/>
    <x v="1"/>
    <x v="0"/>
    <n v="0"/>
    <x v="23"/>
    <x v="1"/>
    <x v="1"/>
    <n v="67"/>
    <n v="83.08"/>
    <n v="804"/>
    <n v="996.96"/>
    <x v="297"/>
    <x v="18"/>
    <x v="8"/>
    <x v="1"/>
  </r>
  <r>
    <d v="2022-09-23T00:00:00"/>
    <s v="P0012"/>
    <n v="12"/>
    <x v="2"/>
    <x v="0"/>
    <n v="0"/>
    <x v="35"/>
    <x v="2"/>
    <x v="1"/>
    <n v="73"/>
    <n v="94.17"/>
    <n v="876"/>
    <n v="1130.04"/>
    <x v="328"/>
    <x v="19"/>
    <x v="8"/>
    <x v="1"/>
  </r>
  <r>
    <d v="2022-09-24T00:00:00"/>
    <s v="P0032"/>
    <n v="14"/>
    <x v="2"/>
    <x v="0"/>
    <n v="0"/>
    <x v="18"/>
    <x v="4"/>
    <x v="1"/>
    <n v="89"/>
    <n v="117.48"/>
    <n v="1246"/>
    <n v="1644.72"/>
    <x v="243"/>
    <x v="27"/>
    <x v="8"/>
    <x v="1"/>
  </r>
  <r>
    <d v="2022-09-24T00:00:00"/>
    <s v="P0032"/>
    <n v="8"/>
    <x v="2"/>
    <x v="1"/>
    <n v="0"/>
    <x v="18"/>
    <x v="4"/>
    <x v="1"/>
    <n v="89"/>
    <n v="117.48"/>
    <n v="712"/>
    <n v="939.84"/>
    <x v="329"/>
    <x v="27"/>
    <x v="8"/>
    <x v="1"/>
  </r>
  <r>
    <d v="2022-09-27T00:00:00"/>
    <s v="P0036"/>
    <n v="4"/>
    <x v="2"/>
    <x v="1"/>
    <n v="0"/>
    <x v="43"/>
    <x v="4"/>
    <x v="1"/>
    <n v="90"/>
    <n v="96.3"/>
    <n v="360"/>
    <n v="385.2"/>
    <x v="330"/>
    <x v="13"/>
    <x v="8"/>
    <x v="1"/>
  </r>
  <r>
    <d v="2022-09-27T00:00:00"/>
    <s v="P0044"/>
    <n v="9"/>
    <x v="2"/>
    <x v="1"/>
    <n v="0"/>
    <x v="11"/>
    <x v="1"/>
    <x v="1"/>
    <n v="76"/>
    <n v="82.08"/>
    <n v="684"/>
    <n v="738.72"/>
    <x v="23"/>
    <x v="13"/>
    <x v="8"/>
    <x v="1"/>
  </r>
  <r>
    <d v="2022-09-27T00:00:00"/>
    <s v="P0038"/>
    <n v="3"/>
    <x v="0"/>
    <x v="1"/>
    <n v="0"/>
    <x v="1"/>
    <x v="1"/>
    <x v="1"/>
    <n v="72"/>
    <n v="79.92"/>
    <n v="216"/>
    <n v="239.76"/>
    <x v="331"/>
    <x v="13"/>
    <x v="8"/>
    <x v="1"/>
  </r>
  <r>
    <d v="2022-09-29T00:00:00"/>
    <s v="P0034"/>
    <n v="13"/>
    <x v="2"/>
    <x v="0"/>
    <n v="0"/>
    <x v="13"/>
    <x v="4"/>
    <x v="2"/>
    <n v="55"/>
    <n v="58.3"/>
    <n v="715"/>
    <n v="757.9"/>
    <x v="332"/>
    <x v="28"/>
    <x v="8"/>
    <x v="1"/>
  </r>
  <r>
    <d v="2022-10-03T00:00:00"/>
    <s v="P0011"/>
    <n v="5"/>
    <x v="2"/>
    <x v="1"/>
    <n v="0"/>
    <x v="31"/>
    <x v="2"/>
    <x v="2"/>
    <n v="44"/>
    <n v="48.4"/>
    <n v="220"/>
    <n v="242"/>
    <x v="333"/>
    <x v="2"/>
    <x v="9"/>
    <x v="1"/>
  </r>
  <r>
    <d v="2022-10-04T00:00:00"/>
    <s v="P0007"/>
    <n v="15"/>
    <x v="2"/>
    <x v="0"/>
    <n v="0"/>
    <x v="36"/>
    <x v="3"/>
    <x v="2"/>
    <n v="43"/>
    <n v="47.730000000000004"/>
    <n v="645"/>
    <n v="715.95"/>
    <x v="198"/>
    <x v="3"/>
    <x v="9"/>
    <x v="1"/>
  </r>
  <r>
    <d v="2022-10-06T00:00:00"/>
    <s v="P0035"/>
    <n v="1"/>
    <x v="2"/>
    <x v="0"/>
    <n v="0"/>
    <x v="4"/>
    <x v="4"/>
    <x v="3"/>
    <n v="5"/>
    <n v="6.7"/>
    <n v="5"/>
    <n v="6.7"/>
    <x v="37"/>
    <x v="16"/>
    <x v="9"/>
    <x v="1"/>
  </r>
  <r>
    <d v="2022-10-09T00:00:00"/>
    <s v="P0038"/>
    <n v="14"/>
    <x v="1"/>
    <x v="0"/>
    <n v="0"/>
    <x v="1"/>
    <x v="1"/>
    <x v="1"/>
    <n v="72"/>
    <n v="79.92"/>
    <n v="1008"/>
    <n v="1118.8800000000001"/>
    <x v="194"/>
    <x v="4"/>
    <x v="9"/>
    <x v="1"/>
  </r>
  <r>
    <d v="2022-10-10T00:00:00"/>
    <s v="P0019"/>
    <n v="9"/>
    <x v="2"/>
    <x v="0"/>
    <n v="0"/>
    <x v="40"/>
    <x v="2"/>
    <x v="0"/>
    <n v="150"/>
    <n v="210"/>
    <n v="1350"/>
    <n v="1890"/>
    <x v="179"/>
    <x v="26"/>
    <x v="9"/>
    <x v="1"/>
  </r>
  <r>
    <d v="2022-10-10T00:00:00"/>
    <s v="P0044"/>
    <n v="12"/>
    <x v="1"/>
    <x v="0"/>
    <n v="0"/>
    <x v="11"/>
    <x v="1"/>
    <x v="1"/>
    <n v="76"/>
    <n v="82.08"/>
    <n v="912"/>
    <n v="984.96"/>
    <x v="334"/>
    <x v="26"/>
    <x v="9"/>
    <x v="1"/>
  </r>
  <r>
    <d v="2022-10-11T00:00:00"/>
    <s v="P0008"/>
    <n v="10"/>
    <x v="2"/>
    <x v="0"/>
    <n v="0"/>
    <x v="25"/>
    <x v="3"/>
    <x v="1"/>
    <n v="83"/>
    <n v="94.62"/>
    <n v="830"/>
    <n v="946.2"/>
    <x v="335"/>
    <x v="5"/>
    <x v="9"/>
    <x v="1"/>
  </r>
  <r>
    <d v="2022-10-13T00:00:00"/>
    <s v="P0002"/>
    <n v="15"/>
    <x v="1"/>
    <x v="0"/>
    <n v="0"/>
    <x v="29"/>
    <x v="3"/>
    <x v="1"/>
    <n v="105"/>
    <n v="142.80000000000001"/>
    <n v="1575"/>
    <n v="2142"/>
    <x v="336"/>
    <x v="22"/>
    <x v="9"/>
    <x v="1"/>
  </r>
  <r>
    <d v="2022-10-14T00:00:00"/>
    <s v="P0044"/>
    <n v="15"/>
    <x v="0"/>
    <x v="0"/>
    <n v="0"/>
    <x v="11"/>
    <x v="1"/>
    <x v="1"/>
    <n v="76"/>
    <n v="82.08"/>
    <n v="1140"/>
    <n v="1231.2"/>
    <x v="138"/>
    <x v="29"/>
    <x v="9"/>
    <x v="1"/>
  </r>
  <r>
    <d v="2022-10-15T00:00:00"/>
    <s v="P0015"/>
    <n v="10"/>
    <x v="2"/>
    <x v="1"/>
    <n v="0"/>
    <x v="27"/>
    <x v="2"/>
    <x v="3"/>
    <n v="12"/>
    <n v="15.719999999999999"/>
    <n v="120"/>
    <n v="157.19999999999999"/>
    <x v="337"/>
    <x v="17"/>
    <x v="9"/>
    <x v="1"/>
  </r>
  <r>
    <d v="2022-10-16T00:00:00"/>
    <s v="P0036"/>
    <n v="3"/>
    <x v="1"/>
    <x v="0"/>
    <n v="0"/>
    <x v="43"/>
    <x v="4"/>
    <x v="1"/>
    <n v="90"/>
    <n v="96.3"/>
    <n v="270"/>
    <n v="288.89999999999998"/>
    <x v="338"/>
    <x v="23"/>
    <x v="9"/>
    <x v="1"/>
  </r>
  <r>
    <d v="2022-10-23T00:00:00"/>
    <s v="P0024"/>
    <n v="14"/>
    <x v="1"/>
    <x v="1"/>
    <n v="0"/>
    <x v="0"/>
    <x v="0"/>
    <x v="0"/>
    <n v="144"/>
    <n v="156.96"/>
    <n v="2016"/>
    <n v="2197.44"/>
    <x v="65"/>
    <x v="19"/>
    <x v="9"/>
    <x v="1"/>
  </r>
  <r>
    <d v="2022-10-30T00:00:00"/>
    <s v="P0042"/>
    <n v="3"/>
    <x v="2"/>
    <x v="1"/>
    <n v="0"/>
    <x v="10"/>
    <x v="1"/>
    <x v="0"/>
    <n v="120"/>
    <n v="162"/>
    <n v="360"/>
    <n v="486"/>
    <x v="75"/>
    <x v="24"/>
    <x v="9"/>
    <x v="1"/>
  </r>
  <r>
    <d v="2022-10-31T00:00:00"/>
    <s v="P0038"/>
    <n v="8"/>
    <x v="2"/>
    <x v="0"/>
    <n v="0"/>
    <x v="1"/>
    <x v="1"/>
    <x v="1"/>
    <n v="72"/>
    <n v="79.92"/>
    <n v="576"/>
    <n v="639.36"/>
    <x v="284"/>
    <x v="25"/>
    <x v="9"/>
    <x v="1"/>
  </r>
  <r>
    <d v="2022-11-01T00:00:00"/>
    <s v="P0012"/>
    <n v="15"/>
    <x v="0"/>
    <x v="0"/>
    <n v="0"/>
    <x v="35"/>
    <x v="2"/>
    <x v="1"/>
    <n v="73"/>
    <n v="94.17"/>
    <n v="1095"/>
    <n v="1412.55"/>
    <x v="339"/>
    <x v="0"/>
    <x v="10"/>
    <x v="1"/>
  </r>
  <r>
    <d v="2022-11-02T00:00:00"/>
    <s v="P0015"/>
    <n v="15"/>
    <x v="0"/>
    <x v="1"/>
    <n v="0"/>
    <x v="27"/>
    <x v="2"/>
    <x v="3"/>
    <n v="12"/>
    <n v="15.719999999999999"/>
    <n v="180"/>
    <n v="235.79999999999998"/>
    <x v="340"/>
    <x v="1"/>
    <x v="10"/>
    <x v="1"/>
  </r>
  <r>
    <d v="2022-11-02T00:00:00"/>
    <s v="P0030"/>
    <n v="15"/>
    <x v="2"/>
    <x v="1"/>
    <n v="0"/>
    <x v="28"/>
    <x v="4"/>
    <x v="0"/>
    <n v="148"/>
    <n v="201.28"/>
    <n v="2220"/>
    <n v="3019.2"/>
    <x v="233"/>
    <x v="1"/>
    <x v="10"/>
    <x v="1"/>
  </r>
  <r>
    <d v="2022-11-02T00:00:00"/>
    <s v="P0035"/>
    <n v="5"/>
    <x v="2"/>
    <x v="1"/>
    <n v="0"/>
    <x v="4"/>
    <x v="4"/>
    <x v="3"/>
    <n v="5"/>
    <n v="6.7"/>
    <n v="25"/>
    <n v="33.5"/>
    <x v="341"/>
    <x v="1"/>
    <x v="10"/>
    <x v="1"/>
  </r>
  <r>
    <d v="2022-11-03T00:00:00"/>
    <s v="P0020"/>
    <n v="11"/>
    <x v="1"/>
    <x v="0"/>
    <n v="0"/>
    <x v="14"/>
    <x v="0"/>
    <x v="2"/>
    <n v="61"/>
    <n v="76.25"/>
    <n v="671"/>
    <n v="838.75"/>
    <x v="342"/>
    <x v="2"/>
    <x v="10"/>
    <x v="1"/>
  </r>
  <r>
    <d v="2022-11-04T00:00:00"/>
    <s v="P0008"/>
    <n v="10"/>
    <x v="2"/>
    <x v="0"/>
    <n v="0"/>
    <x v="25"/>
    <x v="3"/>
    <x v="1"/>
    <n v="83"/>
    <n v="94.62"/>
    <n v="830"/>
    <n v="946.2"/>
    <x v="335"/>
    <x v="3"/>
    <x v="10"/>
    <x v="1"/>
  </r>
  <r>
    <d v="2022-11-05T00:00:00"/>
    <s v="P0019"/>
    <n v="15"/>
    <x v="2"/>
    <x v="1"/>
    <n v="0"/>
    <x v="40"/>
    <x v="2"/>
    <x v="0"/>
    <n v="150"/>
    <n v="210"/>
    <n v="2250"/>
    <n v="3150"/>
    <x v="343"/>
    <x v="15"/>
    <x v="10"/>
    <x v="1"/>
  </r>
  <r>
    <d v="2022-11-06T00:00:00"/>
    <s v="P0043"/>
    <n v="13"/>
    <x v="2"/>
    <x v="1"/>
    <n v="0"/>
    <x v="23"/>
    <x v="1"/>
    <x v="1"/>
    <n v="67"/>
    <n v="83.08"/>
    <n v="871"/>
    <n v="1080.04"/>
    <x v="344"/>
    <x v="16"/>
    <x v="10"/>
    <x v="1"/>
  </r>
  <r>
    <d v="2022-11-06T00:00:00"/>
    <s v="P0015"/>
    <n v="13"/>
    <x v="1"/>
    <x v="0"/>
    <n v="0"/>
    <x v="27"/>
    <x v="2"/>
    <x v="3"/>
    <n v="12"/>
    <n v="15.719999999999999"/>
    <n v="156"/>
    <n v="204.35999999999999"/>
    <x v="92"/>
    <x v="16"/>
    <x v="10"/>
    <x v="1"/>
  </r>
  <r>
    <d v="2022-11-06T00:00:00"/>
    <s v="P0042"/>
    <n v="13"/>
    <x v="2"/>
    <x v="1"/>
    <n v="0"/>
    <x v="10"/>
    <x v="1"/>
    <x v="0"/>
    <n v="120"/>
    <n v="162"/>
    <n v="1560"/>
    <n v="2106"/>
    <x v="345"/>
    <x v="16"/>
    <x v="10"/>
    <x v="1"/>
  </r>
  <r>
    <d v="2022-11-07T00:00:00"/>
    <s v="P0040"/>
    <n v="13"/>
    <x v="1"/>
    <x v="1"/>
    <n v="0"/>
    <x v="17"/>
    <x v="1"/>
    <x v="1"/>
    <n v="90"/>
    <n v="115.2"/>
    <n v="1170"/>
    <n v="1497.6000000000001"/>
    <x v="346"/>
    <x v="20"/>
    <x v="10"/>
    <x v="1"/>
  </r>
  <r>
    <d v="2022-11-08T00:00:00"/>
    <s v="P0036"/>
    <n v="11"/>
    <x v="0"/>
    <x v="1"/>
    <n v="0"/>
    <x v="43"/>
    <x v="4"/>
    <x v="1"/>
    <n v="90"/>
    <n v="96.3"/>
    <n v="990"/>
    <n v="1059.3"/>
    <x v="347"/>
    <x v="21"/>
    <x v="10"/>
    <x v="1"/>
  </r>
  <r>
    <d v="2022-11-08T00:00:00"/>
    <s v="P0019"/>
    <n v="10"/>
    <x v="0"/>
    <x v="0"/>
    <n v="0"/>
    <x v="40"/>
    <x v="2"/>
    <x v="0"/>
    <n v="150"/>
    <n v="210"/>
    <n v="1500"/>
    <n v="2100"/>
    <x v="348"/>
    <x v="21"/>
    <x v="10"/>
    <x v="1"/>
  </r>
  <r>
    <d v="2022-11-09T00:00:00"/>
    <s v="P0027"/>
    <n v="8"/>
    <x v="1"/>
    <x v="1"/>
    <n v="0"/>
    <x v="26"/>
    <x v="4"/>
    <x v="2"/>
    <n v="48"/>
    <n v="57.120000000000005"/>
    <n v="384"/>
    <n v="456.96000000000004"/>
    <x v="185"/>
    <x v="4"/>
    <x v="10"/>
    <x v="1"/>
  </r>
  <r>
    <d v="2022-11-10T00:00:00"/>
    <s v="P0018"/>
    <n v="7"/>
    <x v="2"/>
    <x v="0"/>
    <n v="0"/>
    <x v="30"/>
    <x v="2"/>
    <x v="3"/>
    <n v="37"/>
    <n v="49.21"/>
    <n v="259"/>
    <n v="344.47"/>
    <x v="296"/>
    <x v="26"/>
    <x v="10"/>
    <x v="1"/>
  </r>
  <r>
    <d v="2022-11-13T00:00:00"/>
    <s v="P0027"/>
    <n v="10"/>
    <x v="0"/>
    <x v="1"/>
    <n v="0"/>
    <x v="26"/>
    <x v="4"/>
    <x v="2"/>
    <n v="48"/>
    <n v="57.120000000000005"/>
    <n v="480"/>
    <n v="571.20000000000005"/>
    <x v="259"/>
    <x v="22"/>
    <x v="10"/>
    <x v="1"/>
  </r>
  <r>
    <d v="2022-11-14T00:00:00"/>
    <s v="P0002"/>
    <n v="1"/>
    <x v="2"/>
    <x v="1"/>
    <n v="0"/>
    <x v="29"/>
    <x v="3"/>
    <x v="1"/>
    <n v="105"/>
    <n v="142.80000000000001"/>
    <n v="105"/>
    <n v="142.80000000000001"/>
    <x v="321"/>
    <x v="29"/>
    <x v="10"/>
    <x v="1"/>
  </r>
  <r>
    <d v="2022-11-15T00:00:00"/>
    <s v="P0012"/>
    <n v="14"/>
    <x v="2"/>
    <x v="1"/>
    <n v="0"/>
    <x v="35"/>
    <x v="2"/>
    <x v="1"/>
    <n v="73"/>
    <n v="94.17"/>
    <n v="1022"/>
    <n v="1318.38"/>
    <x v="58"/>
    <x v="17"/>
    <x v="10"/>
    <x v="1"/>
  </r>
  <r>
    <d v="2022-11-16T00:00:00"/>
    <s v="P0017"/>
    <n v="8"/>
    <x v="1"/>
    <x v="0"/>
    <n v="0"/>
    <x v="39"/>
    <x v="2"/>
    <x v="0"/>
    <n v="134"/>
    <n v="156.78"/>
    <n v="1072"/>
    <n v="1254.24"/>
    <x v="349"/>
    <x v="23"/>
    <x v="10"/>
    <x v="1"/>
  </r>
  <r>
    <d v="2022-11-18T00:00:00"/>
    <s v="P0034"/>
    <n v="8"/>
    <x v="2"/>
    <x v="1"/>
    <n v="0"/>
    <x v="13"/>
    <x v="4"/>
    <x v="2"/>
    <n v="55"/>
    <n v="58.3"/>
    <n v="440"/>
    <n v="466.4"/>
    <x v="350"/>
    <x v="7"/>
    <x v="10"/>
    <x v="1"/>
  </r>
  <r>
    <d v="2022-11-21T00:00:00"/>
    <s v="P0020"/>
    <n v="6"/>
    <x v="2"/>
    <x v="1"/>
    <n v="0"/>
    <x v="14"/>
    <x v="0"/>
    <x v="2"/>
    <n v="61"/>
    <n v="76.25"/>
    <n v="366"/>
    <n v="457.5"/>
    <x v="351"/>
    <x v="10"/>
    <x v="10"/>
    <x v="1"/>
  </r>
  <r>
    <d v="2022-11-23T00:00:00"/>
    <s v="P0036"/>
    <n v="12"/>
    <x v="1"/>
    <x v="0"/>
    <n v="0"/>
    <x v="43"/>
    <x v="4"/>
    <x v="1"/>
    <n v="90"/>
    <n v="96.3"/>
    <n v="1080"/>
    <n v="1155.5999999999999"/>
    <x v="180"/>
    <x v="19"/>
    <x v="10"/>
    <x v="1"/>
  </r>
  <r>
    <d v="2022-11-25T00:00:00"/>
    <s v="P0004"/>
    <n v="5"/>
    <x v="2"/>
    <x v="1"/>
    <n v="0"/>
    <x v="3"/>
    <x v="3"/>
    <x v="2"/>
    <n v="44"/>
    <n v="48.84"/>
    <n v="220"/>
    <n v="244.20000000000002"/>
    <x v="3"/>
    <x v="11"/>
    <x v="10"/>
    <x v="1"/>
  </r>
  <r>
    <d v="2022-11-26T00:00:00"/>
    <s v="P0032"/>
    <n v="5"/>
    <x v="2"/>
    <x v="0"/>
    <n v="0"/>
    <x v="18"/>
    <x v="4"/>
    <x v="1"/>
    <n v="89"/>
    <n v="117.48"/>
    <n v="445"/>
    <n v="587.4"/>
    <x v="352"/>
    <x v="12"/>
    <x v="10"/>
    <x v="1"/>
  </r>
  <r>
    <d v="2022-11-27T00:00:00"/>
    <s v="P0034"/>
    <n v="15"/>
    <x v="2"/>
    <x v="0"/>
    <n v="0"/>
    <x v="13"/>
    <x v="4"/>
    <x v="2"/>
    <n v="55"/>
    <n v="58.3"/>
    <n v="825"/>
    <n v="874.5"/>
    <x v="353"/>
    <x v="13"/>
    <x v="10"/>
    <x v="1"/>
  </r>
  <r>
    <d v="2022-11-28T00:00:00"/>
    <s v="P0031"/>
    <n v="8"/>
    <x v="2"/>
    <x v="1"/>
    <n v="0"/>
    <x v="5"/>
    <x v="4"/>
    <x v="1"/>
    <n v="93"/>
    <n v="104.16"/>
    <n v="744"/>
    <n v="833.28"/>
    <x v="354"/>
    <x v="14"/>
    <x v="10"/>
    <x v="1"/>
  </r>
  <r>
    <d v="2022-11-30T00:00:00"/>
    <s v="P0015"/>
    <n v="2"/>
    <x v="2"/>
    <x v="0"/>
    <n v="0"/>
    <x v="27"/>
    <x v="2"/>
    <x v="3"/>
    <n v="12"/>
    <n v="15.719999999999999"/>
    <n v="24"/>
    <n v="31.439999999999998"/>
    <x v="223"/>
    <x v="24"/>
    <x v="10"/>
    <x v="1"/>
  </r>
  <r>
    <d v="2022-12-03T00:00:00"/>
    <s v="P0028"/>
    <n v="5"/>
    <x v="0"/>
    <x v="1"/>
    <n v="0"/>
    <x v="33"/>
    <x v="4"/>
    <x v="3"/>
    <n v="37"/>
    <n v="41.81"/>
    <n v="185"/>
    <n v="209.05"/>
    <x v="355"/>
    <x v="2"/>
    <x v="11"/>
    <x v="1"/>
  </r>
  <r>
    <d v="2022-12-04T00:00:00"/>
    <s v="P0026"/>
    <n v="10"/>
    <x v="2"/>
    <x v="1"/>
    <n v="0"/>
    <x v="42"/>
    <x v="4"/>
    <x v="3"/>
    <n v="18"/>
    <n v="24.66"/>
    <n v="180"/>
    <n v="246.6"/>
    <x v="217"/>
    <x v="3"/>
    <x v="11"/>
    <x v="1"/>
  </r>
  <r>
    <d v="2022-12-04T00:00:00"/>
    <s v="P0044"/>
    <n v="15"/>
    <x v="2"/>
    <x v="1"/>
    <n v="0"/>
    <x v="11"/>
    <x v="1"/>
    <x v="1"/>
    <n v="76"/>
    <n v="82.08"/>
    <n v="1140"/>
    <n v="1231.2"/>
    <x v="138"/>
    <x v="3"/>
    <x v="11"/>
    <x v="1"/>
  </r>
  <r>
    <d v="2022-12-07T00:00:00"/>
    <s v="P0038"/>
    <n v="12"/>
    <x v="2"/>
    <x v="1"/>
    <n v="0"/>
    <x v="1"/>
    <x v="1"/>
    <x v="1"/>
    <n v="72"/>
    <n v="79.92"/>
    <n v="864"/>
    <n v="959.04"/>
    <x v="356"/>
    <x v="20"/>
    <x v="11"/>
    <x v="1"/>
  </r>
  <r>
    <d v="2022-12-07T00:00:00"/>
    <s v="P0016"/>
    <n v="13"/>
    <x v="2"/>
    <x v="0"/>
    <n v="0"/>
    <x v="21"/>
    <x v="2"/>
    <x v="3"/>
    <n v="13"/>
    <n v="16.64"/>
    <n v="169"/>
    <n v="216.32"/>
    <x v="31"/>
    <x v="20"/>
    <x v="11"/>
    <x v="1"/>
  </r>
  <r>
    <d v="2022-12-07T00:00:00"/>
    <s v="P0038"/>
    <n v="5"/>
    <x v="2"/>
    <x v="1"/>
    <n v="0"/>
    <x v="1"/>
    <x v="1"/>
    <x v="1"/>
    <n v="72"/>
    <n v="79.92"/>
    <n v="360"/>
    <n v="399.6"/>
    <x v="182"/>
    <x v="20"/>
    <x v="11"/>
    <x v="1"/>
  </r>
  <r>
    <d v="2022-12-11T00:00:00"/>
    <s v="P0027"/>
    <n v="5"/>
    <x v="2"/>
    <x v="0"/>
    <n v="0"/>
    <x v="26"/>
    <x v="4"/>
    <x v="2"/>
    <n v="48"/>
    <n v="57.120000000000005"/>
    <n v="240"/>
    <n v="285.60000000000002"/>
    <x v="357"/>
    <x v="5"/>
    <x v="11"/>
    <x v="1"/>
  </r>
  <r>
    <d v="2022-12-11T00:00:00"/>
    <s v="P0013"/>
    <n v="9"/>
    <x v="0"/>
    <x v="0"/>
    <n v="0"/>
    <x v="2"/>
    <x v="2"/>
    <x v="1"/>
    <n v="112"/>
    <n v="122.08"/>
    <n v="1008"/>
    <n v="1098.72"/>
    <x v="358"/>
    <x v="5"/>
    <x v="11"/>
    <x v="1"/>
  </r>
  <r>
    <d v="2022-12-11T00:00:00"/>
    <s v="P0014"/>
    <n v="10"/>
    <x v="1"/>
    <x v="1"/>
    <n v="0"/>
    <x v="9"/>
    <x v="2"/>
    <x v="1"/>
    <n v="112"/>
    <n v="146.72"/>
    <n v="1120"/>
    <n v="1467.2"/>
    <x v="359"/>
    <x v="5"/>
    <x v="11"/>
    <x v="1"/>
  </r>
  <r>
    <d v="2022-12-12T00:00:00"/>
    <s v="P0030"/>
    <n v="9"/>
    <x v="0"/>
    <x v="1"/>
    <n v="0"/>
    <x v="28"/>
    <x v="4"/>
    <x v="0"/>
    <n v="148"/>
    <n v="201.28"/>
    <n v="1332"/>
    <n v="1811.52"/>
    <x v="360"/>
    <x v="6"/>
    <x v="11"/>
    <x v="1"/>
  </r>
  <r>
    <d v="2022-12-12T00:00:00"/>
    <s v="P0041"/>
    <n v="10"/>
    <x v="0"/>
    <x v="0"/>
    <n v="0"/>
    <x v="41"/>
    <x v="1"/>
    <x v="0"/>
    <n v="138"/>
    <n v="173.88"/>
    <n v="1380"/>
    <n v="1738.8"/>
    <x v="287"/>
    <x v="6"/>
    <x v="11"/>
    <x v="1"/>
  </r>
  <r>
    <d v="2022-12-14T00:00:00"/>
    <s v="P0005"/>
    <n v="4"/>
    <x v="2"/>
    <x v="1"/>
    <n v="0"/>
    <x v="24"/>
    <x v="3"/>
    <x v="0"/>
    <n v="133"/>
    <n v="155.61000000000001"/>
    <n v="532"/>
    <n v="622.44000000000005"/>
    <x v="144"/>
    <x v="29"/>
    <x v="11"/>
    <x v="1"/>
  </r>
  <r>
    <d v="2022-12-15T00:00:00"/>
    <s v="P0009"/>
    <n v="13"/>
    <x v="2"/>
    <x v="0"/>
    <n v="0"/>
    <x v="37"/>
    <x v="0"/>
    <x v="3"/>
    <n v="6"/>
    <n v="7.8599999999999994"/>
    <n v="78"/>
    <n v="102.17999999999999"/>
    <x v="93"/>
    <x v="17"/>
    <x v="11"/>
    <x v="1"/>
  </r>
  <r>
    <d v="2022-12-19T00:00:00"/>
    <s v="P0044"/>
    <n v="7"/>
    <x v="2"/>
    <x v="0"/>
    <n v="0"/>
    <x v="11"/>
    <x v="1"/>
    <x v="1"/>
    <n v="76"/>
    <n v="82.08"/>
    <n v="532"/>
    <n v="574.55999999999995"/>
    <x v="361"/>
    <x v="8"/>
    <x v="11"/>
    <x v="1"/>
  </r>
  <r>
    <d v="2022-12-19T00:00:00"/>
    <s v="P0011"/>
    <n v="14"/>
    <x v="2"/>
    <x v="1"/>
    <n v="0"/>
    <x v="31"/>
    <x v="2"/>
    <x v="2"/>
    <n v="44"/>
    <n v="48.4"/>
    <n v="616"/>
    <n v="677.6"/>
    <x v="227"/>
    <x v="8"/>
    <x v="11"/>
    <x v="1"/>
  </r>
  <r>
    <d v="2022-12-19T00:00:00"/>
    <s v="P0009"/>
    <n v="11"/>
    <x v="1"/>
    <x v="0"/>
    <n v="0"/>
    <x v="37"/>
    <x v="0"/>
    <x v="3"/>
    <n v="6"/>
    <n v="7.8599999999999994"/>
    <n v="66"/>
    <n v="86.46"/>
    <x v="362"/>
    <x v="8"/>
    <x v="11"/>
    <x v="1"/>
  </r>
  <r>
    <d v="2022-12-21T00:00:00"/>
    <s v="P0006"/>
    <n v="10"/>
    <x v="2"/>
    <x v="0"/>
    <n v="0"/>
    <x v="15"/>
    <x v="3"/>
    <x v="1"/>
    <n v="75"/>
    <n v="85.5"/>
    <n v="750"/>
    <n v="855"/>
    <x v="363"/>
    <x v="10"/>
    <x v="11"/>
    <x v="1"/>
  </r>
  <r>
    <d v="2022-12-29T00:00:00"/>
    <s v="P0008"/>
    <n v="15"/>
    <x v="2"/>
    <x v="0"/>
    <n v="0"/>
    <x v="25"/>
    <x v="3"/>
    <x v="1"/>
    <n v="83"/>
    <n v="94.62"/>
    <n v="1245"/>
    <n v="1419.3000000000002"/>
    <x v="94"/>
    <x v="28"/>
    <x v="11"/>
    <x v="1"/>
  </r>
  <r>
    <d v="2022-12-29T00:00:00"/>
    <s v="P0042"/>
    <n v="1"/>
    <x v="0"/>
    <x v="1"/>
    <n v="0"/>
    <x v="10"/>
    <x v="1"/>
    <x v="0"/>
    <n v="120"/>
    <n v="162"/>
    <n v="120"/>
    <n v="162"/>
    <x v="70"/>
    <x v="28"/>
    <x v="11"/>
    <x v="1"/>
  </r>
  <r>
    <d v="2022-12-30T00:00:00"/>
    <s v="P0041"/>
    <n v="14"/>
    <x v="2"/>
    <x v="0"/>
    <n v="0"/>
    <x v="41"/>
    <x v="1"/>
    <x v="0"/>
    <n v="138"/>
    <n v="173.88"/>
    <n v="1932"/>
    <n v="2434.3199999999997"/>
    <x v="219"/>
    <x v="24"/>
    <x v="11"/>
    <x v="1"/>
  </r>
  <r>
    <d v="2022-12-31T00:00:00"/>
    <s v="P0033"/>
    <n v="12"/>
    <x v="1"/>
    <x v="0"/>
    <n v="0"/>
    <x v="38"/>
    <x v="4"/>
    <x v="1"/>
    <n v="95"/>
    <n v="119.7"/>
    <n v="1140"/>
    <n v="1436.4"/>
    <x v="256"/>
    <x v="25"/>
    <x v="11"/>
    <x v="1"/>
  </r>
  <r>
    <d v="2022-12-31T00:00:00"/>
    <s v="P0011"/>
    <n v="6"/>
    <x v="1"/>
    <x v="0"/>
    <n v="0"/>
    <x v="31"/>
    <x v="2"/>
    <x v="2"/>
    <n v="44"/>
    <n v="48.4"/>
    <n v="264"/>
    <n v="290.39999999999998"/>
    <x v="364"/>
    <x v="25"/>
    <x v="11"/>
    <x v="1"/>
  </r>
  <r>
    <d v="2022-12-31T00:00:00"/>
    <s v="P0011"/>
    <n v="3"/>
    <x v="0"/>
    <x v="1"/>
    <n v="0"/>
    <x v="31"/>
    <x v="2"/>
    <x v="2"/>
    <n v="44"/>
    <n v="48.4"/>
    <n v="132"/>
    <n v="145.19999999999999"/>
    <x v="191"/>
    <x v="25"/>
    <x v="1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s v="Ft"/>
    <n v="144"/>
    <n v="156.96"/>
    <n v="1296"/>
    <n v="1412.64"/>
    <n v="116.6400000000001"/>
    <x v="0"/>
    <x v="0"/>
    <x v="0"/>
  </r>
  <r>
    <d v="2021-01-02T00:00:00"/>
    <s v="P0038"/>
    <n v="15"/>
    <x v="1"/>
    <x v="1"/>
    <n v="0"/>
    <x v="1"/>
    <x v="1"/>
    <s v="Kg"/>
    <n v="72"/>
    <n v="79.92"/>
    <n v="1080"/>
    <n v="1198.8"/>
    <n v="118.79999999999995"/>
    <x v="1"/>
    <x v="0"/>
    <x v="0"/>
  </r>
  <r>
    <d v="2021-01-02T00:00:00"/>
    <s v="P0013"/>
    <n v="6"/>
    <x v="2"/>
    <x v="1"/>
    <n v="0"/>
    <x v="2"/>
    <x v="2"/>
    <s v="Kg"/>
    <n v="112"/>
    <n v="122.08"/>
    <n v="672"/>
    <n v="732.48"/>
    <n v="60.480000000000018"/>
    <x v="1"/>
    <x v="0"/>
    <x v="0"/>
  </r>
  <r>
    <d v="2021-01-03T00:00:00"/>
    <s v="P0004"/>
    <n v="5"/>
    <x v="2"/>
    <x v="0"/>
    <n v="0"/>
    <x v="3"/>
    <x v="3"/>
    <s v="Lt"/>
    <n v="44"/>
    <n v="48.84"/>
    <n v="220"/>
    <n v="244.20000000000002"/>
    <n v="24.200000000000017"/>
    <x v="2"/>
    <x v="0"/>
    <x v="0"/>
  </r>
  <r>
    <d v="2021-01-04T00:00:00"/>
    <s v="P0035"/>
    <n v="12"/>
    <x v="1"/>
    <x v="0"/>
    <n v="0"/>
    <x v="4"/>
    <x v="4"/>
    <s v="No."/>
    <n v="5"/>
    <n v="6.7"/>
    <n v="60"/>
    <n v="80.400000000000006"/>
    <n v="20.400000000000006"/>
    <x v="3"/>
    <x v="0"/>
    <x v="0"/>
  </r>
  <r>
    <d v="2021-01-09T00:00:00"/>
    <s v="P0031"/>
    <n v="1"/>
    <x v="2"/>
    <x v="1"/>
    <n v="0"/>
    <x v="5"/>
    <x v="4"/>
    <s v="Kg"/>
    <n v="93"/>
    <n v="104.16"/>
    <n v="93"/>
    <n v="104.16"/>
    <n v="11.159999999999997"/>
    <x v="4"/>
    <x v="0"/>
    <x v="0"/>
  </r>
  <r>
    <d v="2021-01-09T00:00:00"/>
    <s v="P0003"/>
    <n v="8"/>
    <x v="2"/>
    <x v="1"/>
    <n v="0"/>
    <x v="6"/>
    <x v="3"/>
    <s v="Kg"/>
    <n v="71"/>
    <n v="80.94"/>
    <n v="568"/>
    <n v="647.52"/>
    <n v="79.519999999999982"/>
    <x v="4"/>
    <x v="0"/>
    <x v="0"/>
  </r>
  <r>
    <d v="2021-01-09T00:00:00"/>
    <s v="P0025"/>
    <n v="4"/>
    <x v="2"/>
    <x v="0"/>
    <n v="0"/>
    <x v="7"/>
    <x v="0"/>
    <s v="No."/>
    <n v="7"/>
    <n v="8.33"/>
    <n v="28"/>
    <n v="33.32"/>
    <n v="5.32"/>
    <x v="4"/>
    <x v="0"/>
    <x v="0"/>
  </r>
  <r>
    <d v="2021-01-11T00:00:00"/>
    <s v="P0037"/>
    <n v="3"/>
    <x v="2"/>
    <x v="1"/>
    <n v="0"/>
    <x v="8"/>
    <x v="1"/>
    <s v="Kg"/>
    <n v="67"/>
    <n v="85.76"/>
    <n v="201"/>
    <n v="257.28000000000003"/>
    <n v="56.28000000000003"/>
    <x v="5"/>
    <x v="0"/>
    <x v="0"/>
  </r>
  <r>
    <d v="2021-01-11T00:00:00"/>
    <s v="P0014"/>
    <n v="4"/>
    <x v="0"/>
    <x v="0"/>
    <n v="0"/>
    <x v="9"/>
    <x v="2"/>
    <s v="Kg"/>
    <n v="112"/>
    <n v="146.72"/>
    <n v="448"/>
    <n v="586.88"/>
    <n v="138.88"/>
    <x v="5"/>
    <x v="0"/>
    <x v="0"/>
  </r>
  <r>
    <d v="2021-01-11T00:00:00"/>
    <s v="P0042"/>
    <n v="4"/>
    <x v="2"/>
    <x v="0"/>
    <n v="0"/>
    <x v="10"/>
    <x v="1"/>
    <s v="Ft"/>
    <n v="120"/>
    <n v="162"/>
    <n v="480"/>
    <n v="648"/>
    <n v="168"/>
    <x v="5"/>
    <x v="0"/>
    <x v="0"/>
  </r>
  <r>
    <d v="2021-01-12T00:00:00"/>
    <s v="P0042"/>
    <n v="10"/>
    <x v="1"/>
    <x v="1"/>
    <n v="0"/>
    <x v="10"/>
    <x v="1"/>
    <s v="Ft"/>
    <n v="120"/>
    <n v="162"/>
    <n v="1200"/>
    <n v="1620"/>
    <n v="420"/>
    <x v="6"/>
    <x v="0"/>
    <x v="0"/>
  </r>
  <r>
    <d v="2021-01-18T00:00:00"/>
    <s v="P0044"/>
    <n v="13"/>
    <x v="2"/>
    <x v="1"/>
    <n v="0"/>
    <x v="11"/>
    <x v="1"/>
    <s v="Kg"/>
    <n v="76"/>
    <n v="82.08"/>
    <n v="988"/>
    <n v="1067.04"/>
    <n v="79.039999999999964"/>
    <x v="7"/>
    <x v="0"/>
    <x v="0"/>
  </r>
  <r>
    <d v="2021-01-18T00:00:00"/>
    <s v="P0023"/>
    <n v="3"/>
    <x v="1"/>
    <x v="1"/>
    <n v="0"/>
    <x v="12"/>
    <x v="0"/>
    <s v="Ft"/>
    <n v="141"/>
    <n v="149.46"/>
    <n v="423"/>
    <n v="448.38"/>
    <n v="25.379999999999995"/>
    <x v="7"/>
    <x v="0"/>
    <x v="0"/>
  </r>
  <r>
    <d v="2021-01-19T00:00:00"/>
    <s v="P0035"/>
    <n v="6"/>
    <x v="2"/>
    <x v="1"/>
    <n v="0"/>
    <x v="4"/>
    <x v="4"/>
    <s v="No."/>
    <n v="5"/>
    <n v="6.7"/>
    <n v="30"/>
    <n v="40.200000000000003"/>
    <n v="10.200000000000003"/>
    <x v="8"/>
    <x v="0"/>
    <x v="0"/>
  </r>
  <r>
    <d v="2021-01-20T00:00:00"/>
    <s v="P0034"/>
    <n v="4"/>
    <x v="2"/>
    <x v="1"/>
    <n v="0"/>
    <x v="13"/>
    <x v="4"/>
    <s v="Lt"/>
    <n v="55"/>
    <n v="58.3"/>
    <n v="220"/>
    <n v="233.2"/>
    <n v="13.199999999999989"/>
    <x v="9"/>
    <x v="0"/>
    <x v="0"/>
  </r>
  <r>
    <d v="2021-01-20T00:00:00"/>
    <s v="P0020"/>
    <n v="4"/>
    <x v="2"/>
    <x v="1"/>
    <n v="0"/>
    <x v="14"/>
    <x v="0"/>
    <s v="Lt"/>
    <n v="61"/>
    <n v="76.25"/>
    <n v="244"/>
    <n v="305"/>
    <n v="61"/>
    <x v="9"/>
    <x v="0"/>
    <x v="0"/>
  </r>
  <r>
    <d v="2021-01-21T00:00:00"/>
    <s v="P0004"/>
    <n v="15"/>
    <x v="0"/>
    <x v="1"/>
    <n v="0"/>
    <x v="3"/>
    <x v="3"/>
    <s v="Lt"/>
    <n v="44"/>
    <n v="48.84"/>
    <n v="660"/>
    <n v="732.6"/>
    <n v="72.600000000000023"/>
    <x v="10"/>
    <x v="0"/>
    <x v="0"/>
  </r>
  <r>
    <d v="2021-01-21T00:00:00"/>
    <s v="P0003"/>
    <n v="9"/>
    <x v="2"/>
    <x v="0"/>
    <n v="0"/>
    <x v="6"/>
    <x v="3"/>
    <s v="Kg"/>
    <n v="71"/>
    <n v="80.94"/>
    <n v="639"/>
    <n v="728.46"/>
    <n v="89.460000000000036"/>
    <x v="10"/>
    <x v="0"/>
    <x v="0"/>
  </r>
  <r>
    <d v="2021-01-21T00:00:00"/>
    <s v="P0042"/>
    <n v="6"/>
    <x v="2"/>
    <x v="0"/>
    <n v="0"/>
    <x v="10"/>
    <x v="1"/>
    <s v="Ft"/>
    <n v="120"/>
    <n v="162"/>
    <n v="720"/>
    <n v="972"/>
    <n v="252"/>
    <x v="10"/>
    <x v="0"/>
    <x v="0"/>
  </r>
  <r>
    <d v="2021-01-25T00:00:00"/>
    <s v="P0034"/>
    <n v="6"/>
    <x v="2"/>
    <x v="1"/>
    <n v="0"/>
    <x v="13"/>
    <x v="4"/>
    <s v="Lt"/>
    <n v="55"/>
    <n v="58.3"/>
    <n v="330"/>
    <n v="349.79999999999995"/>
    <n v="19.799999999999955"/>
    <x v="11"/>
    <x v="0"/>
    <x v="0"/>
  </r>
  <r>
    <d v="2021-01-25T00:00:00"/>
    <s v="P0035"/>
    <n v="7"/>
    <x v="2"/>
    <x v="0"/>
    <n v="0"/>
    <x v="4"/>
    <x v="4"/>
    <s v="No."/>
    <n v="5"/>
    <n v="6.7"/>
    <n v="35"/>
    <n v="46.9"/>
    <n v="11.899999999999999"/>
    <x v="11"/>
    <x v="0"/>
    <x v="0"/>
  </r>
  <r>
    <d v="2021-01-25T00:00:00"/>
    <s v="P0031"/>
    <n v="14"/>
    <x v="2"/>
    <x v="0"/>
    <n v="0"/>
    <x v="5"/>
    <x v="4"/>
    <s v="Kg"/>
    <n v="93"/>
    <n v="104.16"/>
    <n v="1302"/>
    <n v="1458.24"/>
    <n v="156.24"/>
    <x v="11"/>
    <x v="0"/>
    <x v="0"/>
  </r>
  <r>
    <d v="2021-01-26T00:00:00"/>
    <s v="P0044"/>
    <n v="9"/>
    <x v="0"/>
    <x v="1"/>
    <n v="0"/>
    <x v="11"/>
    <x v="1"/>
    <s v="Kg"/>
    <n v="76"/>
    <n v="82.08"/>
    <n v="684"/>
    <n v="738.72"/>
    <n v="54.720000000000027"/>
    <x v="12"/>
    <x v="0"/>
    <x v="0"/>
  </r>
  <r>
    <d v="2021-01-26T00:00:00"/>
    <s v="P0006"/>
    <n v="7"/>
    <x v="1"/>
    <x v="1"/>
    <n v="0"/>
    <x v="15"/>
    <x v="3"/>
    <s v="Kg"/>
    <n v="75"/>
    <n v="85.5"/>
    <n v="525"/>
    <n v="598.5"/>
    <n v="73.5"/>
    <x v="12"/>
    <x v="0"/>
    <x v="0"/>
  </r>
  <r>
    <d v="2021-01-26T00:00:00"/>
    <s v="P0001"/>
    <n v="7"/>
    <x v="1"/>
    <x v="0"/>
    <n v="0"/>
    <x v="16"/>
    <x v="3"/>
    <s v="Kg"/>
    <n v="98"/>
    <n v="103.88"/>
    <n v="686"/>
    <n v="727.16"/>
    <n v="41.159999999999968"/>
    <x v="12"/>
    <x v="0"/>
    <x v="0"/>
  </r>
  <r>
    <d v="2021-01-27T00:00:00"/>
    <s v="P0040"/>
    <n v="7"/>
    <x v="0"/>
    <x v="0"/>
    <n v="0"/>
    <x v="17"/>
    <x v="1"/>
    <s v="Kg"/>
    <n v="90"/>
    <n v="115.2"/>
    <n v="630"/>
    <n v="806.4"/>
    <n v="176.39999999999998"/>
    <x v="13"/>
    <x v="0"/>
    <x v="0"/>
  </r>
  <r>
    <d v="2021-01-27T00:00:00"/>
    <s v="P0032"/>
    <n v="3"/>
    <x v="0"/>
    <x v="0"/>
    <n v="0"/>
    <x v="18"/>
    <x v="4"/>
    <s v="Kg"/>
    <n v="89"/>
    <n v="117.48"/>
    <n v="267"/>
    <n v="352.44"/>
    <n v="85.44"/>
    <x v="13"/>
    <x v="0"/>
    <x v="0"/>
  </r>
  <r>
    <d v="2021-01-28T00:00:00"/>
    <s v="P0004"/>
    <n v="10"/>
    <x v="1"/>
    <x v="1"/>
    <n v="0"/>
    <x v="3"/>
    <x v="3"/>
    <s v="Lt"/>
    <n v="44"/>
    <n v="48.84"/>
    <n v="440"/>
    <n v="488.40000000000003"/>
    <n v="48.400000000000034"/>
    <x v="14"/>
    <x v="0"/>
    <x v="0"/>
  </r>
  <r>
    <d v="2021-01-28T00:00:00"/>
    <s v="P0029"/>
    <n v="2"/>
    <x v="2"/>
    <x v="1"/>
    <n v="0"/>
    <x v="19"/>
    <x v="4"/>
    <s v="Lt"/>
    <n v="47"/>
    <n v="53.11"/>
    <n v="94"/>
    <n v="106.22"/>
    <n v="12.219999999999999"/>
    <x v="14"/>
    <x v="0"/>
    <x v="0"/>
  </r>
  <r>
    <d v="2021-02-02T00:00:00"/>
    <s v="P0010"/>
    <n v="7"/>
    <x v="1"/>
    <x v="0"/>
    <n v="0"/>
    <x v="20"/>
    <x v="2"/>
    <s v="Ft"/>
    <n v="148"/>
    <n v="164.28"/>
    <n v="1036"/>
    <n v="1149.96"/>
    <n v="113.96000000000004"/>
    <x v="1"/>
    <x v="1"/>
    <x v="0"/>
  </r>
  <r>
    <d v="2021-02-03T00:00:00"/>
    <s v="P0016"/>
    <n v="13"/>
    <x v="2"/>
    <x v="0"/>
    <n v="0"/>
    <x v="21"/>
    <x v="2"/>
    <s v="No."/>
    <n v="13"/>
    <n v="16.64"/>
    <n v="169"/>
    <n v="216.32"/>
    <n v="47.319999999999993"/>
    <x v="2"/>
    <x v="1"/>
    <x v="0"/>
  </r>
  <r>
    <d v="2021-02-03T00:00:00"/>
    <s v="P0022"/>
    <n v="2"/>
    <x v="0"/>
    <x v="1"/>
    <n v="0"/>
    <x v="22"/>
    <x v="0"/>
    <s v="Ft"/>
    <n v="121"/>
    <n v="141.57"/>
    <n v="242"/>
    <n v="283.14"/>
    <n v="41.139999999999986"/>
    <x v="2"/>
    <x v="1"/>
    <x v="0"/>
  </r>
  <r>
    <d v="2021-02-04T00:00:00"/>
    <s v="P0037"/>
    <n v="4"/>
    <x v="1"/>
    <x v="0"/>
    <n v="0"/>
    <x v="8"/>
    <x v="1"/>
    <s v="Kg"/>
    <n v="67"/>
    <n v="85.76"/>
    <n v="268"/>
    <n v="343.04"/>
    <n v="75.04000000000002"/>
    <x v="3"/>
    <x v="1"/>
    <x v="0"/>
  </r>
  <r>
    <d v="2021-02-05T00:00:00"/>
    <s v="P0043"/>
    <n v="7"/>
    <x v="1"/>
    <x v="1"/>
    <n v="0"/>
    <x v="23"/>
    <x v="1"/>
    <s v="Kg"/>
    <n v="67"/>
    <n v="83.08"/>
    <n v="469"/>
    <n v="581.55999999999995"/>
    <n v="112.55999999999995"/>
    <x v="15"/>
    <x v="1"/>
    <x v="0"/>
  </r>
  <r>
    <d v="2021-02-05T00:00:00"/>
    <s v="P0005"/>
    <n v="1"/>
    <x v="2"/>
    <x v="1"/>
    <n v="0"/>
    <x v="24"/>
    <x v="3"/>
    <s v="Ft"/>
    <n v="133"/>
    <n v="155.61000000000001"/>
    <n v="133"/>
    <n v="155.61000000000001"/>
    <n v="22.610000000000014"/>
    <x v="15"/>
    <x v="1"/>
    <x v="0"/>
  </r>
  <r>
    <d v="2021-02-05T00:00:00"/>
    <s v="P0043"/>
    <n v="9"/>
    <x v="2"/>
    <x v="1"/>
    <n v="0"/>
    <x v="23"/>
    <x v="1"/>
    <s v="Kg"/>
    <n v="67"/>
    <n v="83.08"/>
    <n v="603"/>
    <n v="747.72"/>
    <n v="144.72000000000003"/>
    <x v="15"/>
    <x v="1"/>
    <x v="0"/>
  </r>
  <r>
    <d v="2021-02-06T00:00:00"/>
    <s v="P0035"/>
    <n v="1"/>
    <x v="2"/>
    <x v="1"/>
    <n v="0"/>
    <x v="4"/>
    <x v="4"/>
    <s v="No."/>
    <n v="5"/>
    <n v="6.7"/>
    <n v="5"/>
    <n v="6.7"/>
    <n v="1.7000000000000002"/>
    <x v="16"/>
    <x v="1"/>
    <x v="0"/>
  </r>
  <r>
    <d v="2021-02-09T00:00:00"/>
    <s v="P0034"/>
    <n v="14"/>
    <x v="2"/>
    <x v="0"/>
    <n v="0"/>
    <x v="13"/>
    <x v="4"/>
    <s v="Lt"/>
    <n v="55"/>
    <n v="58.3"/>
    <n v="770"/>
    <n v="816.19999999999993"/>
    <n v="46.199999999999932"/>
    <x v="4"/>
    <x v="1"/>
    <x v="0"/>
  </r>
  <r>
    <d v="2021-02-12T00:00:00"/>
    <s v="P0008"/>
    <n v="7"/>
    <x v="2"/>
    <x v="1"/>
    <n v="0"/>
    <x v="25"/>
    <x v="3"/>
    <s v="Kg"/>
    <n v="83"/>
    <n v="94.62"/>
    <n v="581"/>
    <n v="662.34"/>
    <n v="81.340000000000032"/>
    <x v="6"/>
    <x v="1"/>
    <x v="0"/>
  </r>
  <r>
    <d v="2021-02-12T00:00:00"/>
    <s v="P0023"/>
    <n v="9"/>
    <x v="1"/>
    <x v="1"/>
    <n v="0"/>
    <x v="12"/>
    <x v="0"/>
    <s v="Ft"/>
    <n v="141"/>
    <n v="149.46"/>
    <n v="1269"/>
    <n v="1345.14"/>
    <n v="76.1400000000001"/>
    <x v="6"/>
    <x v="1"/>
    <x v="0"/>
  </r>
  <r>
    <d v="2021-02-15T00:00:00"/>
    <s v="P0027"/>
    <n v="4"/>
    <x v="2"/>
    <x v="0"/>
    <n v="0"/>
    <x v="26"/>
    <x v="4"/>
    <s v="Lt"/>
    <n v="48"/>
    <n v="57.120000000000005"/>
    <n v="192"/>
    <n v="228.48000000000002"/>
    <n v="36.480000000000018"/>
    <x v="17"/>
    <x v="1"/>
    <x v="0"/>
  </r>
  <r>
    <d v="2021-02-18T00:00:00"/>
    <s v="P0015"/>
    <n v="6"/>
    <x v="1"/>
    <x v="1"/>
    <n v="0"/>
    <x v="27"/>
    <x v="2"/>
    <s v="No."/>
    <n v="12"/>
    <n v="15.719999999999999"/>
    <n v="72"/>
    <n v="94.32"/>
    <n v="22.319999999999993"/>
    <x v="7"/>
    <x v="1"/>
    <x v="0"/>
  </r>
  <r>
    <d v="2021-02-20T00:00:00"/>
    <s v="P0030"/>
    <n v="11"/>
    <x v="1"/>
    <x v="1"/>
    <n v="0"/>
    <x v="28"/>
    <x v="4"/>
    <s v="Ft"/>
    <n v="148"/>
    <n v="201.28"/>
    <n v="1628"/>
    <n v="2214.08"/>
    <n v="586.07999999999993"/>
    <x v="9"/>
    <x v="1"/>
    <x v="0"/>
  </r>
  <r>
    <d v="2021-02-22T00:00:00"/>
    <s v="P0013"/>
    <n v="5"/>
    <x v="1"/>
    <x v="1"/>
    <n v="0"/>
    <x v="2"/>
    <x v="2"/>
    <s v="Kg"/>
    <n v="112"/>
    <n v="122.08"/>
    <n v="560"/>
    <n v="610.4"/>
    <n v="50.399999999999977"/>
    <x v="18"/>
    <x v="1"/>
    <x v="0"/>
  </r>
  <r>
    <d v="2021-02-23T00:00:00"/>
    <s v="P0025"/>
    <n v="3"/>
    <x v="2"/>
    <x v="1"/>
    <n v="0"/>
    <x v="7"/>
    <x v="0"/>
    <s v="No."/>
    <n v="7"/>
    <n v="8.33"/>
    <n v="21"/>
    <n v="24.990000000000002"/>
    <n v="3.990000000000002"/>
    <x v="19"/>
    <x v="1"/>
    <x v="0"/>
  </r>
  <r>
    <d v="2021-02-23T00:00:00"/>
    <s v="P0005"/>
    <n v="2"/>
    <x v="2"/>
    <x v="0"/>
    <n v="0"/>
    <x v="24"/>
    <x v="3"/>
    <s v="Ft"/>
    <n v="133"/>
    <n v="155.61000000000001"/>
    <n v="266"/>
    <n v="311.22000000000003"/>
    <n v="45.220000000000027"/>
    <x v="19"/>
    <x v="1"/>
    <x v="0"/>
  </r>
  <r>
    <d v="2021-02-25T00:00:00"/>
    <s v="P0002"/>
    <n v="4"/>
    <x v="0"/>
    <x v="0"/>
    <n v="0"/>
    <x v="29"/>
    <x v="3"/>
    <s v="Kg"/>
    <n v="105"/>
    <n v="142.80000000000001"/>
    <n v="420"/>
    <n v="571.20000000000005"/>
    <n v="151.20000000000005"/>
    <x v="11"/>
    <x v="1"/>
    <x v="0"/>
  </r>
  <r>
    <d v="2021-02-25T00:00:00"/>
    <s v="P0032"/>
    <n v="11"/>
    <x v="1"/>
    <x v="1"/>
    <n v="0"/>
    <x v="18"/>
    <x v="4"/>
    <s v="Kg"/>
    <n v="89"/>
    <n v="117.48"/>
    <n v="979"/>
    <n v="1292.28"/>
    <n v="313.27999999999997"/>
    <x v="11"/>
    <x v="1"/>
    <x v="0"/>
  </r>
  <r>
    <d v="2021-02-25T00:00:00"/>
    <s v="P0030"/>
    <n v="2"/>
    <x v="2"/>
    <x v="0"/>
    <n v="0"/>
    <x v="28"/>
    <x v="4"/>
    <s v="Ft"/>
    <n v="148"/>
    <n v="201.28"/>
    <n v="296"/>
    <n v="402.56"/>
    <n v="106.56"/>
    <x v="11"/>
    <x v="1"/>
    <x v="0"/>
  </r>
  <r>
    <d v="2021-02-27T00:00:00"/>
    <s v="P0018"/>
    <n v="11"/>
    <x v="0"/>
    <x v="0"/>
    <n v="0"/>
    <x v="30"/>
    <x v="2"/>
    <s v="No."/>
    <n v="37"/>
    <n v="49.21"/>
    <n v="407"/>
    <n v="541.31000000000006"/>
    <n v="134.31000000000006"/>
    <x v="13"/>
    <x v="1"/>
    <x v="0"/>
  </r>
  <r>
    <d v="2021-03-03T00:00:00"/>
    <s v="P0011"/>
    <n v="1"/>
    <x v="2"/>
    <x v="0"/>
    <n v="0"/>
    <x v="31"/>
    <x v="2"/>
    <s v="Lt"/>
    <n v="44"/>
    <n v="48.4"/>
    <n v="44"/>
    <n v="48.4"/>
    <n v="4.3999999999999986"/>
    <x v="2"/>
    <x v="2"/>
    <x v="0"/>
  </r>
  <r>
    <d v="2021-03-07T00:00:00"/>
    <s v="P0021"/>
    <n v="9"/>
    <x v="2"/>
    <x v="1"/>
    <n v="0"/>
    <x v="32"/>
    <x v="0"/>
    <s v="Ft"/>
    <n v="126"/>
    <n v="162.54"/>
    <n v="1134"/>
    <n v="1462.86"/>
    <n v="328.8599999999999"/>
    <x v="20"/>
    <x v="2"/>
    <x v="0"/>
  </r>
  <r>
    <d v="2021-03-08T00:00:00"/>
    <s v="P0027"/>
    <n v="6"/>
    <x v="1"/>
    <x v="1"/>
    <n v="0"/>
    <x v="26"/>
    <x v="4"/>
    <s v="Lt"/>
    <n v="48"/>
    <n v="57.120000000000005"/>
    <n v="288"/>
    <n v="342.72"/>
    <n v="54.720000000000027"/>
    <x v="21"/>
    <x v="2"/>
    <x v="0"/>
  </r>
  <r>
    <d v="2021-03-08T00:00:00"/>
    <s v="P0044"/>
    <n v="9"/>
    <x v="1"/>
    <x v="0"/>
    <n v="0"/>
    <x v="11"/>
    <x v="1"/>
    <s v="Kg"/>
    <n v="76"/>
    <n v="82.08"/>
    <n v="684"/>
    <n v="738.72"/>
    <n v="54.720000000000027"/>
    <x v="21"/>
    <x v="2"/>
    <x v="0"/>
  </r>
  <r>
    <d v="2021-03-09T00:00:00"/>
    <s v="P0029"/>
    <n v="6"/>
    <x v="0"/>
    <x v="0"/>
    <n v="0"/>
    <x v="19"/>
    <x v="4"/>
    <s v="Lt"/>
    <n v="47"/>
    <n v="53.11"/>
    <n v="282"/>
    <n v="318.65999999999997"/>
    <n v="36.659999999999968"/>
    <x v="4"/>
    <x v="2"/>
    <x v="0"/>
  </r>
  <r>
    <d v="2021-03-11T00:00:00"/>
    <s v="P0025"/>
    <n v="11"/>
    <x v="2"/>
    <x v="1"/>
    <n v="0"/>
    <x v="7"/>
    <x v="0"/>
    <s v="No."/>
    <n v="7"/>
    <n v="8.33"/>
    <n v="77"/>
    <n v="91.63"/>
    <n v="14.629999999999995"/>
    <x v="5"/>
    <x v="2"/>
    <x v="0"/>
  </r>
  <r>
    <d v="2021-03-13T00:00:00"/>
    <s v="P0028"/>
    <n v="10"/>
    <x v="0"/>
    <x v="1"/>
    <n v="0"/>
    <x v="33"/>
    <x v="4"/>
    <s v="No."/>
    <n v="37"/>
    <n v="41.81"/>
    <n v="370"/>
    <n v="418.1"/>
    <n v="48.100000000000023"/>
    <x v="22"/>
    <x v="2"/>
    <x v="0"/>
  </r>
  <r>
    <d v="2021-03-15T00:00:00"/>
    <s v="P0039"/>
    <n v="11"/>
    <x v="1"/>
    <x v="1"/>
    <n v="0"/>
    <x v="34"/>
    <x v="1"/>
    <s v="No."/>
    <n v="37"/>
    <n v="42.55"/>
    <n v="407"/>
    <n v="468.04999999999995"/>
    <n v="61.049999999999955"/>
    <x v="17"/>
    <x v="2"/>
    <x v="0"/>
  </r>
  <r>
    <d v="2021-03-16T00:00:00"/>
    <s v="P0012"/>
    <n v="14"/>
    <x v="2"/>
    <x v="1"/>
    <n v="0"/>
    <x v="35"/>
    <x v="2"/>
    <s v="Kg"/>
    <n v="73"/>
    <n v="94.17"/>
    <n v="1022"/>
    <n v="1318.38"/>
    <n v="296.38000000000011"/>
    <x v="23"/>
    <x v="2"/>
    <x v="0"/>
  </r>
  <r>
    <d v="2021-03-18T00:00:00"/>
    <s v="P0042"/>
    <n v="8"/>
    <x v="0"/>
    <x v="1"/>
    <n v="0"/>
    <x v="10"/>
    <x v="1"/>
    <s v="Ft"/>
    <n v="120"/>
    <n v="162"/>
    <n v="960"/>
    <n v="1296"/>
    <n v="336"/>
    <x v="7"/>
    <x v="2"/>
    <x v="0"/>
  </r>
  <r>
    <d v="2021-03-19T00:00:00"/>
    <s v="P0028"/>
    <n v="9"/>
    <x v="1"/>
    <x v="1"/>
    <n v="0"/>
    <x v="33"/>
    <x v="4"/>
    <s v="No."/>
    <n v="37"/>
    <n v="41.81"/>
    <n v="333"/>
    <n v="376.29"/>
    <n v="43.29000000000002"/>
    <x v="8"/>
    <x v="2"/>
    <x v="0"/>
  </r>
  <r>
    <d v="2021-03-21T00:00:00"/>
    <s v="P0020"/>
    <n v="13"/>
    <x v="1"/>
    <x v="0"/>
    <n v="0"/>
    <x v="14"/>
    <x v="0"/>
    <s v="Lt"/>
    <n v="61"/>
    <n v="76.25"/>
    <n v="793"/>
    <n v="991.25"/>
    <n v="198.25"/>
    <x v="10"/>
    <x v="2"/>
    <x v="0"/>
  </r>
  <r>
    <d v="2021-03-21T00:00:00"/>
    <s v="P0039"/>
    <n v="7"/>
    <x v="2"/>
    <x v="0"/>
    <n v="0"/>
    <x v="34"/>
    <x v="1"/>
    <s v="No."/>
    <n v="37"/>
    <n v="42.55"/>
    <n v="259"/>
    <n v="297.84999999999997"/>
    <n v="38.849999999999966"/>
    <x v="10"/>
    <x v="2"/>
    <x v="0"/>
  </r>
  <r>
    <d v="2021-03-22T00:00:00"/>
    <s v="P0002"/>
    <n v="8"/>
    <x v="1"/>
    <x v="0"/>
    <n v="0"/>
    <x v="29"/>
    <x v="3"/>
    <s v="Kg"/>
    <n v="105"/>
    <n v="142.80000000000001"/>
    <n v="840"/>
    <n v="1142.4000000000001"/>
    <n v="302.40000000000009"/>
    <x v="18"/>
    <x v="2"/>
    <x v="0"/>
  </r>
  <r>
    <d v="2021-03-22T00:00:00"/>
    <s v="P0012"/>
    <n v="4"/>
    <x v="1"/>
    <x v="0"/>
    <n v="0"/>
    <x v="35"/>
    <x v="2"/>
    <s v="Kg"/>
    <n v="73"/>
    <n v="94.17"/>
    <n v="292"/>
    <n v="376.68"/>
    <n v="84.68"/>
    <x v="18"/>
    <x v="2"/>
    <x v="0"/>
  </r>
  <r>
    <d v="2021-03-25T00:00:00"/>
    <s v="P0024"/>
    <n v="14"/>
    <x v="1"/>
    <x v="1"/>
    <n v="0"/>
    <x v="0"/>
    <x v="0"/>
    <s v="Ft"/>
    <n v="144"/>
    <n v="156.96"/>
    <n v="2016"/>
    <n v="2197.44"/>
    <n v="181.44000000000005"/>
    <x v="11"/>
    <x v="2"/>
    <x v="0"/>
  </r>
  <r>
    <d v="2021-03-25T00:00:00"/>
    <s v="P0006"/>
    <n v="4"/>
    <x v="2"/>
    <x v="1"/>
    <n v="0"/>
    <x v="15"/>
    <x v="3"/>
    <s v="Kg"/>
    <n v="75"/>
    <n v="85.5"/>
    <n v="300"/>
    <n v="342"/>
    <n v="42"/>
    <x v="11"/>
    <x v="2"/>
    <x v="0"/>
  </r>
  <r>
    <d v="2021-03-25T00:00:00"/>
    <s v="P0029"/>
    <n v="8"/>
    <x v="2"/>
    <x v="1"/>
    <n v="0"/>
    <x v="19"/>
    <x v="4"/>
    <s v="Lt"/>
    <n v="47"/>
    <n v="53.11"/>
    <n v="376"/>
    <n v="424.88"/>
    <n v="48.879999999999995"/>
    <x v="11"/>
    <x v="2"/>
    <x v="0"/>
  </r>
  <r>
    <d v="2021-03-25T00:00:00"/>
    <s v="P0038"/>
    <n v="2"/>
    <x v="2"/>
    <x v="0"/>
    <n v="0"/>
    <x v="1"/>
    <x v="1"/>
    <s v="Kg"/>
    <n v="72"/>
    <n v="79.92"/>
    <n v="144"/>
    <n v="159.84"/>
    <n v="15.840000000000003"/>
    <x v="11"/>
    <x v="2"/>
    <x v="0"/>
  </r>
  <r>
    <d v="2021-03-26T00:00:00"/>
    <s v="P0001"/>
    <n v="4"/>
    <x v="2"/>
    <x v="1"/>
    <n v="0"/>
    <x v="16"/>
    <x v="3"/>
    <s v="Kg"/>
    <n v="98"/>
    <n v="103.88"/>
    <n v="392"/>
    <n v="415.52"/>
    <n v="23.519999999999982"/>
    <x v="12"/>
    <x v="2"/>
    <x v="0"/>
  </r>
  <r>
    <d v="2021-03-26T00:00:00"/>
    <s v="P0042"/>
    <n v="1"/>
    <x v="2"/>
    <x v="1"/>
    <n v="0"/>
    <x v="10"/>
    <x v="1"/>
    <s v="Ft"/>
    <n v="120"/>
    <n v="162"/>
    <n v="120"/>
    <n v="162"/>
    <n v="42"/>
    <x v="12"/>
    <x v="2"/>
    <x v="0"/>
  </r>
  <r>
    <d v="2021-03-26T00:00:00"/>
    <s v="P0010"/>
    <n v="9"/>
    <x v="2"/>
    <x v="0"/>
    <n v="0"/>
    <x v="20"/>
    <x v="2"/>
    <s v="Ft"/>
    <n v="148"/>
    <n v="164.28"/>
    <n v="1332"/>
    <n v="1478.52"/>
    <n v="146.51999999999998"/>
    <x v="12"/>
    <x v="2"/>
    <x v="0"/>
  </r>
  <r>
    <d v="2021-03-27T00:00:00"/>
    <s v="P0030"/>
    <n v="3"/>
    <x v="2"/>
    <x v="0"/>
    <n v="0"/>
    <x v="28"/>
    <x v="4"/>
    <s v="Ft"/>
    <n v="148"/>
    <n v="201.28"/>
    <n v="444"/>
    <n v="603.84"/>
    <n v="159.84000000000003"/>
    <x v="13"/>
    <x v="2"/>
    <x v="0"/>
  </r>
  <r>
    <d v="2021-03-28T00:00:00"/>
    <s v="P0007"/>
    <n v="8"/>
    <x v="1"/>
    <x v="1"/>
    <n v="0"/>
    <x v="36"/>
    <x v="3"/>
    <s v="Lt"/>
    <n v="43"/>
    <n v="47.730000000000004"/>
    <n v="344"/>
    <n v="381.84000000000003"/>
    <n v="37.840000000000032"/>
    <x v="14"/>
    <x v="2"/>
    <x v="0"/>
  </r>
  <r>
    <d v="2021-03-30T00:00:00"/>
    <s v="P0038"/>
    <n v="1"/>
    <x v="1"/>
    <x v="1"/>
    <n v="0"/>
    <x v="1"/>
    <x v="1"/>
    <s v="Kg"/>
    <n v="72"/>
    <n v="79.92"/>
    <n v="72"/>
    <n v="79.92"/>
    <n v="7.9200000000000017"/>
    <x v="24"/>
    <x v="2"/>
    <x v="0"/>
  </r>
  <r>
    <d v="2021-03-31T00:00:00"/>
    <s v="P0042"/>
    <n v="3"/>
    <x v="2"/>
    <x v="1"/>
    <n v="0"/>
    <x v="10"/>
    <x v="1"/>
    <s v="Ft"/>
    <n v="120"/>
    <n v="162"/>
    <n v="360"/>
    <n v="486"/>
    <n v="126"/>
    <x v="25"/>
    <x v="2"/>
    <x v="0"/>
  </r>
  <r>
    <d v="2021-04-04T00:00:00"/>
    <s v="P0040"/>
    <n v="4"/>
    <x v="2"/>
    <x v="1"/>
    <n v="0"/>
    <x v="17"/>
    <x v="1"/>
    <s v="Kg"/>
    <n v="90"/>
    <n v="115.2"/>
    <n v="360"/>
    <n v="460.8"/>
    <n v="100.80000000000001"/>
    <x v="3"/>
    <x v="3"/>
    <x v="0"/>
  </r>
  <r>
    <d v="2021-04-04T00:00:00"/>
    <s v="P0009"/>
    <n v="9"/>
    <x v="1"/>
    <x v="1"/>
    <n v="0"/>
    <x v="37"/>
    <x v="0"/>
    <s v="No."/>
    <n v="6"/>
    <n v="7.8599999999999994"/>
    <n v="54"/>
    <n v="70.739999999999995"/>
    <n v="16.739999999999995"/>
    <x v="3"/>
    <x v="3"/>
    <x v="0"/>
  </r>
  <r>
    <d v="2021-04-05T00:00:00"/>
    <s v="P0031"/>
    <n v="15"/>
    <x v="1"/>
    <x v="0"/>
    <n v="0"/>
    <x v="5"/>
    <x v="4"/>
    <s v="Kg"/>
    <n v="93"/>
    <n v="104.16"/>
    <n v="1395"/>
    <n v="1562.3999999999999"/>
    <n v="167.39999999999986"/>
    <x v="15"/>
    <x v="3"/>
    <x v="0"/>
  </r>
  <r>
    <d v="2021-04-09T00:00:00"/>
    <s v="P0005"/>
    <n v="3"/>
    <x v="1"/>
    <x v="0"/>
    <n v="0"/>
    <x v="24"/>
    <x v="3"/>
    <s v="Ft"/>
    <n v="133"/>
    <n v="155.61000000000001"/>
    <n v="399"/>
    <n v="466.83000000000004"/>
    <n v="67.830000000000041"/>
    <x v="4"/>
    <x v="3"/>
    <x v="0"/>
  </r>
  <r>
    <d v="2021-04-10T00:00:00"/>
    <s v="P0022"/>
    <n v="14"/>
    <x v="2"/>
    <x v="0"/>
    <n v="0"/>
    <x v="22"/>
    <x v="0"/>
    <s v="Ft"/>
    <n v="121"/>
    <n v="141.57"/>
    <n v="1694"/>
    <n v="1981.98"/>
    <n v="287.98"/>
    <x v="26"/>
    <x v="3"/>
    <x v="0"/>
  </r>
  <r>
    <d v="2021-04-12T00:00:00"/>
    <s v="P0037"/>
    <n v="3"/>
    <x v="2"/>
    <x v="1"/>
    <n v="0"/>
    <x v="8"/>
    <x v="1"/>
    <s v="Kg"/>
    <n v="67"/>
    <n v="85.76"/>
    <n v="201"/>
    <n v="257.28000000000003"/>
    <n v="56.28000000000003"/>
    <x v="6"/>
    <x v="3"/>
    <x v="0"/>
  </r>
  <r>
    <d v="2021-04-12T00:00:00"/>
    <s v="P0029"/>
    <n v="4"/>
    <x v="2"/>
    <x v="0"/>
    <n v="0"/>
    <x v="19"/>
    <x v="4"/>
    <s v="Lt"/>
    <n v="47"/>
    <n v="53.11"/>
    <n v="188"/>
    <n v="212.44"/>
    <n v="24.439999999999998"/>
    <x v="6"/>
    <x v="3"/>
    <x v="0"/>
  </r>
  <r>
    <d v="2021-04-12T00:00:00"/>
    <s v="P0027"/>
    <n v="9"/>
    <x v="2"/>
    <x v="0"/>
    <n v="0"/>
    <x v="26"/>
    <x v="4"/>
    <s v="Lt"/>
    <n v="48"/>
    <n v="57.120000000000005"/>
    <n v="432"/>
    <n v="514.08000000000004"/>
    <n v="82.080000000000041"/>
    <x v="6"/>
    <x v="3"/>
    <x v="0"/>
  </r>
  <r>
    <d v="2021-04-12T00:00:00"/>
    <s v="P0033"/>
    <n v="13"/>
    <x v="2"/>
    <x v="1"/>
    <n v="0"/>
    <x v="38"/>
    <x v="4"/>
    <s v="Kg"/>
    <n v="95"/>
    <n v="119.7"/>
    <n v="1235"/>
    <n v="1556.1000000000001"/>
    <n v="321.10000000000014"/>
    <x v="6"/>
    <x v="3"/>
    <x v="0"/>
  </r>
  <r>
    <d v="2021-04-15T00:00:00"/>
    <s v="P0017"/>
    <n v="3"/>
    <x v="2"/>
    <x v="0"/>
    <n v="0"/>
    <x v="39"/>
    <x v="2"/>
    <s v="Ft"/>
    <n v="134"/>
    <n v="156.78"/>
    <n v="402"/>
    <n v="470.34000000000003"/>
    <n v="68.340000000000032"/>
    <x v="17"/>
    <x v="3"/>
    <x v="0"/>
  </r>
  <r>
    <d v="2021-04-16T00:00:00"/>
    <s v="P0018"/>
    <n v="15"/>
    <x v="2"/>
    <x v="1"/>
    <n v="0"/>
    <x v="30"/>
    <x v="2"/>
    <s v="No."/>
    <n v="37"/>
    <n v="49.21"/>
    <n v="555"/>
    <n v="738.15"/>
    <n v="183.14999999999998"/>
    <x v="23"/>
    <x v="3"/>
    <x v="0"/>
  </r>
  <r>
    <d v="2021-04-18T00:00:00"/>
    <s v="P0038"/>
    <n v="9"/>
    <x v="0"/>
    <x v="0"/>
    <n v="0"/>
    <x v="1"/>
    <x v="1"/>
    <s v="Kg"/>
    <n v="72"/>
    <n v="79.92"/>
    <n v="648"/>
    <n v="719.28"/>
    <n v="71.279999999999973"/>
    <x v="7"/>
    <x v="3"/>
    <x v="0"/>
  </r>
  <r>
    <d v="2021-04-18T00:00:00"/>
    <s v="P0019"/>
    <n v="13"/>
    <x v="2"/>
    <x v="1"/>
    <n v="0"/>
    <x v="40"/>
    <x v="2"/>
    <s v="Ft"/>
    <n v="150"/>
    <n v="210"/>
    <n v="1950"/>
    <n v="2730"/>
    <n v="780"/>
    <x v="7"/>
    <x v="3"/>
    <x v="0"/>
  </r>
  <r>
    <d v="2021-04-23T00:00:00"/>
    <s v="P0042"/>
    <n v="6"/>
    <x v="2"/>
    <x v="0"/>
    <n v="0"/>
    <x v="10"/>
    <x v="1"/>
    <s v="Ft"/>
    <n v="120"/>
    <n v="162"/>
    <n v="720"/>
    <n v="972"/>
    <n v="252"/>
    <x v="19"/>
    <x v="3"/>
    <x v="0"/>
  </r>
  <r>
    <d v="2021-04-23T00:00:00"/>
    <s v="P0028"/>
    <n v="10"/>
    <x v="2"/>
    <x v="0"/>
    <n v="0"/>
    <x v="33"/>
    <x v="4"/>
    <s v="No."/>
    <n v="37"/>
    <n v="41.81"/>
    <n v="370"/>
    <n v="418.1"/>
    <n v="48.100000000000023"/>
    <x v="19"/>
    <x v="3"/>
    <x v="0"/>
  </r>
  <r>
    <d v="2021-04-24T00:00:00"/>
    <s v="P0030"/>
    <n v="2"/>
    <x v="1"/>
    <x v="0"/>
    <n v="0"/>
    <x v="28"/>
    <x v="4"/>
    <s v="Ft"/>
    <n v="148"/>
    <n v="201.28"/>
    <n v="296"/>
    <n v="402.56"/>
    <n v="106.56"/>
    <x v="27"/>
    <x v="3"/>
    <x v="0"/>
  </r>
  <r>
    <d v="2021-04-26T00:00:00"/>
    <s v="P0037"/>
    <n v="3"/>
    <x v="2"/>
    <x v="0"/>
    <n v="0"/>
    <x v="8"/>
    <x v="1"/>
    <s v="Kg"/>
    <n v="67"/>
    <n v="85.76"/>
    <n v="201"/>
    <n v="257.28000000000003"/>
    <n v="56.28000000000003"/>
    <x v="12"/>
    <x v="3"/>
    <x v="0"/>
  </r>
  <r>
    <d v="2021-04-29T00:00:00"/>
    <s v="P0030"/>
    <n v="7"/>
    <x v="2"/>
    <x v="0"/>
    <n v="0"/>
    <x v="28"/>
    <x v="4"/>
    <s v="Ft"/>
    <n v="148"/>
    <n v="201.28"/>
    <n v="1036"/>
    <n v="1408.96"/>
    <n v="372.96000000000004"/>
    <x v="28"/>
    <x v="3"/>
    <x v="0"/>
  </r>
  <r>
    <d v="2021-04-30T00:00:00"/>
    <s v="P0029"/>
    <n v="1"/>
    <x v="2"/>
    <x v="0"/>
    <n v="0"/>
    <x v="19"/>
    <x v="4"/>
    <s v="Lt"/>
    <n v="47"/>
    <n v="53.11"/>
    <n v="47"/>
    <n v="53.11"/>
    <n v="6.1099999999999994"/>
    <x v="24"/>
    <x v="3"/>
    <x v="0"/>
  </r>
  <r>
    <d v="2021-05-01T00:00:00"/>
    <s v="P0018"/>
    <n v="3"/>
    <x v="1"/>
    <x v="1"/>
    <n v="0"/>
    <x v="30"/>
    <x v="2"/>
    <s v="No."/>
    <n v="37"/>
    <n v="49.21"/>
    <n v="111"/>
    <n v="147.63"/>
    <n v="36.629999999999995"/>
    <x v="0"/>
    <x v="4"/>
    <x v="0"/>
  </r>
  <r>
    <d v="2021-05-01T00:00:00"/>
    <s v="P0042"/>
    <n v="1"/>
    <x v="1"/>
    <x v="1"/>
    <n v="0"/>
    <x v="10"/>
    <x v="1"/>
    <s v="Ft"/>
    <n v="120"/>
    <n v="162"/>
    <n v="120"/>
    <n v="162"/>
    <n v="42"/>
    <x v="0"/>
    <x v="4"/>
    <x v="0"/>
  </r>
  <r>
    <d v="2021-05-03T00:00:00"/>
    <s v="P0034"/>
    <n v="3"/>
    <x v="1"/>
    <x v="0"/>
    <n v="0"/>
    <x v="13"/>
    <x v="4"/>
    <s v="Lt"/>
    <n v="55"/>
    <n v="58.3"/>
    <n v="165"/>
    <n v="174.89999999999998"/>
    <n v="9.8999999999999773"/>
    <x v="2"/>
    <x v="4"/>
    <x v="0"/>
  </r>
  <r>
    <d v="2021-05-04T00:00:00"/>
    <s v="P0015"/>
    <n v="13"/>
    <x v="1"/>
    <x v="0"/>
    <n v="0"/>
    <x v="27"/>
    <x v="2"/>
    <s v="No."/>
    <n v="12"/>
    <n v="15.719999999999999"/>
    <n v="156"/>
    <n v="204.35999999999999"/>
    <n v="48.359999999999985"/>
    <x v="3"/>
    <x v="4"/>
    <x v="0"/>
  </r>
  <r>
    <d v="2021-05-04T00:00:00"/>
    <s v="P0014"/>
    <n v="4"/>
    <x v="2"/>
    <x v="1"/>
    <n v="0"/>
    <x v="9"/>
    <x v="2"/>
    <s v="Kg"/>
    <n v="112"/>
    <n v="146.72"/>
    <n v="448"/>
    <n v="586.88"/>
    <n v="138.88"/>
    <x v="3"/>
    <x v="4"/>
    <x v="0"/>
  </r>
  <r>
    <d v="2021-05-05T00:00:00"/>
    <s v="P0009"/>
    <n v="13"/>
    <x v="2"/>
    <x v="1"/>
    <n v="0"/>
    <x v="37"/>
    <x v="0"/>
    <s v="No."/>
    <n v="6"/>
    <n v="7.8599999999999994"/>
    <n v="78"/>
    <n v="102.17999999999999"/>
    <n v="24.179999999999993"/>
    <x v="15"/>
    <x v="4"/>
    <x v="0"/>
  </r>
  <r>
    <d v="2021-05-06T00:00:00"/>
    <s v="P0008"/>
    <n v="15"/>
    <x v="2"/>
    <x v="0"/>
    <n v="0"/>
    <x v="25"/>
    <x v="3"/>
    <s v="Kg"/>
    <n v="83"/>
    <n v="94.62"/>
    <n v="1245"/>
    <n v="1419.3000000000002"/>
    <n v="174.30000000000018"/>
    <x v="16"/>
    <x v="4"/>
    <x v="0"/>
  </r>
  <r>
    <d v="2021-05-06T00:00:00"/>
    <s v="P0009"/>
    <n v="6"/>
    <x v="1"/>
    <x v="0"/>
    <n v="0"/>
    <x v="37"/>
    <x v="0"/>
    <s v="No."/>
    <n v="6"/>
    <n v="7.8599999999999994"/>
    <n v="36"/>
    <n v="47.16"/>
    <n v="11.159999999999997"/>
    <x v="16"/>
    <x v="4"/>
    <x v="0"/>
  </r>
  <r>
    <d v="2021-05-07T00:00:00"/>
    <s v="P0018"/>
    <n v="1"/>
    <x v="2"/>
    <x v="1"/>
    <n v="0"/>
    <x v="30"/>
    <x v="2"/>
    <s v="No."/>
    <n v="37"/>
    <n v="49.21"/>
    <n v="37"/>
    <n v="49.21"/>
    <n v="12.21"/>
    <x v="20"/>
    <x v="4"/>
    <x v="0"/>
  </r>
  <r>
    <d v="2021-05-09T00:00:00"/>
    <s v="P0016"/>
    <n v="6"/>
    <x v="1"/>
    <x v="0"/>
    <n v="0"/>
    <x v="21"/>
    <x v="2"/>
    <s v="No."/>
    <n v="13"/>
    <n v="16.64"/>
    <n v="78"/>
    <n v="99.84"/>
    <n v="21.840000000000003"/>
    <x v="4"/>
    <x v="4"/>
    <x v="0"/>
  </r>
  <r>
    <d v="2021-05-09T00:00:00"/>
    <s v="P0028"/>
    <n v="8"/>
    <x v="2"/>
    <x v="1"/>
    <n v="0"/>
    <x v="33"/>
    <x v="4"/>
    <s v="No."/>
    <n v="37"/>
    <n v="41.81"/>
    <n v="296"/>
    <n v="334.48"/>
    <n v="38.480000000000018"/>
    <x v="4"/>
    <x v="4"/>
    <x v="0"/>
  </r>
  <r>
    <d v="2021-05-12T00:00:00"/>
    <s v="P0016"/>
    <n v="3"/>
    <x v="2"/>
    <x v="0"/>
    <n v="0"/>
    <x v="21"/>
    <x v="2"/>
    <s v="No."/>
    <n v="13"/>
    <n v="16.64"/>
    <n v="39"/>
    <n v="49.92"/>
    <n v="10.920000000000002"/>
    <x v="6"/>
    <x v="4"/>
    <x v="0"/>
  </r>
  <r>
    <d v="2021-05-12T00:00:00"/>
    <s v="P0035"/>
    <n v="15"/>
    <x v="2"/>
    <x v="0"/>
    <n v="0"/>
    <x v="4"/>
    <x v="4"/>
    <s v="No."/>
    <n v="5"/>
    <n v="6.7"/>
    <n v="75"/>
    <n v="100.5"/>
    <n v="25.5"/>
    <x v="6"/>
    <x v="4"/>
    <x v="0"/>
  </r>
  <r>
    <d v="2021-05-13T00:00:00"/>
    <s v="P0029"/>
    <n v="4"/>
    <x v="2"/>
    <x v="0"/>
    <n v="0"/>
    <x v="19"/>
    <x v="4"/>
    <s v="Lt"/>
    <n v="47"/>
    <n v="53.11"/>
    <n v="188"/>
    <n v="212.44"/>
    <n v="24.439999999999998"/>
    <x v="22"/>
    <x v="4"/>
    <x v="0"/>
  </r>
  <r>
    <d v="2021-05-20T00:00:00"/>
    <s v="P0042"/>
    <n v="2"/>
    <x v="1"/>
    <x v="1"/>
    <n v="0"/>
    <x v="10"/>
    <x v="1"/>
    <s v="Ft"/>
    <n v="120"/>
    <n v="162"/>
    <n v="240"/>
    <n v="324"/>
    <n v="84"/>
    <x v="9"/>
    <x v="4"/>
    <x v="0"/>
  </r>
  <r>
    <d v="2021-05-23T00:00:00"/>
    <s v="P0040"/>
    <n v="11"/>
    <x v="2"/>
    <x v="0"/>
    <n v="0"/>
    <x v="17"/>
    <x v="1"/>
    <s v="Kg"/>
    <n v="90"/>
    <n v="115.2"/>
    <n v="990"/>
    <n v="1267.2"/>
    <n v="277.20000000000005"/>
    <x v="19"/>
    <x v="4"/>
    <x v="0"/>
  </r>
  <r>
    <d v="2021-05-30T00:00:00"/>
    <s v="P0023"/>
    <n v="13"/>
    <x v="1"/>
    <x v="0"/>
    <n v="0"/>
    <x v="12"/>
    <x v="0"/>
    <s v="Ft"/>
    <n v="141"/>
    <n v="149.46"/>
    <n v="1833"/>
    <n v="1942.98"/>
    <n v="109.98000000000002"/>
    <x v="24"/>
    <x v="4"/>
    <x v="0"/>
  </r>
  <r>
    <d v="2021-05-30T00:00:00"/>
    <s v="P0013"/>
    <n v="6"/>
    <x v="1"/>
    <x v="1"/>
    <n v="0"/>
    <x v="2"/>
    <x v="2"/>
    <s v="Kg"/>
    <n v="112"/>
    <n v="122.08"/>
    <n v="672"/>
    <n v="732.48"/>
    <n v="60.480000000000018"/>
    <x v="24"/>
    <x v="4"/>
    <x v="0"/>
  </r>
  <r>
    <d v="2021-06-03T00:00:00"/>
    <s v="P0021"/>
    <n v="10"/>
    <x v="2"/>
    <x v="1"/>
    <n v="0"/>
    <x v="32"/>
    <x v="0"/>
    <s v="Ft"/>
    <n v="126"/>
    <n v="162.54"/>
    <n v="1260"/>
    <n v="1625.3999999999999"/>
    <n v="365.39999999999986"/>
    <x v="2"/>
    <x v="5"/>
    <x v="0"/>
  </r>
  <r>
    <d v="2021-06-04T00:00:00"/>
    <s v="P0020"/>
    <n v="8"/>
    <x v="0"/>
    <x v="0"/>
    <n v="0"/>
    <x v="14"/>
    <x v="0"/>
    <s v="Lt"/>
    <n v="61"/>
    <n v="76.25"/>
    <n v="488"/>
    <n v="610"/>
    <n v="122"/>
    <x v="3"/>
    <x v="5"/>
    <x v="0"/>
  </r>
  <r>
    <d v="2021-06-04T00:00:00"/>
    <s v="P0020"/>
    <n v="12"/>
    <x v="1"/>
    <x v="1"/>
    <n v="0"/>
    <x v="14"/>
    <x v="0"/>
    <s v="Lt"/>
    <n v="61"/>
    <n v="76.25"/>
    <n v="732"/>
    <n v="915"/>
    <n v="183"/>
    <x v="3"/>
    <x v="5"/>
    <x v="0"/>
  </r>
  <r>
    <d v="2021-06-05T00:00:00"/>
    <s v="P0022"/>
    <n v="15"/>
    <x v="0"/>
    <x v="0"/>
    <n v="0"/>
    <x v="22"/>
    <x v="0"/>
    <s v="Ft"/>
    <n v="121"/>
    <n v="141.57"/>
    <n v="1815"/>
    <n v="2123.5499999999997"/>
    <n v="308.54999999999973"/>
    <x v="15"/>
    <x v="5"/>
    <x v="0"/>
  </r>
  <r>
    <d v="2021-06-05T00:00:00"/>
    <s v="P0035"/>
    <n v="10"/>
    <x v="2"/>
    <x v="0"/>
    <n v="0"/>
    <x v="4"/>
    <x v="4"/>
    <s v="No."/>
    <n v="5"/>
    <n v="6.7"/>
    <n v="50"/>
    <n v="67"/>
    <n v="17"/>
    <x v="15"/>
    <x v="5"/>
    <x v="0"/>
  </r>
  <r>
    <d v="2021-06-06T00:00:00"/>
    <s v="P0033"/>
    <n v="6"/>
    <x v="2"/>
    <x v="0"/>
    <n v="0"/>
    <x v="38"/>
    <x v="4"/>
    <s v="Kg"/>
    <n v="95"/>
    <n v="119.7"/>
    <n v="570"/>
    <n v="718.2"/>
    <n v="148.20000000000005"/>
    <x v="16"/>
    <x v="5"/>
    <x v="0"/>
  </r>
  <r>
    <d v="2021-06-08T00:00:00"/>
    <s v="P0028"/>
    <n v="11"/>
    <x v="2"/>
    <x v="0"/>
    <n v="0"/>
    <x v="33"/>
    <x v="4"/>
    <s v="No."/>
    <n v="37"/>
    <n v="41.81"/>
    <n v="407"/>
    <n v="459.91"/>
    <n v="52.910000000000025"/>
    <x v="21"/>
    <x v="5"/>
    <x v="0"/>
  </r>
  <r>
    <d v="2021-06-08T00:00:00"/>
    <s v="P0004"/>
    <n v="11"/>
    <x v="0"/>
    <x v="1"/>
    <n v="0"/>
    <x v="3"/>
    <x v="3"/>
    <s v="Lt"/>
    <n v="44"/>
    <n v="48.84"/>
    <n v="484"/>
    <n v="537.24"/>
    <n v="53.240000000000009"/>
    <x v="21"/>
    <x v="5"/>
    <x v="0"/>
  </r>
  <r>
    <d v="2021-06-09T00:00:00"/>
    <s v="P0001"/>
    <n v="7"/>
    <x v="2"/>
    <x v="0"/>
    <n v="0"/>
    <x v="16"/>
    <x v="3"/>
    <s v="Kg"/>
    <n v="98"/>
    <n v="103.88"/>
    <n v="686"/>
    <n v="727.16"/>
    <n v="41.159999999999968"/>
    <x v="4"/>
    <x v="5"/>
    <x v="0"/>
  </r>
  <r>
    <d v="2021-06-11T00:00:00"/>
    <s v="P0032"/>
    <n v="12"/>
    <x v="0"/>
    <x v="1"/>
    <n v="0"/>
    <x v="18"/>
    <x v="4"/>
    <s v="Kg"/>
    <n v="89"/>
    <n v="117.48"/>
    <n v="1068"/>
    <n v="1409.76"/>
    <n v="341.76"/>
    <x v="5"/>
    <x v="5"/>
    <x v="0"/>
  </r>
  <r>
    <d v="2021-06-12T00:00:00"/>
    <s v="P0041"/>
    <n v="6"/>
    <x v="2"/>
    <x v="0"/>
    <n v="0"/>
    <x v="41"/>
    <x v="1"/>
    <s v="Ft"/>
    <n v="138"/>
    <n v="173.88"/>
    <n v="828"/>
    <n v="1043.28"/>
    <n v="215.27999999999997"/>
    <x v="6"/>
    <x v="5"/>
    <x v="0"/>
  </r>
  <r>
    <d v="2021-06-14T00:00:00"/>
    <s v="P0025"/>
    <n v="10"/>
    <x v="1"/>
    <x v="1"/>
    <n v="0"/>
    <x v="7"/>
    <x v="0"/>
    <s v="No."/>
    <n v="7"/>
    <n v="8.33"/>
    <n v="70"/>
    <n v="83.3"/>
    <n v="13.299999999999997"/>
    <x v="29"/>
    <x v="5"/>
    <x v="0"/>
  </r>
  <r>
    <d v="2021-06-16T00:00:00"/>
    <s v="P0019"/>
    <n v="5"/>
    <x v="0"/>
    <x v="1"/>
    <n v="0"/>
    <x v="40"/>
    <x v="2"/>
    <s v="Ft"/>
    <n v="150"/>
    <n v="210"/>
    <n v="750"/>
    <n v="1050"/>
    <n v="300"/>
    <x v="23"/>
    <x v="5"/>
    <x v="0"/>
  </r>
  <r>
    <d v="2021-06-16T00:00:00"/>
    <s v="P0015"/>
    <n v="12"/>
    <x v="1"/>
    <x v="1"/>
    <n v="0"/>
    <x v="27"/>
    <x v="2"/>
    <s v="No."/>
    <n v="12"/>
    <n v="15.719999999999999"/>
    <n v="144"/>
    <n v="188.64"/>
    <n v="44.639999999999986"/>
    <x v="23"/>
    <x v="5"/>
    <x v="0"/>
  </r>
  <r>
    <d v="2021-06-16T00:00:00"/>
    <s v="P0039"/>
    <n v="11"/>
    <x v="2"/>
    <x v="1"/>
    <n v="0"/>
    <x v="34"/>
    <x v="1"/>
    <s v="No."/>
    <n v="37"/>
    <n v="42.55"/>
    <n v="407"/>
    <n v="468.04999999999995"/>
    <n v="61.049999999999955"/>
    <x v="23"/>
    <x v="5"/>
    <x v="0"/>
  </r>
  <r>
    <d v="2021-06-18T00:00:00"/>
    <s v="P0025"/>
    <n v="13"/>
    <x v="2"/>
    <x v="1"/>
    <n v="0"/>
    <x v="7"/>
    <x v="0"/>
    <s v="No."/>
    <n v="7"/>
    <n v="8.33"/>
    <n v="91"/>
    <n v="108.29"/>
    <n v="17.290000000000006"/>
    <x v="7"/>
    <x v="5"/>
    <x v="0"/>
  </r>
  <r>
    <d v="2021-06-19T00:00:00"/>
    <s v="P0041"/>
    <n v="5"/>
    <x v="2"/>
    <x v="0"/>
    <n v="0"/>
    <x v="41"/>
    <x v="1"/>
    <s v="Ft"/>
    <n v="138"/>
    <n v="173.88"/>
    <n v="690"/>
    <n v="869.4"/>
    <n v="179.39999999999998"/>
    <x v="8"/>
    <x v="5"/>
    <x v="0"/>
  </r>
  <r>
    <d v="2021-06-20T00:00:00"/>
    <s v="P0016"/>
    <n v="1"/>
    <x v="0"/>
    <x v="1"/>
    <n v="0"/>
    <x v="21"/>
    <x v="2"/>
    <s v="No."/>
    <n v="13"/>
    <n v="16.64"/>
    <n v="13"/>
    <n v="16.64"/>
    <n v="3.6400000000000006"/>
    <x v="9"/>
    <x v="5"/>
    <x v="0"/>
  </r>
  <r>
    <d v="2021-06-23T00:00:00"/>
    <s v="P0016"/>
    <n v="4"/>
    <x v="2"/>
    <x v="0"/>
    <n v="0"/>
    <x v="21"/>
    <x v="2"/>
    <s v="No."/>
    <n v="13"/>
    <n v="16.64"/>
    <n v="52"/>
    <n v="66.56"/>
    <n v="14.560000000000002"/>
    <x v="19"/>
    <x v="5"/>
    <x v="0"/>
  </r>
  <r>
    <d v="2021-06-24T00:00:00"/>
    <s v="P0011"/>
    <n v="13"/>
    <x v="2"/>
    <x v="0"/>
    <n v="0"/>
    <x v="31"/>
    <x v="2"/>
    <s v="Lt"/>
    <n v="44"/>
    <n v="48.4"/>
    <n v="572"/>
    <n v="629.19999999999993"/>
    <n v="57.199999999999932"/>
    <x v="27"/>
    <x v="5"/>
    <x v="0"/>
  </r>
  <r>
    <d v="2021-06-26T00:00:00"/>
    <s v="P0009"/>
    <n v="7"/>
    <x v="1"/>
    <x v="0"/>
    <n v="0"/>
    <x v="37"/>
    <x v="0"/>
    <s v="No."/>
    <n v="6"/>
    <n v="7.8599999999999994"/>
    <n v="42"/>
    <n v="55.019999999999996"/>
    <n v="13.019999999999996"/>
    <x v="12"/>
    <x v="5"/>
    <x v="0"/>
  </r>
  <r>
    <d v="2021-06-27T00:00:00"/>
    <s v="P0005"/>
    <n v="11"/>
    <x v="2"/>
    <x v="1"/>
    <n v="0"/>
    <x v="24"/>
    <x v="3"/>
    <s v="Ft"/>
    <n v="133"/>
    <n v="155.61000000000001"/>
    <n v="1463"/>
    <n v="1711.71"/>
    <n v="248.71000000000004"/>
    <x v="13"/>
    <x v="5"/>
    <x v="0"/>
  </r>
  <r>
    <d v="2021-06-28T00:00:00"/>
    <s v="P0021"/>
    <n v="2"/>
    <x v="1"/>
    <x v="1"/>
    <n v="0"/>
    <x v="32"/>
    <x v="0"/>
    <s v="Ft"/>
    <n v="126"/>
    <n v="162.54"/>
    <n v="252"/>
    <n v="325.08"/>
    <n v="73.079999999999984"/>
    <x v="14"/>
    <x v="5"/>
    <x v="0"/>
  </r>
  <r>
    <d v="2021-06-28T00:00:00"/>
    <s v="P0035"/>
    <n v="7"/>
    <x v="1"/>
    <x v="0"/>
    <n v="0"/>
    <x v="4"/>
    <x v="4"/>
    <s v="No."/>
    <n v="5"/>
    <n v="6.7"/>
    <n v="35"/>
    <n v="46.9"/>
    <n v="11.899999999999999"/>
    <x v="14"/>
    <x v="5"/>
    <x v="0"/>
  </r>
  <r>
    <d v="2021-06-29T00:00:00"/>
    <s v="P0014"/>
    <n v="4"/>
    <x v="2"/>
    <x v="0"/>
    <n v="0"/>
    <x v="9"/>
    <x v="2"/>
    <s v="Kg"/>
    <n v="112"/>
    <n v="146.72"/>
    <n v="448"/>
    <n v="586.88"/>
    <n v="138.88"/>
    <x v="28"/>
    <x v="5"/>
    <x v="0"/>
  </r>
  <r>
    <d v="2021-07-01T00:00:00"/>
    <s v="P0005"/>
    <n v="11"/>
    <x v="2"/>
    <x v="1"/>
    <n v="0"/>
    <x v="24"/>
    <x v="3"/>
    <s v="Ft"/>
    <n v="133"/>
    <n v="155.61000000000001"/>
    <n v="1463"/>
    <n v="1711.71"/>
    <n v="248.71000000000004"/>
    <x v="0"/>
    <x v="6"/>
    <x v="0"/>
  </r>
  <r>
    <d v="2021-07-02T00:00:00"/>
    <s v="P0010"/>
    <n v="11"/>
    <x v="2"/>
    <x v="1"/>
    <n v="0"/>
    <x v="20"/>
    <x v="2"/>
    <s v="Ft"/>
    <n v="148"/>
    <n v="164.28"/>
    <n v="1628"/>
    <n v="1807.08"/>
    <n v="179.07999999999993"/>
    <x v="1"/>
    <x v="6"/>
    <x v="0"/>
  </r>
  <r>
    <d v="2021-07-03T00:00:00"/>
    <s v="P0033"/>
    <n v="9"/>
    <x v="1"/>
    <x v="1"/>
    <n v="0"/>
    <x v="38"/>
    <x v="4"/>
    <s v="Kg"/>
    <n v="95"/>
    <n v="119.7"/>
    <n v="855"/>
    <n v="1077.3"/>
    <n v="222.29999999999995"/>
    <x v="2"/>
    <x v="6"/>
    <x v="0"/>
  </r>
  <r>
    <d v="2021-07-03T00:00:00"/>
    <s v="P0003"/>
    <n v="8"/>
    <x v="1"/>
    <x v="1"/>
    <n v="0"/>
    <x v="6"/>
    <x v="3"/>
    <s v="Kg"/>
    <n v="71"/>
    <n v="80.94"/>
    <n v="568"/>
    <n v="647.52"/>
    <n v="79.519999999999982"/>
    <x v="2"/>
    <x v="6"/>
    <x v="0"/>
  </r>
  <r>
    <d v="2021-07-05T00:00:00"/>
    <s v="P0002"/>
    <n v="8"/>
    <x v="2"/>
    <x v="0"/>
    <n v="0"/>
    <x v="29"/>
    <x v="3"/>
    <s v="Kg"/>
    <n v="105"/>
    <n v="142.80000000000001"/>
    <n v="840"/>
    <n v="1142.4000000000001"/>
    <n v="302.40000000000009"/>
    <x v="15"/>
    <x v="6"/>
    <x v="0"/>
  </r>
  <r>
    <d v="2021-07-06T00:00:00"/>
    <s v="P0041"/>
    <n v="15"/>
    <x v="2"/>
    <x v="1"/>
    <n v="0"/>
    <x v="41"/>
    <x v="1"/>
    <s v="Ft"/>
    <n v="138"/>
    <n v="173.88"/>
    <n v="2070"/>
    <n v="2608.1999999999998"/>
    <n v="538.19999999999982"/>
    <x v="16"/>
    <x v="6"/>
    <x v="0"/>
  </r>
  <r>
    <d v="2021-07-08T00:00:00"/>
    <s v="P0004"/>
    <n v="10"/>
    <x v="2"/>
    <x v="0"/>
    <n v="0"/>
    <x v="3"/>
    <x v="3"/>
    <s v="Lt"/>
    <n v="44"/>
    <n v="48.84"/>
    <n v="440"/>
    <n v="488.40000000000003"/>
    <n v="48.400000000000034"/>
    <x v="21"/>
    <x v="6"/>
    <x v="0"/>
  </r>
  <r>
    <d v="2021-07-10T00:00:00"/>
    <s v="P0034"/>
    <n v="6"/>
    <x v="0"/>
    <x v="1"/>
    <n v="0"/>
    <x v="13"/>
    <x v="4"/>
    <s v="Lt"/>
    <n v="55"/>
    <n v="58.3"/>
    <n v="330"/>
    <n v="349.79999999999995"/>
    <n v="19.799999999999955"/>
    <x v="26"/>
    <x v="6"/>
    <x v="0"/>
  </r>
  <r>
    <d v="2021-07-11T00:00:00"/>
    <s v="P0009"/>
    <n v="4"/>
    <x v="0"/>
    <x v="0"/>
    <n v="0"/>
    <x v="37"/>
    <x v="0"/>
    <s v="No."/>
    <n v="6"/>
    <n v="7.8599999999999994"/>
    <n v="24"/>
    <n v="31.439999999999998"/>
    <n v="7.4399999999999977"/>
    <x v="5"/>
    <x v="6"/>
    <x v="0"/>
  </r>
  <r>
    <d v="2021-07-13T00:00:00"/>
    <s v="P0019"/>
    <n v="1"/>
    <x v="2"/>
    <x v="1"/>
    <n v="0"/>
    <x v="40"/>
    <x v="2"/>
    <s v="Ft"/>
    <n v="150"/>
    <n v="210"/>
    <n v="150"/>
    <n v="210"/>
    <n v="60"/>
    <x v="22"/>
    <x v="6"/>
    <x v="0"/>
  </r>
  <r>
    <d v="2021-07-16T00:00:00"/>
    <s v="P0023"/>
    <n v="8"/>
    <x v="0"/>
    <x v="1"/>
    <n v="0"/>
    <x v="12"/>
    <x v="0"/>
    <s v="Ft"/>
    <n v="141"/>
    <n v="149.46"/>
    <n v="1128"/>
    <n v="1195.68"/>
    <n v="67.680000000000064"/>
    <x v="23"/>
    <x v="6"/>
    <x v="0"/>
  </r>
  <r>
    <d v="2021-07-18T00:00:00"/>
    <s v="P0027"/>
    <n v="14"/>
    <x v="1"/>
    <x v="0"/>
    <n v="0"/>
    <x v="26"/>
    <x v="4"/>
    <s v="Lt"/>
    <n v="48"/>
    <n v="57.120000000000005"/>
    <n v="672"/>
    <n v="799.68000000000006"/>
    <n v="127.68000000000006"/>
    <x v="7"/>
    <x v="6"/>
    <x v="0"/>
  </r>
  <r>
    <d v="2021-07-20T00:00:00"/>
    <s v="P0038"/>
    <n v="11"/>
    <x v="1"/>
    <x v="0"/>
    <n v="0"/>
    <x v="1"/>
    <x v="1"/>
    <s v="Kg"/>
    <n v="72"/>
    <n v="79.92"/>
    <n v="792"/>
    <n v="879.12"/>
    <n v="87.12"/>
    <x v="9"/>
    <x v="6"/>
    <x v="0"/>
  </r>
  <r>
    <d v="2021-07-20T00:00:00"/>
    <s v="P0043"/>
    <n v="5"/>
    <x v="2"/>
    <x v="0"/>
    <n v="0"/>
    <x v="23"/>
    <x v="1"/>
    <s v="Kg"/>
    <n v="67"/>
    <n v="83.08"/>
    <n v="335"/>
    <n v="415.4"/>
    <n v="80.399999999999977"/>
    <x v="9"/>
    <x v="6"/>
    <x v="0"/>
  </r>
  <r>
    <d v="2021-07-21T00:00:00"/>
    <s v="P0029"/>
    <n v="15"/>
    <x v="2"/>
    <x v="0"/>
    <n v="0"/>
    <x v="19"/>
    <x v="4"/>
    <s v="Lt"/>
    <n v="47"/>
    <n v="53.11"/>
    <n v="705"/>
    <n v="796.65"/>
    <n v="91.649999999999977"/>
    <x v="10"/>
    <x v="6"/>
    <x v="0"/>
  </r>
  <r>
    <d v="2021-07-22T00:00:00"/>
    <s v="P0026"/>
    <n v="3"/>
    <x v="0"/>
    <x v="1"/>
    <n v="0"/>
    <x v="42"/>
    <x v="4"/>
    <s v="No."/>
    <n v="18"/>
    <n v="24.66"/>
    <n v="54"/>
    <n v="73.98"/>
    <n v="19.980000000000004"/>
    <x v="18"/>
    <x v="6"/>
    <x v="0"/>
  </r>
  <r>
    <d v="2021-07-22T00:00:00"/>
    <s v="P0024"/>
    <n v="14"/>
    <x v="1"/>
    <x v="1"/>
    <n v="0"/>
    <x v="0"/>
    <x v="0"/>
    <s v="Ft"/>
    <n v="144"/>
    <n v="156.96"/>
    <n v="2016"/>
    <n v="2197.44"/>
    <n v="181.44000000000005"/>
    <x v="18"/>
    <x v="6"/>
    <x v="0"/>
  </r>
  <r>
    <d v="2021-07-23T00:00:00"/>
    <s v="P0036"/>
    <n v="7"/>
    <x v="0"/>
    <x v="0"/>
    <n v="0"/>
    <x v="43"/>
    <x v="4"/>
    <s v="Kg"/>
    <n v="90"/>
    <n v="96.3"/>
    <n v="630"/>
    <n v="674.1"/>
    <n v="44.100000000000023"/>
    <x v="19"/>
    <x v="6"/>
    <x v="0"/>
  </r>
  <r>
    <d v="2021-07-23T00:00:00"/>
    <s v="P0037"/>
    <n v="8"/>
    <x v="2"/>
    <x v="0"/>
    <n v="0"/>
    <x v="8"/>
    <x v="1"/>
    <s v="Kg"/>
    <n v="67"/>
    <n v="85.76"/>
    <n v="536"/>
    <n v="686.08"/>
    <n v="150.08000000000004"/>
    <x v="19"/>
    <x v="6"/>
    <x v="0"/>
  </r>
  <r>
    <d v="2021-07-24T00:00:00"/>
    <s v="P0009"/>
    <n v="4"/>
    <x v="1"/>
    <x v="1"/>
    <n v="0"/>
    <x v="37"/>
    <x v="0"/>
    <s v="No."/>
    <n v="6"/>
    <n v="7.8599999999999994"/>
    <n v="24"/>
    <n v="31.439999999999998"/>
    <n v="7.4399999999999977"/>
    <x v="27"/>
    <x v="6"/>
    <x v="0"/>
  </r>
  <r>
    <d v="2021-07-29T00:00:00"/>
    <s v="P0044"/>
    <n v="15"/>
    <x v="1"/>
    <x v="1"/>
    <n v="0"/>
    <x v="11"/>
    <x v="1"/>
    <s v="Kg"/>
    <n v="76"/>
    <n v="82.08"/>
    <n v="1140"/>
    <n v="1231.2"/>
    <n v="91.200000000000045"/>
    <x v="28"/>
    <x v="6"/>
    <x v="0"/>
  </r>
  <r>
    <d v="2021-08-01T00:00:00"/>
    <s v="P0001"/>
    <n v="11"/>
    <x v="2"/>
    <x v="1"/>
    <n v="0"/>
    <x v="16"/>
    <x v="3"/>
    <s v="Kg"/>
    <n v="98"/>
    <n v="103.88"/>
    <n v="1078"/>
    <n v="1142.6799999999998"/>
    <n v="64.679999999999836"/>
    <x v="0"/>
    <x v="7"/>
    <x v="0"/>
  </r>
  <r>
    <d v="2021-08-02T00:00:00"/>
    <s v="P0023"/>
    <n v="3"/>
    <x v="2"/>
    <x v="0"/>
    <n v="0"/>
    <x v="12"/>
    <x v="0"/>
    <s v="Ft"/>
    <n v="141"/>
    <n v="149.46"/>
    <n v="423"/>
    <n v="448.38"/>
    <n v="25.379999999999995"/>
    <x v="1"/>
    <x v="7"/>
    <x v="0"/>
  </r>
  <r>
    <d v="2021-08-03T00:00:00"/>
    <s v="P0022"/>
    <n v="13"/>
    <x v="1"/>
    <x v="0"/>
    <n v="0"/>
    <x v="22"/>
    <x v="0"/>
    <s v="Ft"/>
    <n v="121"/>
    <n v="141.57"/>
    <n v="1573"/>
    <n v="1840.4099999999999"/>
    <n v="267.40999999999985"/>
    <x v="2"/>
    <x v="7"/>
    <x v="0"/>
  </r>
  <r>
    <d v="2021-08-03T00:00:00"/>
    <s v="P0034"/>
    <n v="12"/>
    <x v="1"/>
    <x v="0"/>
    <n v="0"/>
    <x v="13"/>
    <x v="4"/>
    <s v="Lt"/>
    <n v="55"/>
    <n v="58.3"/>
    <n v="660"/>
    <n v="699.59999999999991"/>
    <n v="39.599999999999909"/>
    <x v="2"/>
    <x v="7"/>
    <x v="0"/>
  </r>
  <r>
    <d v="2021-08-05T00:00:00"/>
    <s v="P0028"/>
    <n v="14"/>
    <x v="2"/>
    <x v="1"/>
    <n v="0"/>
    <x v="33"/>
    <x v="4"/>
    <s v="No."/>
    <n v="37"/>
    <n v="41.81"/>
    <n v="518"/>
    <n v="585.34"/>
    <n v="67.340000000000032"/>
    <x v="15"/>
    <x v="7"/>
    <x v="0"/>
  </r>
  <r>
    <d v="2021-08-06T00:00:00"/>
    <s v="P0037"/>
    <n v="1"/>
    <x v="0"/>
    <x v="1"/>
    <n v="0"/>
    <x v="8"/>
    <x v="1"/>
    <s v="Kg"/>
    <n v="67"/>
    <n v="85.76"/>
    <n v="67"/>
    <n v="85.76"/>
    <n v="18.760000000000005"/>
    <x v="16"/>
    <x v="7"/>
    <x v="0"/>
  </r>
  <r>
    <d v="2021-08-10T00:00:00"/>
    <s v="P0005"/>
    <n v="4"/>
    <x v="0"/>
    <x v="1"/>
    <n v="0"/>
    <x v="24"/>
    <x v="3"/>
    <s v="Ft"/>
    <n v="133"/>
    <n v="155.61000000000001"/>
    <n v="532"/>
    <n v="622.44000000000005"/>
    <n v="90.440000000000055"/>
    <x v="26"/>
    <x v="7"/>
    <x v="0"/>
  </r>
  <r>
    <d v="2021-08-10T00:00:00"/>
    <s v="P0044"/>
    <n v="10"/>
    <x v="1"/>
    <x v="1"/>
    <n v="0"/>
    <x v="11"/>
    <x v="1"/>
    <s v="Kg"/>
    <n v="76"/>
    <n v="82.08"/>
    <n v="760"/>
    <n v="820.8"/>
    <n v="60.799999999999955"/>
    <x v="26"/>
    <x v="7"/>
    <x v="0"/>
  </r>
  <r>
    <d v="2021-08-10T00:00:00"/>
    <s v="P0006"/>
    <n v="6"/>
    <x v="2"/>
    <x v="1"/>
    <n v="0"/>
    <x v="15"/>
    <x v="3"/>
    <s v="Kg"/>
    <n v="75"/>
    <n v="85.5"/>
    <n v="450"/>
    <n v="513"/>
    <n v="63"/>
    <x v="26"/>
    <x v="7"/>
    <x v="0"/>
  </r>
  <r>
    <d v="2021-08-11T00:00:00"/>
    <s v="P0023"/>
    <n v="4"/>
    <x v="2"/>
    <x v="0"/>
    <n v="0"/>
    <x v="12"/>
    <x v="0"/>
    <s v="Ft"/>
    <n v="141"/>
    <n v="149.46"/>
    <n v="564"/>
    <n v="597.84"/>
    <n v="33.840000000000032"/>
    <x v="5"/>
    <x v="7"/>
    <x v="0"/>
  </r>
  <r>
    <d v="2021-08-13T00:00:00"/>
    <s v="P0011"/>
    <n v="13"/>
    <x v="2"/>
    <x v="0"/>
    <n v="0"/>
    <x v="31"/>
    <x v="2"/>
    <s v="Lt"/>
    <n v="44"/>
    <n v="48.4"/>
    <n v="572"/>
    <n v="629.19999999999993"/>
    <n v="57.199999999999932"/>
    <x v="22"/>
    <x v="7"/>
    <x v="0"/>
  </r>
  <r>
    <d v="2021-08-13T00:00:00"/>
    <s v="P0027"/>
    <n v="9"/>
    <x v="2"/>
    <x v="0"/>
    <n v="0"/>
    <x v="26"/>
    <x v="4"/>
    <s v="Lt"/>
    <n v="48"/>
    <n v="57.120000000000005"/>
    <n v="432"/>
    <n v="514.08000000000004"/>
    <n v="82.080000000000041"/>
    <x v="22"/>
    <x v="7"/>
    <x v="0"/>
  </r>
  <r>
    <d v="2021-08-16T00:00:00"/>
    <s v="P0003"/>
    <n v="3"/>
    <x v="1"/>
    <x v="0"/>
    <n v="0"/>
    <x v="6"/>
    <x v="3"/>
    <s v="Kg"/>
    <n v="71"/>
    <n v="80.94"/>
    <n v="213"/>
    <n v="242.82"/>
    <n v="29.819999999999993"/>
    <x v="23"/>
    <x v="7"/>
    <x v="0"/>
  </r>
  <r>
    <d v="2021-08-18T00:00:00"/>
    <s v="P0025"/>
    <n v="6"/>
    <x v="2"/>
    <x v="0"/>
    <n v="0"/>
    <x v="7"/>
    <x v="0"/>
    <s v="No."/>
    <n v="7"/>
    <n v="8.33"/>
    <n v="42"/>
    <n v="49.980000000000004"/>
    <n v="7.980000000000004"/>
    <x v="7"/>
    <x v="7"/>
    <x v="0"/>
  </r>
  <r>
    <d v="2021-08-20T00:00:00"/>
    <s v="P0020"/>
    <n v="15"/>
    <x v="2"/>
    <x v="1"/>
    <n v="0"/>
    <x v="14"/>
    <x v="0"/>
    <s v="Lt"/>
    <n v="61"/>
    <n v="76.25"/>
    <n v="915"/>
    <n v="1143.75"/>
    <n v="228.75"/>
    <x v="9"/>
    <x v="7"/>
    <x v="0"/>
  </r>
  <r>
    <d v="2021-08-20T00:00:00"/>
    <s v="P0031"/>
    <n v="9"/>
    <x v="2"/>
    <x v="0"/>
    <n v="0"/>
    <x v="5"/>
    <x v="4"/>
    <s v="Kg"/>
    <n v="93"/>
    <n v="104.16"/>
    <n v="837"/>
    <n v="937.43999999999994"/>
    <n v="100.43999999999994"/>
    <x v="9"/>
    <x v="7"/>
    <x v="0"/>
  </r>
  <r>
    <d v="2021-08-20T00:00:00"/>
    <s v="P0028"/>
    <n v="13"/>
    <x v="2"/>
    <x v="0"/>
    <n v="0"/>
    <x v="33"/>
    <x v="4"/>
    <s v="No."/>
    <n v="37"/>
    <n v="41.81"/>
    <n v="481"/>
    <n v="543.53"/>
    <n v="62.529999999999973"/>
    <x v="9"/>
    <x v="7"/>
    <x v="0"/>
  </r>
  <r>
    <d v="2021-08-26T00:00:00"/>
    <s v="P0039"/>
    <n v="4"/>
    <x v="2"/>
    <x v="0"/>
    <n v="0"/>
    <x v="34"/>
    <x v="1"/>
    <s v="No."/>
    <n v="37"/>
    <n v="42.55"/>
    <n v="148"/>
    <n v="170.2"/>
    <n v="22.199999999999989"/>
    <x v="12"/>
    <x v="7"/>
    <x v="0"/>
  </r>
  <r>
    <d v="2021-08-29T00:00:00"/>
    <s v="P0034"/>
    <n v="12"/>
    <x v="0"/>
    <x v="0"/>
    <n v="0"/>
    <x v="13"/>
    <x v="4"/>
    <s v="Lt"/>
    <n v="55"/>
    <n v="58.3"/>
    <n v="660"/>
    <n v="699.59999999999991"/>
    <n v="39.599999999999909"/>
    <x v="28"/>
    <x v="7"/>
    <x v="0"/>
  </r>
  <r>
    <d v="2021-08-30T00:00:00"/>
    <s v="P0013"/>
    <n v="13"/>
    <x v="2"/>
    <x v="0"/>
    <n v="0"/>
    <x v="2"/>
    <x v="2"/>
    <s v="Kg"/>
    <n v="112"/>
    <n v="122.08"/>
    <n v="1456"/>
    <n v="1587.04"/>
    <n v="131.03999999999996"/>
    <x v="24"/>
    <x v="7"/>
    <x v="0"/>
  </r>
  <r>
    <d v="2021-08-31T00:00:00"/>
    <s v="P0001"/>
    <n v="2"/>
    <x v="2"/>
    <x v="0"/>
    <n v="0"/>
    <x v="16"/>
    <x v="3"/>
    <s v="Kg"/>
    <n v="98"/>
    <n v="103.88"/>
    <n v="196"/>
    <n v="207.76"/>
    <n v="11.759999999999991"/>
    <x v="25"/>
    <x v="7"/>
    <x v="0"/>
  </r>
  <r>
    <d v="2021-08-31T00:00:00"/>
    <s v="P0035"/>
    <n v="11"/>
    <x v="2"/>
    <x v="0"/>
    <n v="0"/>
    <x v="4"/>
    <x v="4"/>
    <s v="No."/>
    <n v="5"/>
    <n v="6.7"/>
    <n v="55"/>
    <n v="73.7"/>
    <n v="18.700000000000003"/>
    <x v="25"/>
    <x v="7"/>
    <x v="0"/>
  </r>
  <r>
    <d v="2021-09-01T00:00:00"/>
    <s v="P0024"/>
    <n v="1"/>
    <x v="0"/>
    <x v="1"/>
    <n v="0"/>
    <x v="0"/>
    <x v="0"/>
    <s v="Ft"/>
    <n v="144"/>
    <n v="156.96"/>
    <n v="144"/>
    <n v="156.96"/>
    <n v="12.960000000000008"/>
    <x v="0"/>
    <x v="8"/>
    <x v="0"/>
  </r>
  <r>
    <d v="2021-09-01T00:00:00"/>
    <s v="P0003"/>
    <n v="14"/>
    <x v="1"/>
    <x v="0"/>
    <n v="0"/>
    <x v="6"/>
    <x v="3"/>
    <s v="Kg"/>
    <n v="71"/>
    <n v="80.94"/>
    <n v="994"/>
    <n v="1133.1599999999999"/>
    <n v="139.15999999999985"/>
    <x v="0"/>
    <x v="8"/>
    <x v="0"/>
  </r>
  <r>
    <d v="2021-09-03T00:00:00"/>
    <s v="P0041"/>
    <n v="8"/>
    <x v="2"/>
    <x v="0"/>
    <n v="0"/>
    <x v="41"/>
    <x v="1"/>
    <s v="Ft"/>
    <n v="138"/>
    <n v="173.88"/>
    <n v="1104"/>
    <n v="1391.04"/>
    <n v="287.03999999999996"/>
    <x v="2"/>
    <x v="8"/>
    <x v="0"/>
  </r>
  <r>
    <d v="2021-09-04T00:00:00"/>
    <s v="P0028"/>
    <n v="7"/>
    <x v="2"/>
    <x v="0"/>
    <n v="0"/>
    <x v="33"/>
    <x v="4"/>
    <s v="No."/>
    <n v="37"/>
    <n v="41.81"/>
    <n v="259"/>
    <n v="292.67"/>
    <n v="33.670000000000016"/>
    <x v="3"/>
    <x v="8"/>
    <x v="0"/>
  </r>
  <r>
    <d v="2021-09-04T00:00:00"/>
    <s v="P0023"/>
    <n v="15"/>
    <x v="2"/>
    <x v="0"/>
    <n v="0"/>
    <x v="12"/>
    <x v="0"/>
    <s v="Ft"/>
    <n v="141"/>
    <n v="149.46"/>
    <n v="2115"/>
    <n v="2241.9"/>
    <n v="126.90000000000009"/>
    <x v="3"/>
    <x v="8"/>
    <x v="0"/>
  </r>
  <r>
    <d v="2021-09-05T00:00:00"/>
    <s v="P0032"/>
    <n v="1"/>
    <x v="2"/>
    <x v="1"/>
    <n v="0"/>
    <x v="18"/>
    <x v="4"/>
    <s v="Kg"/>
    <n v="89"/>
    <n v="117.48"/>
    <n v="89"/>
    <n v="117.48"/>
    <n v="28.480000000000004"/>
    <x v="15"/>
    <x v="8"/>
    <x v="0"/>
  </r>
  <r>
    <d v="2021-09-07T00:00:00"/>
    <s v="P0019"/>
    <n v="5"/>
    <x v="2"/>
    <x v="0"/>
    <n v="0"/>
    <x v="40"/>
    <x v="2"/>
    <s v="Ft"/>
    <n v="150"/>
    <n v="210"/>
    <n v="750"/>
    <n v="1050"/>
    <n v="300"/>
    <x v="20"/>
    <x v="8"/>
    <x v="0"/>
  </r>
  <r>
    <d v="2021-09-09T00:00:00"/>
    <s v="P0044"/>
    <n v="4"/>
    <x v="2"/>
    <x v="0"/>
    <n v="0"/>
    <x v="11"/>
    <x v="1"/>
    <s v="Kg"/>
    <n v="76"/>
    <n v="82.08"/>
    <n v="304"/>
    <n v="328.32"/>
    <n v="24.319999999999993"/>
    <x v="4"/>
    <x v="8"/>
    <x v="0"/>
  </r>
  <r>
    <d v="2021-09-10T00:00:00"/>
    <s v="P0030"/>
    <n v="6"/>
    <x v="2"/>
    <x v="0"/>
    <n v="0"/>
    <x v="28"/>
    <x v="4"/>
    <s v="Ft"/>
    <n v="148"/>
    <n v="201.28"/>
    <n v="888"/>
    <n v="1207.68"/>
    <n v="319.68000000000006"/>
    <x v="26"/>
    <x v="8"/>
    <x v="0"/>
  </r>
  <r>
    <d v="2021-09-10T00:00:00"/>
    <s v="P0001"/>
    <n v="9"/>
    <x v="0"/>
    <x v="0"/>
    <n v="0"/>
    <x v="16"/>
    <x v="3"/>
    <s v="Kg"/>
    <n v="98"/>
    <n v="103.88"/>
    <n v="882"/>
    <n v="934.92"/>
    <n v="52.919999999999959"/>
    <x v="26"/>
    <x v="8"/>
    <x v="0"/>
  </r>
  <r>
    <d v="2021-09-10T00:00:00"/>
    <s v="P0026"/>
    <n v="2"/>
    <x v="2"/>
    <x v="0"/>
    <n v="0"/>
    <x v="42"/>
    <x v="4"/>
    <s v="No."/>
    <n v="18"/>
    <n v="24.66"/>
    <n v="36"/>
    <n v="49.32"/>
    <n v="13.32"/>
    <x v="26"/>
    <x v="8"/>
    <x v="0"/>
  </r>
  <r>
    <d v="2021-09-11T00:00:00"/>
    <s v="P0001"/>
    <n v="6"/>
    <x v="0"/>
    <x v="0"/>
    <n v="0"/>
    <x v="16"/>
    <x v="3"/>
    <s v="Kg"/>
    <n v="98"/>
    <n v="103.88"/>
    <n v="588"/>
    <n v="623.28"/>
    <n v="35.279999999999973"/>
    <x v="5"/>
    <x v="8"/>
    <x v="0"/>
  </r>
  <r>
    <d v="2021-09-13T00:00:00"/>
    <s v="P0041"/>
    <n v="7"/>
    <x v="2"/>
    <x v="1"/>
    <n v="0"/>
    <x v="41"/>
    <x v="1"/>
    <s v="Ft"/>
    <n v="138"/>
    <n v="173.88"/>
    <n v="966"/>
    <n v="1217.1599999999999"/>
    <n v="251.15999999999985"/>
    <x v="22"/>
    <x v="8"/>
    <x v="0"/>
  </r>
  <r>
    <d v="2021-09-15T00:00:00"/>
    <s v="P0042"/>
    <n v="6"/>
    <x v="2"/>
    <x v="0"/>
    <n v="0"/>
    <x v="10"/>
    <x v="1"/>
    <s v="Ft"/>
    <n v="120"/>
    <n v="162"/>
    <n v="720"/>
    <n v="972"/>
    <n v="252"/>
    <x v="17"/>
    <x v="8"/>
    <x v="0"/>
  </r>
  <r>
    <d v="2021-09-15T00:00:00"/>
    <s v="P0042"/>
    <n v="14"/>
    <x v="2"/>
    <x v="0"/>
    <n v="0"/>
    <x v="10"/>
    <x v="1"/>
    <s v="Ft"/>
    <n v="120"/>
    <n v="162"/>
    <n v="1680"/>
    <n v="2268"/>
    <n v="588"/>
    <x v="17"/>
    <x v="8"/>
    <x v="0"/>
  </r>
  <r>
    <d v="2021-09-21T00:00:00"/>
    <s v="P0020"/>
    <n v="7"/>
    <x v="0"/>
    <x v="1"/>
    <n v="0"/>
    <x v="14"/>
    <x v="0"/>
    <s v="Lt"/>
    <n v="61"/>
    <n v="76.25"/>
    <n v="427"/>
    <n v="533.75"/>
    <n v="106.75"/>
    <x v="10"/>
    <x v="8"/>
    <x v="0"/>
  </r>
  <r>
    <d v="2021-09-22T00:00:00"/>
    <s v="P0040"/>
    <n v="2"/>
    <x v="1"/>
    <x v="1"/>
    <n v="0"/>
    <x v="17"/>
    <x v="1"/>
    <s v="Kg"/>
    <n v="90"/>
    <n v="115.2"/>
    <n v="180"/>
    <n v="230.4"/>
    <n v="50.400000000000006"/>
    <x v="18"/>
    <x v="8"/>
    <x v="0"/>
  </r>
  <r>
    <d v="2021-09-22T00:00:00"/>
    <s v="P0002"/>
    <n v="4"/>
    <x v="2"/>
    <x v="1"/>
    <n v="0"/>
    <x v="29"/>
    <x v="3"/>
    <s v="Kg"/>
    <n v="105"/>
    <n v="142.80000000000001"/>
    <n v="420"/>
    <n v="571.20000000000005"/>
    <n v="151.20000000000005"/>
    <x v="18"/>
    <x v="8"/>
    <x v="0"/>
  </r>
  <r>
    <d v="2021-09-23T00:00:00"/>
    <s v="P0018"/>
    <n v="12"/>
    <x v="2"/>
    <x v="1"/>
    <n v="0"/>
    <x v="30"/>
    <x v="2"/>
    <s v="No."/>
    <n v="37"/>
    <n v="49.21"/>
    <n v="444"/>
    <n v="590.52"/>
    <n v="146.51999999999998"/>
    <x v="19"/>
    <x v="8"/>
    <x v="0"/>
  </r>
  <r>
    <d v="2021-09-23T00:00:00"/>
    <s v="P0021"/>
    <n v="7"/>
    <x v="1"/>
    <x v="0"/>
    <n v="0"/>
    <x v="32"/>
    <x v="0"/>
    <s v="Ft"/>
    <n v="126"/>
    <n v="162.54"/>
    <n v="882"/>
    <n v="1137.78"/>
    <n v="255.77999999999997"/>
    <x v="19"/>
    <x v="8"/>
    <x v="0"/>
  </r>
  <r>
    <d v="2021-09-27T00:00:00"/>
    <s v="P0034"/>
    <n v="1"/>
    <x v="2"/>
    <x v="1"/>
    <n v="0"/>
    <x v="13"/>
    <x v="4"/>
    <s v="Lt"/>
    <n v="55"/>
    <n v="58.3"/>
    <n v="55"/>
    <n v="58.3"/>
    <n v="3.2999999999999972"/>
    <x v="13"/>
    <x v="8"/>
    <x v="0"/>
  </r>
  <r>
    <d v="2021-09-30T00:00:00"/>
    <s v="P0014"/>
    <n v="9"/>
    <x v="1"/>
    <x v="0"/>
    <n v="0"/>
    <x v="9"/>
    <x v="2"/>
    <s v="Kg"/>
    <n v="112"/>
    <n v="146.72"/>
    <n v="1008"/>
    <n v="1320.48"/>
    <n v="312.48"/>
    <x v="24"/>
    <x v="8"/>
    <x v="0"/>
  </r>
  <r>
    <d v="2021-09-30T00:00:00"/>
    <s v="P0006"/>
    <n v="5"/>
    <x v="1"/>
    <x v="0"/>
    <n v="0"/>
    <x v="15"/>
    <x v="3"/>
    <s v="Kg"/>
    <n v="75"/>
    <n v="85.5"/>
    <n v="375"/>
    <n v="427.5"/>
    <n v="52.5"/>
    <x v="24"/>
    <x v="8"/>
    <x v="0"/>
  </r>
  <r>
    <d v="2021-10-01T00:00:00"/>
    <s v="P0030"/>
    <n v="14"/>
    <x v="1"/>
    <x v="1"/>
    <n v="0"/>
    <x v="28"/>
    <x v="4"/>
    <s v="Ft"/>
    <n v="148"/>
    <n v="201.28"/>
    <n v="2072"/>
    <n v="2817.92"/>
    <n v="745.92000000000007"/>
    <x v="0"/>
    <x v="9"/>
    <x v="0"/>
  </r>
  <r>
    <d v="2021-10-02T00:00:00"/>
    <s v="P0014"/>
    <n v="15"/>
    <x v="2"/>
    <x v="0"/>
    <n v="0"/>
    <x v="9"/>
    <x v="2"/>
    <s v="Kg"/>
    <n v="112"/>
    <n v="146.72"/>
    <n v="1680"/>
    <n v="2200.8000000000002"/>
    <n v="520.80000000000018"/>
    <x v="1"/>
    <x v="9"/>
    <x v="0"/>
  </r>
  <r>
    <d v="2021-10-03T00:00:00"/>
    <s v="P0019"/>
    <n v="9"/>
    <x v="2"/>
    <x v="0"/>
    <n v="0"/>
    <x v="40"/>
    <x v="2"/>
    <s v="Ft"/>
    <n v="150"/>
    <n v="210"/>
    <n v="1350"/>
    <n v="1890"/>
    <n v="540"/>
    <x v="2"/>
    <x v="9"/>
    <x v="0"/>
  </r>
  <r>
    <d v="2021-10-06T00:00:00"/>
    <s v="P0035"/>
    <n v="1"/>
    <x v="2"/>
    <x v="0"/>
    <n v="0"/>
    <x v="4"/>
    <x v="4"/>
    <s v="No."/>
    <n v="5"/>
    <n v="6.7"/>
    <n v="5"/>
    <n v="6.7"/>
    <n v="1.7000000000000002"/>
    <x v="16"/>
    <x v="9"/>
    <x v="0"/>
  </r>
  <r>
    <d v="2021-10-06T00:00:00"/>
    <s v="P0036"/>
    <n v="12"/>
    <x v="1"/>
    <x v="0"/>
    <n v="0"/>
    <x v="43"/>
    <x v="4"/>
    <s v="Kg"/>
    <n v="90"/>
    <n v="96.3"/>
    <n v="1080"/>
    <n v="1155.5999999999999"/>
    <n v="75.599999999999909"/>
    <x v="16"/>
    <x v="9"/>
    <x v="0"/>
  </r>
  <r>
    <d v="2021-10-07T00:00:00"/>
    <s v="P0026"/>
    <n v="6"/>
    <x v="2"/>
    <x v="1"/>
    <n v="0"/>
    <x v="42"/>
    <x v="4"/>
    <s v="No."/>
    <n v="18"/>
    <n v="24.66"/>
    <n v="108"/>
    <n v="147.96"/>
    <n v="39.960000000000008"/>
    <x v="20"/>
    <x v="9"/>
    <x v="0"/>
  </r>
  <r>
    <d v="2021-10-09T00:00:00"/>
    <s v="P0038"/>
    <n v="5"/>
    <x v="2"/>
    <x v="1"/>
    <n v="0"/>
    <x v="1"/>
    <x v="1"/>
    <s v="Kg"/>
    <n v="72"/>
    <n v="79.92"/>
    <n v="360"/>
    <n v="399.6"/>
    <n v="39.600000000000023"/>
    <x v="4"/>
    <x v="9"/>
    <x v="0"/>
  </r>
  <r>
    <d v="2021-10-09T00:00:00"/>
    <s v="P0032"/>
    <n v="11"/>
    <x v="1"/>
    <x v="1"/>
    <n v="0"/>
    <x v="18"/>
    <x v="4"/>
    <s v="Kg"/>
    <n v="89"/>
    <n v="117.48"/>
    <n v="979"/>
    <n v="1292.28"/>
    <n v="313.27999999999997"/>
    <x v="4"/>
    <x v="9"/>
    <x v="0"/>
  </r>
  <r>
    <d v="2021-10-10T00:00:00"/>
    <s v="P0035"/>
    <n v="14"/>
    <x v="2"/>
    <x v="1"/>
    <n v="0"/>
    <x v="4"/>
    <x v="4"/>
    <s v="No."/>
    <n v="5"/>
    <n v="6.7"/>
    <n v="70"/>
    <n v="93.8"/>
    <n v="23.799999999999997"/>
    <x v="26"/>
    <x v="9"/>
    <x v="0"/>
  </r>
  <r>
    <d v="2021-10-11T00:00:00"/>
    <s v="P0011"/>
    <n v="15"/>
    <x v="2"/>
    <x v="1"/>
    <n v="0"/>
    <x v="31"/>
    <x v="2"/>
    <s v="Lt"/>
    <n v="44"/>
    <n v="48.4"/>
    <n v="660"/>
    <n v="726"/>
    <n v="66"/>
    <x v="5"/>
    <x v="9"/>
    <x v="0"/>
  </r>
  <r>
    <d v="2021-10-12T00:00:00"/>
    <s v="P0027"/>
    <n v="8"/>
    <x v="1"/>
    <x v="0"/>
    <n v="0"/>
    <x v="26"/>
    <x v="4"/>
    <s v="Lt"/>
    <n v="48"/>
    <n v="57.120000000000005"/>
    <n v="384"/>
    <n v="456.96000000000004"/>
    <n v="72.960000000000036"/>
    <x v="6"/>
    <x v="9"/>
    <x v="0"/>
  </r>
  <r>
    <d v="2021-10-17T00:00:00"/>
    <s v="P0001"/>
    <n v="13"/>
    <x v="2"/>
    <x v="0"/>
    <n v="0"/>
    <x v="16"/>
    <x v="3"/>
    <s v="Kg"/>
    <n v="98"/>
    <n v="103.88"/>
    <n v="1274"/>
    <n v="1350.44"/>
    <n v="76.440000000000055"/>
    <x v="30"/>
    <x v="9"/>
    <x v="0"/>
  </r>
  <r>
    <d v="2021-10-18T00:00:00"/>
    <s v="P0025"/>
    <n v="6"/>
    <x v="1"/>
    <x v="1"/>
    <n v="0"/>
    <x v="7"/>
    <x v="0"/>
    <s v="No."/>
    <n v="7"/>
    <n v="8.33"/>
    <n v="42"/>
    <n v="49.980000000000004"/>
    <n v="7.980000000000004"/>
    <x v="7"/>
    <x v="9"/>
    <x v="0"/>
  </r>
  <r>
    <d v="2021-10-18T00:00:00"/>
    <s v="P0021"/>
    <n v="13"/>
    <x v="1"/>
    <x v="1"/>
    <n v="0"/>
    <x v="32"/>
    <x v="0"/>
    <s v="Ft"/>
    <n v="126"/>
    <n v="162.54"/>
    <n v="1638"/>
    <n v="2113.02"/>
    <n v="475.02"/>
    <x v="7"/>
    <x v="9"/>
    <x v="0"/>
  </r>
  <r>
    <d v="2021-10-22T00:00:00"/>
    <s v="P0011"/>
    <n v="7"/>
    <x v="2"/>
    <x v="1"/>
    <n v="0"/>
    <x v="31"/>
    <x v="2"/>
    <s v="Lt"/>
    <n v="44"/>
    <n v="48.4"/>
    <n v="308"/>
    <n v="338.8"/>
    <n v="30.800000000000011"/>
    <x v="18"/>
    <x v="9"/>
    <x v="0"/>
  </r>
  <r>
    <d v="2021-10-22T00:00:00"/>
    <s v="P0024"/>
    <n v="13"/>
    <x v="1"/>
    <x v="1"/>
    <n v="0"/>
    <x v="0"/>
    <x v="0"/>
    <s v="Ft"/>
    <n v="144"/>
    <n v="156.96"/>
    <n v="1872"/>
    <n v="2040.48"/>
    <n v="168.48000000000002"/>
    <x v="18"/>
    <x v="9"/>
    <x v="0"/>
  </r>
  <r>
    <d v="2021-10-22T00:00:00"/>
    <s v="P0009"/>
    <n v="1"/>
    <x v="2"/>
    <x v="1"/>
    <n v="0"/>
    <x v="37"/>
    <x v="0"/>
    <s v="No."/>
    <n v="6"/>
    <n v="7.8599999999999994"/>
    <n v="6"/>
    <n v="7.8599999999999994"/>
    <n v="1.8599999999999994"/>
    <x v="18"/>
    <x v="9"/>
    <x v="0"/>
  </r>
  <r>
    <d v="2021-10-24T00:00:00"/>
    <s v="P0011"/>
    <n v="3"/>
    <x v="0"/>
    <x v="1"/>
    <n v="0"/>
    <x v="31"/>
    <x v="2"/>
    <s v="Lt"/>
    <n v="44"/>
    <n v="48.4"/>
    <n v="132"/>
    <n v="145.19999999999999"/>
    <n v="13.199999999999989"/>
    <x v="27"/>
    <x v="9"/>
    <x v="0"/>
  </r>
  <r>
    <d v="2021-10-25T00:00:00"/>
    <s v="P0044"/>
    <n v="9"/>
    <x v="1"/>
    <x v="1"/>
    <n v="0"/>
    <x v="11"/>
    <x v="1"/>
    <s v="Kg"/>
    <n v="76"/>
    <n v="82.08"/>
    <n v="684"/>
    <n v="738.72"/>
    <n v="54.720000000000027"/>
    <x v="11"/>
    <x v="9"/>
    <x v="0"/>
  </r>
  <r>
    <d v="2021-10-26T00:00:00"/>
    <s v="P0004"/>
    <n v="6"/>
    <x v="0"/>
    <x v="1"/>
    <n v="0"/>
    <x v="3"/>
    <x v="3"/>
    <s v="Lt"/>
    <n v="44"/>
    <n v="48.84"/>
    <n v="264"/>
    <n v="293.04000000000002"/>
    <n v="29.04000000000002"/>
    <x v="12"/>
    <x v="9"/>
    <x v="0"/>
  </r>
  <r>
    <d v="2021-10-28T00:00:00"/>
    <s v="P0008"/>
    <n v="1"/>
    <x v="2"/>
    <x v="1"/>
    <n v="0"/>
    <x v="25"/>
    <x v="3"/>
    <s v="Kg"/>
    <n v="83"/>
    <n v="94.62"/>
    <n v="83"/>
    <n v="94.62"/>
    <n v="11.620000000000005"/>
    <x v="14"/>
    <x v="9"/>
    <x v="0"/>
  </r>
  <r>
    <d v="2021-10-29T00:00:00"/>
    <s v="P0038"/>
    <n v="14"/>
    <x v="1"/>
    <x v="0"/>
    <n v="0"/>
    <x v="1"/>
    <x v="1"/>
    <s v="Kg"/>
    <n v="72"/>
    <n v="79.92"/>
    <n v="1008"/>
    <n v="1118.8800000000001"/>
    <n v="110.88000000000011"/>
    <x v="28"/>
    <x v="9"/>
    <x v="0"/>
  </r>
  <r>
    <d v="2021-10-31T00:00:00"/>
    <s v="P0021"/>
    <n v="6"/>
    <x v="1"/>
    <x v="1"/>
    <n v="0"/>
    <x v="32"/>
    <x v="0"/>
    <s v="Ft"/>
    <n v="126"/>
    <n v="162.54"/>
    <n v="756"/>
    <n v="975.24"/>
    <n v="219.24"/>
    <x v="25"/>
    <x v="9"/>
    <x v="0"/>
  </r>
  <r>
    <d v="2021-11-03T00:00:00"/>
    <s v="P0013"/>
    <n v="12"/>
    <x v="2"/>
    <x v="1"/>
    <n v="0"/>
    <x v="2"/>
    <x v="2"/>
    <s v="Kg"/>
    <n v="112"/>
    <n v="122.08"/>
    <n v="1344"/>
    <n v="1464.96"/>
    <n v="120.96000000000004"/>
    <x v="2"/>
    <x v="10"/>
    <x v="0"/>
  </r>
  <r>
    <d v="2021-11-06T00:00:00"/>
    <s v="P0036"/>
    <n v="10"/>
    <x v="2"/>
    <x v="0"/>
    <n v="0"/>
    <x v="43"/>
    <x v="4"/>
    <s v="Kg"/>
    <n v="90"/>
    <n v="96.3"/>
    <n v="900"/>
    <n v="963"/>
    <n v="63"/>
    <x v="16"/>
    <x v="10"/>
    <x v="0"/>
  </r>
  <r>
    <d v="2021-11-08T00:00:00"/>
    <s v="P0007"/>
    <n v="15"/>
    <x v="2"/>
    <x v="0"/>
    <n v="0"/>
    <x v="36"/>
    <x v="3"/>
    <s v="Lt"/>
    <n v="43"/>
    <n v="47.730000000000004"/>
    <n v="645"/>
    <n v="715.95"/>
    <n v="70.950000000000045"/>
    <x v="21"/>
    <x v="10"/>
    <x v="0"/>
  </r>
  <r>
    <d v="2021-11-10T00:00:00"/>
    <s v="P0042"/>
    <n v="6"/>
    <x v="1"/>
    <x v="1"/>
    <n v="0"/>
    <x v="10"/>
    <x v="1"/>
    <s v="Ft"/>
    <n v="120"/>
    <n v="162"/>
    <n v="720"/>
    <n v="972"/>
    <n v="252"/>
    <x v="26"/>
    <x v="10"/>
    <x v="0"/>
  </r>
  <r>
    <d v="2021-11-11T00:00:00"/>
    <s v="P0040"/>
    <n v="12"/>
    <x v="0"/>
    <x v="0"/>
    <n v="0"/>
    <x v="17"/>
    <x v="1"/>
    <s v="Kg"/>
    <n v="90"/>
    <n v="115.2"/>
    <n v="1080"/>
    <n v="1382.4"/>
    <n v="302.40000000000009"/>
    <x v="5"/>
    <x v="10"/>
    <x v="0"/>
  </r>
  <r>
    <d v="2021-11-12T00:00:00"/>
    <s v="P0010"/>
    <n v="3"/>
    <x v="1"/>
    <x v="1"/>
    <n v="0"/>
    <x v="20"/>
    <x v="2"/>
    <s v="Ft"/>
    <n v="148"/>
    <n v="164.28"/>
    <n v="444"/>
    <n v="492.84000000000003"/>
    <n v="48.840000000000032"/>
    <x v="6"/>
    <x v="10"/>
    <x v="0"/>
  </r>
  <r>
    <d v="2021-11-20T00:00:00"/>
    <s v="P0034"/>
    <n v="14"/>
    <x v="1"/>
    <x v="0"/>
    <n v="0"/>
    <x v="13"/>
    <x v="4"/>
    <s v="Lt"/>
    <n v="55"/>
    <n v="58.3"/>
    <n v="770"/>
    <n v="816.19999999999993"/>
    <n v="46.199999999999932"/>
    <x v="9"/>
    <x v="10"/>
    <x v="0"/>
  </r>
  <r>
    <d v="2021-11-20T00:00:00"/>
    <s v="P0008"/>
    <n v="11"/>
    <x v="1"/>
    <x v="1"/>
    <n v="0"/>
    <x v="25"/>
    <x v="3"/>
    <s v="Kg"/>
    <n v="83"/>
    <n v="94.62"/>
    <n v="913"/>
    <n v="1040.8200000000002"/>
    <n v="127.82000000000016"/>
    <x v="9"/>
    <x v="10"/>
    <x v="0"/>
  </r>
  <r>
    <d v="2021-11-21T00:00:00"/>
    <s v="P0014"/>
    <n v="1"/>
    <x v="0"/>
    <x v="0"/>
    <n v="0"/>
    <x v="9"/>
    <x v="2"/>
    <s v="Kg"/>
    <n v="112"/>
    <n v="146.72"/>
    <n v="112"/>
    <n v="146.72"/>
    <n v="34.72"/>
    <x v="10"/>
    <x v="10"/>
    <x v="0"/>
  </r>
  <r>
    <d v="2021-11-21T00:00:00"/>
    <s v="P0006"/>
    <n v="1"/>
    <x v="1"/>
    <x v="1"/>
    <n v="0"/>
    <x v="15"/>
    <x v="3"/>
    <s v="Kg"/>
    <n v="75"/>
    <n v="85.5"/>
    <n v="75"/>
    <n v="85.5"/>
    <n v="10.5"/>
    <x v="10"/>
    <x v="10"/>
    <x v="0"/>
  </r>
  <r>
    <d v="2021-11-27T00:00:00"/>
    <s v="P0012"/>
    <n v="8"/>
    <x v="1"/>
    <x v="0"/>
    <n v="0"/>
    <x v="35"/>
    <x v="2"/>
    <s v="Kg"/>
    <n v="73"/>
    <n v="94.17"/>
    <n v="584"/>
    <n v="753.36"/>
    <n v="169.36"/>
    <x v="13"/>
    <x v="10"/>
    <x v="0"/>
  </r>
  <r>
    <d v="2021-11-28T00:00:00"/>
    <s v="P0040"/>
    <n v="2"/>
    <x v="2"/>
    <x v="1"/>
    <n v="0"/>
    <x v="17"/>
    <x v="1"/>
    <s v="Kg"/>
    <n v="90"/>
    <n v="115.2"/>
    <n v="180"/>
    <n v="230.4"/>
    <n v="50.400000000000006"/>
    <x v="14"/>
    <x v="10"/>
    <x v="0"/>
  </r>
  <r>
    <d v="2021-11-30T00:00:00"/>
    <s v="P0039"/>
    <n v="15"/>
    <x v="2"/>
    <x v="0"/>
    <n v="0"/>
    <x v="34"/>
    <x v="1"/>
    <s v="No."/>
    <n v="37"/>
    <n v="42.55"/>
    <n v="555"/>
    <n v="638.25"/>
    <n v="83.25"/>
    <x v="24"/>
    <x v="10"/>
    <x v="0"/>
  </r>
  <r>
    <d v="2021-12-02T00:00:00"/>
    <s v="P0016"/>
    <n v="10"/>
    <x v="2"/>
    <x v="1"/>
    <n v="0"/>
    <x v="21"/>
    <x v="2"/>
    <s v="No."/>
    <n v="13"/>
    <n v="16.64"/>
    <n v="130"/>
    <n v="166.4"/>
    <n v="36.400000000000006"/>
    <x v="1"/>
    <x v="11"/>
    <x v="0"/>
  </r>
  <r>
    <d v="2021-12-03T00:00:00"/>
    <s v="P0034"/>
    <n v="2"/>
    <x v="1"/>
    <x v="1"/>
    <n v="0"/>
    <x v="13"/>
    <x v="4"/>
    <s v="Lt"/>
    <n v="55"/>
    <n v="58.3"/>
    <n v="110"/>
    <n v="116.6"/>
    <n v="6.5999999999999943"/>
    <x v="2"/>
    <x v="11"/>
    <x v="0"/>
  </r>
  <r>
    <d v="2021-12-03T00:00:00"/>
    <s v="P0019"/>
    <n v="8"/>
    <x v="1"/>
    <x v="0"/>
    <n v="0"/>
    <x v="40"/>
    <x v="2"/>
    <s v="Ft"/>
    <n v="150"/>
    <n v="210"/>
    <n v="1200"/>
    <n v="1680"/>
    <n v="480"/>
    <x v="2"/>
    <x v="11"/>
    <x v="0"/>
  </r>
  <r>
    <d v="2021-12-05T00:00:00"/>
    <s v="P0004"/>
    <n v="15"/>
    <x v="2"/>
    <x v="1"/>
    <n v="0"/>
    <x v="3"/>
    <x v="3"/>
    <s v="Lt"/>
    <n v="44"/>
    <n v="48.84"/>
    <n v="660"/>
    <n v="732.6"/>
    <n v="72.600000000000023"/>
    <x v="15"/>
    <x v="11"/>
    <x v="0"/>
  </r>
  <r>
    <d v="2021-12-05T00:00:00"/>
    <s v="P0010"/>
    <n v="1"/>
    <x v="2"/>
    <x v="0"/>
    <n v="0"/>
    <x v="20"/>
    <x v="2"/>
    <s v="Ft"/>
    <n v="148"/>
    <n v="164.28"/>
    <n v="148"/>
    <n v="164.28"/>
    <n v="16.28"/>
    <x v="15"/>
    <x v="11"/>
    <x v="0"/>
  </r>
  <r>
    <d v="2021-12-07T00:00:00"/>
    <s v="P0013"/>
    <n v="8"/>
    <x v="2"/>
    <x v="0"/>
    <n v="0"/>
    <x v="2"/>
    <x v="2"/>
    <s v="Kg"/>
    <n v="112"/>
    <n v="122.08"/>
    <n v="896"/>
    <n v="976.64"/>
    <n v="80.639999999999986"/>
    <x v="20"/>
    <x v="11"/>
    <x v="0"/>
  </r>
  <r>
    <d v="2021-12-08T00:00:00"/>
    <s v="P0044"/>
    <n v="14"/>
    <x v="2"/>
    <x v="0"/>
    <n v="0"/>
    <x v="11"/>
    <x v="1"/>
    <s v="Kg"/>
    <n v="76"/>
    <n v="82.08"/>
    <n v="1064"/>
    <n v="1149.1199999999999"/>
    <n v="85.119999999999891"/>
    <x v="21"/>
    <x v="11"/>
    <x v="0"/>
  </r>
  <r>
    <d v="2021-12-14T00:00:00"/>
    <s v="P0042"/>
    <n v="4"/>
    <x v="2"/>
    <x v="0"/>
    <n v="0"/>
    <x v="10"/>
    <x v="1"/>
    <s v="Ft"/>
    <n v="120"/>
    <n v="162"/>
    <n v="480"/>
    <n v="648"/>
    <n v="168"/>
    <x v="29"/>
    <x v="11"/>
    <x v="0"/>
  </r>
  <r>
    <d v="2021-12-18T00:00:00"/>
    <s v="P0003"/>
    <n v="2"/>
    <x v="2"/>
    <x v="1"/>
    <n v="0"/>
    <x v="6"/>
    <x v="3"/>
    <s v="Kg"/>
    <n v="71"/>
    <n v="80.94"/>
    <n v="142"/>
    <n v="161.88"/>
    <n v="19.879999999999995"/>
    <x v="7"/>
    <x v="11"/>
    <x v="0"/>
  </r>
  <r>
    <d v="2021-12-18T00:00:00"/>
    <s v="P0022"/>
    <n v="8"/>
    <x v="1"/>
    <x v="1"/>
    <n v="0"/>
    <x v="22"/>
    <x v="0"/>
    <s v="Ft"/>
    <n v="121"/>
    <n v="141.57"/>
    <n v="968"/>
    <n v="1132.56"/>
    <n v="164.55999999999995"/>
    <x v="7"/>
    <x v="11"/>
    <x v="0"/>
  </r>
  <r>
    <d v="2021-12-19T00:00:00"/>
    <s v="P0023"/>
    <n v="12"/>
    <x v="2"/>
    <x v="0"/>
    <n v="0"/>
    <x v="12"/>
    <x v="0"/>
    <s v="Ft"/>
    <n v="141"/>
    <n v="149.46"/>
    <n v="1692"/>
    <n v="1793.52"/>
    <n v="101.51999999999998"/>
    <x v="8"/>
    <x v="11"/>
    <x v="0"/>
  </r>
  <r>
    <d v="2021-12-19T00:00:00"/>
    <s v="P0029"/>
    <n v="3"/>
    <x v="0"/>
    <x v="0"/>
    <n v="0"/>
    <x v="19"/>
    <x v="4"/>
    <s v="Lt"/>
    <n v="47"/>
    <n v="53.11"/>
    <n v="141"/>
    <n v="159.32999999999998"/>
    <n v="18.329999999999984"/>
    <x v="8"/>
    <x v="11"/>
    <x v="0"/>
  </r>
  <r>
    <d v="2021-12-19T00:00:00"/>
    <s v="P0011"/>
    <n v="10"/>
    <x v="1"/>
    <x v="0"/>
    <n v="0"/>
    <x v="31"/>
    <x v="2"/>
    <s v="Lt"/>
    <n v="44"/>
    <n v="48.4"/>
    <n v="440"/>
    <n v="484"/>
    <n v="44"/>
    <x v="8"/>
    <x v="11"/>
    <x v="0"/>
  </r>
  <r>
    <d v="2021-12-20T00:00:00"/>
    <s v="P0012"/>
    <n v="14"/>
    <x v="2"/>
    <x v="0"/>
    <n v="0"/>
    <x v="35"/>
    <x v="2"/>
    <s v="Kg"/>
    <n v="73"/>
    <n v="94.17"/>
    <n v="1022"/>
    <n v="1318.38"/>
    <n v="296.38000000000011"/>
    <x v="9"/>
    <x v="11"/>
    <x v="0"/>
  </r>
  <r>
    <d v="2021-12-21T00:00:00"/>
    <s v="P0026"/>
    <n v="10"/>
    <x v="1"/>
    <x v="1"/>
    <n v="0"/>
    <x v="42"/>
    <x v="4"/>
    <s v="No."/>
    <n v="18"/>
    <n v="24.66"/>
    <n v="180"/>
    <n v="246.6"/>
    <n v="66.599999999999994"/>
    <x v="10"/>
    <x v="11"/>
    <x v="0"/>
  </r>
  <r>
    <d v="2021-12-24T00:00:00"/>
    <s v="P0042"/>
    <n v="8"/>
    <x v="0"/>
    <x v="1"/>
    <n v="0"/>
    <x v="10"/>
    <x v="1"/>
    <s v="Ft"/>
    <n v="120"/>
    <n v="162"/>
    <n v="960"/>
    <n v="1296"/>
    <n v="336"/>
    <x v="27"/>
    <x v="11"/>
    <x v="0"/>
  </r>
  <r>
    <d v="2021-12-24T00:00:00"/>
    <s v="P0036"/>
    <n v="8"/>
    <x v="0"/>
    <x v="0"/>
    <n v="0"/>
    <x v="43"/>
    <x v="4"/>
    <s v="Kg"/>
    <n v="90"/>
    <n v="96.3"/>
    <n v="720"/>
    <n v="770.4"/>
    <n v="50.399999999999977"/>
    <x v="27"/>
    <x v="11"/>
    <x v="0"/>
  </r>
  <r>
    <d v="2021-12-26T00:00:00"/>
    <s v="P0041"/>
    <n v="14"/>
    <x v="1"/>
    <x v="1"/>
    <n v="0"/>
    <x v="41"/>
    <x v="1"/>
    <s v="Ft"/>
    <n v="138"/>
    <n v="173.88"/>
    <n v="1932"/>
    <n v="2434.3199999999997"/>
    <n v="502.31999999999971"/>
    <x v="12"/>
    <x v="11"/>
    <x v="0"/>
  </r>
  <r>
    <d v="2021-12-27T00:00:00"/>
    <s v="P0029"/>
    <n v="14"/>
    <x v="2"/>
    <x v="1"/>
    <n v="0"/>
    <x v="19"/>
    <x v="4"/>
    <s v="Lt"/>
    <n v="47"/>
    <n v="53.11"/>
    <n v="658"/>
    <n v="743.54"/>
    <n v="85.539999999999964"/>
    <x v="13"/>
    <x v="11"/>
    <x v="0"/>
  </r>
  <r>
    <d v="2021-12-28T00:00:00"/>
    <s v="P0029"/>
    <n v="6"/>
    <x v="2"/>
    <x v="1"/>
    <n v="0"/>
    <x v="19"/>
    <x v="4"/>
    <s v="Lt"/>
    <n v="47"/>
    <n v="53.11"/>
    <n v="282"/>
    <n v="318.65999999999997"/>
    <n v="36.659999999999968"/>
    <x v="14"/>
    <x v="11"/>
    <x v="0"/>
  </r>
  <r>
    <d v="2021-12-30T00:00:00"/>
    <s v="P0010"/>
    <n v="13"/>
    <x v="1"/>
    <x v="0"/>
    <n v="0"/>
    <x v="20"/>
    <x v="2"/>
    <s v="Ft"/>
    <n v="148"/>
    <n v="164.28"/>
    <n v="1924"/>
    <n v="2135.64"/>
    <n v="211.63999999999987"/>
    <x v="24"/>
    <x v="11"/>
    <x v="0"/>
  </r>
  <r>
    <d v="2022-01-01T00:00:00"/>
    <s v="P0022"/>
    <n v="1"/>
    <x v="0"/>
    <x v="1"/>
    <n v="0"/>
    <x v="22"/>
    <x v="0"/>
    <s v="Ft"/>
    <n v="121"/>
    <n v="141.57"/>
    <n v="121"/>
    <n v="141.57"/>
    <n v="20.569999999999993"/>
    <x v="0"/>
    <x v="0"/>
    <x v="1"/>
  </r>
  <r>
    <d v="2022-01-02T00:00:00"/>
    <s v="P0010"/>
    <n v="7"/>
    <x v="2"/>
    <x v="1"/>
    <n v="0"/>
    <x v="20"/>
    <x v="2"/>
    <s v="Ft"/>
    <n v="148"/>
    <n v="164.28"/>
    <n v="1036"/>
    <n v="1149.96"/>
    <n v="113.96000000000004"/>
    <x v="1"/>
    <x v="0"/>
    <x v="1"/>
  </r>
  <r>
    <d v="2022-01-02T00:00:00"/>
    <s v="P0015"/>
    <n v="2"/>
    <x v="1"/>
    <x v="1"/>
    <n v="0"/>
    <x v="27"/>
    <x v="2"/>
    <s v="No."/>
    <n v="12"/>
    <n v="15.719999999999999"/>
    <n v="24"/>
    <n v="31.439999999999998"/>
    <n v="7.4399999999999977"/>
    <x v="1"/>
    <x v="0"/>
    <x v="1"/>
  </r>
  <r>
    <d v="2022-01-02T00:00:00"/>
    <s v="P0033"/>
    <n v="1"/>
    <x v="2"/>
    <x v="1"/>
    <n v="0"/>
    <x v="38"/>
    <x v="4"/>
    <s v="Kg"/>
    <n v="95"/>
    <n v="119.7"/>
    <n v="95"/>
    <n v="119.7"/>
    <n v="24.700000000000003"/>
    <x v="1"/>
    <x v="0"/>
    <x v="1"/>
  </r>
  <r>
    <d v="2022-01-03T00:00:00"/>
    <s v="P0043"/>
    <n v="9"/>
    <x v="2"/>
    <x v="1"/>
    <n v="0"/>
    <x v="23"/>
    <x v="1"/>
    <s v="Kg"/>
    <n v="67"/>
    <n v="83.08"/>
    <n v="603"/>
    <n v="747.72"/>
    <n v="144.72000000000003"/>
    <x v="2"/>
    <x v="0"/>
    <x v="1"/>
  </r>
  <r>
    <d v="2022-01-04T00:00:00"/>
    <s v="P0012"/>
    <n v="8"/>
    <x v="2"/>
    <x v="0"/>
    <n v="0"/>
    <x v="35"/>
    <x v="2"/>
    <s v="Kg"/>
    <n v="73"/>
    <n v="94.17"/>
    <n v="584"/>
    <n v="753.36"/>
    <n v="169.36"/>
    <x v="3"/>
    <x v="0"/>
    <x v="1"/>
  </r>
  <r>
    <d v="2022-01-04T00:00:00"/>
    <s v="P0029"/>
    <n v="1"/>
    <x v="1"/>
    <x v="0"/>
    <n v="0"/>
    <x v="19"/>
    <x v="4"/>
    <s v="Lt"/>
    <n v="47"/>
    <n v="53.11"/>
    <n v="47"/>
    <n v="53.11"/>
    <n v="6.1099999999999994"/>
    <x v="3"/>
    <x v="0"/>
    <x v="1"/>
  </r>
  <r>
    <d v="2022-01-09T00:00:00"/>
    <s v="P0032"/>
    <n v="12"/>
    <x v="2"/>
    <x v="0"/>
    <n v="0"/>
    <x v="18"/>
    <x v="4"/>
    <s v="Kg"/>
    <n v="89"/>
    <n v="117.48"/>
    <n v="1068"/>
    <n v="1409.76"/>
    <n v="341.76"/>
    <x v="4"/>
    <x v="0"/>
    <x v="1"/>
  </r>
  <r>
    <d v="2022-01-10T00:00:00"/>
    <s v="P0034"/>
    <n v="14"/>
    <x v="1"/>
    <x v="0"/>
    <n v="0"/>
    <x v="13"/>
    <x v="4"/>
    <s v="Lt"/>
    <n v="55"/>
    <n v="58.3"/>
    <n v="770"/>
    <n v="816.19999999999993"/>
    <n v="46.199999999999932"/>
    <x v="26"/>
    <x v="0"/>
    <x v="1"/>
  </r>
  <r>
    <d v="2022-01-11T00:00:00"/>
    <s v="P0032"/>
    <n v="2"/>
    <x v="2"/>
    <x v="0"/>
    <n v="0"/>
    <x v="18"/>
    <x v="4"/>
    <s v="Kg"/>
    <n v="89"/>
    <n v="117.48"/>
    <n v="178"/>
    <n v="234.96"/>
    <n v="56.960000000000008"/>
    <x v="5"/>
    <x v="0"/>
    <x v="1"/>
  </r>
  <r>
    <d v="2022-01-13T00:00:00"/>
    <s v="P0019"/>
    <n v="6"/>
    <x v="1"/>
    <x v="0"/>
    <n v="0"/>
    <x v="40"/>
    <x v="2"/>
    <s v="Ft"/>
    <n v="150"/>
    <n v="210"/>
    <n v="900"/>
    <n v="1260"/>
    <n v="360"/>
    <x v="22"/>
    <x v="0"/>
    <x v="1"/>
  </r>
  <r>
    <d v="2022-01-14T00:00:00"/>
    <s v="P0011"/>
    <n v="14"/>
    <x v="2"/>
    <x v="0"/>
    <n v="0"/>
    <x v="31"/>
    <x v="2"/>
    <s v="Lt"/>
    <n v="44"/>
    <n v="48.4"/>
    <n v="616"/>
    <n v="677.6"/>
    <n v="61.600000000000023"/>
    <x v="29"/>
    <x v="0"/>
    <x v="1"/>
  </r>
  <r>
    <d v="2022-01-15T00:00:00"/>
    <s v="P0022"/>
    <n v="10"/>
    <x v="2"/>
    <x v="1"/>
    <n v="0"/>
    <x v="22"/>
    <x v="0"/>
    <s v="Ft"/>
    <n v="121"/>
    <n v="141.57"/>
    <n v="1210"/>
    <n v="1415.6999999999998"/>
    <n v="205.69999999999982"/>
    <x v="17"/>
    <x v="0"/>
    <x v="1"/>
  </r>
  <r>
    <d v="2022-01-16T00:00:00"/>
    <s v="P0014"/>
    <n v="11"/>
    <x v="1"/>
    <x v="1"/>
    <n v="0"/>
    <x v="9"/>
    <x v="2"/>
    <s v="Kg"/>
    <n v="112"/>
    <n v="146.72"/>
    <n v="1232"/>
    <n v="1613.92"/>
    <n v="381.92000000000007"/>
    <x v="23"/>
    <x v="0"/>
    <x v="1"/>
  </r>
  <r>
    <d v="2022-01-17T00:00:00"/>
    <s v="P0040"/>
    <n v="4"/>
    <x v="1"/>
    <x v="0"/>
    <n v="0"/>
    <x v="17"/>
    <x v="1"/>
    <s v="Kg"/>
    <n v="90"/>
    <n v="115.2"/>
    <n v="360"/>
    <n v="460.8"/>
    <n v="100.80000000000001"/>
    <x v="30"/>
    <x v="0"/>
    <x v="1"/>
  </r>
  <r>
    <d v="2022-01-18T00:00:00"/>
    <s v="P0008"/>
    <n v="9"/>
    <x v="0"/>
    <x v="1"/>
    <n v="0"/>
    <x v="25"/>
    <x v="3"/>
    <s v="Kg"/>
    <n v="83"/>
    <n v="94.62"/>
    <n v="747"/>
    <n v="851.58"/>
    <n v="104.58000000000004"/>
    <x v="7"/>
    <x v="0"/>
    <x v="1"/>
  </r>
  <r>
    <d v="2022-01-20T00:00:00"/>
    <s v="P0021"/>
    <n v="2"/>
    <x v="2"/>
    <x v="1"/>
    <n v="0"/>
    <x v="32"/>
    <x v="0"/>
    <s v="Ft"/>
    <n v="126"/>
    <n v="162.54"/>
    <n v="252"/>
    <n v="325.08"/>
    <n v="73.079999999999984"/>
    <x v="9"/>
    <x v="0"/>
    <x v="1"/>
  </r>
  <r>
    <d v="2022-01-20T00:00:00"/>
    <s v="P0014"/>
    <n v="7"/>
    <x v="1"/>
    <x v="0"/>
    <n v="0"/>
    <x v="9"/>
    <x v="2"/>
    <s v="Kg"/>
    <n v="112"/>
    <n v="146.72"/>
    <n v="784"/>
    <n v="1027.04"/>
    <n v="243.03999999999996"/>
    <x v="9"/>
    <x v="0"/>
    <x v="1"/>
  </r>
  <r>
    <d v="2022-01-22T00:00:00"/>
    <s v="P0001"/>
    <n v="6"/>
    <x v="1"/>
    <x v="1"/>
    <n v="0"/>
    <x v="16"/>
    <x v="3"/>
    <s v="Kg"/>
    <n v="98"/>
    <n v="103.88"/>
    <n v="588"/>
    <n v="623.28"/>
    <n v="35.279999999999973"/>
    <x v="18"/>
    <x v="0"/>
    <x v="1"/>
  </r>
  <r>
    <d v="2022-01-23T00:00:00"/>
    <s v="P0002"/>
    <n v="5"/>
    <x v="0"/>
    <x v="1"/>
    <n v="0"/>
    <x v="29"/>
    <x v="3"/>
    <s v="Kg"/>
    <n v="105"/>
    <n v="142.80000000000001"/>
    <n v="525"/>
    <n v="714"/>
    <n v="189"/>
    <x v="19"/>
    <x v="0"/>
    <x v="1"/>
  </r>
  <r>
    <d v="2022-01-23T00:00:00"/>
    <s v="P0042"/>
    <n v="8"/>
    <x v="2"/>
    <x v="0"/>
    <n v="0"/>
    <x v="10"/>
    <x v="1"/>
    <s v="Ft"/>
    <n v="120"/>
    <n v="162"/>
    <n v="960"/>
    <n v="1296"/>
    <n v="336"/>
    <x v="19"/>
    <x v="0"/>
    <x v="1"/>
  </r>
  <r>
    <d v="2022-01-24T00:00:00"/>
    <s v="P0030"/>
    <n v="15"/>
    <x v="1"/>
    <x v="0"/>
    <n v="0"/>
    <x v="28"/>
    <x v="4"/>
    <s v="Ft"/>
    <n v="148"/>
    <n v="201.28"/>
    <n v="2220"/>
    <n v="3019.2"/>
    <n v="799.19999999999982"/>
    <x v="27"/>
    <x v="0"/>
    <x v="1"/>
  </r>
  <r>
    <d v="2022-01-25T00:00:00"/>
    <s v="P0017"/>
    <n v="14"/>
    <x v="2"/>
    <x v="1"/>
    <n v="0"/>
    <x v="39"/>
    <x v="2"/>
    <s v="Ft"/>
    <n v="134"/>
    <n v="156.78"/>
    <n v="1876"/>
    <n v="2194.92"/>
    <n v="318.92000000000007"/>
    <x v="11"/>
    <x v="0"/>
    <x v="1"/>
  </r>
  <r>
    <d v="2022-01-28T00:00:00"/>
    <s v="P0016"/>
    <n v="11"/>
    <x v="2"/>
    <x v="0"/>
    <n v="0"/>
    <x v="21"/>
    <x v="2"/>
    <s v="No."/>
    <n v="13"/>
    <n v="16.64"/>
    <n v="143"/>
    <n v="183.04000000000002"/>
    <n v="40.04000000000002"/>
    <x v="14"/>
    <x v="0"/>
    <x v="1"/>
  </r>
  <r>
    <d v="2022-01-31T00:00:00"/>
    <s v="P0023"/>
    <n v="6"/>
    <x v="1"/>
    <x v="1"/>
    <n v="0"/>
    <x v="12"/>
    <x v="0"/>
    <s v="Ft"/>
    <n v="141"/>
    <n v="149.46"/>
    <n v="846"/>
    <n v="896.76"/>
    <n v="50.759999999999991"/>
    <x v="25"/>
    <x v="0"/>
    <x v="1"/>
  </r>
  <r>
    <d v="2022-01-31T00:00:00"/>
    <s v="P0041"/>
    <n v="9"/>
    <x v="2"/>
    <x v="1"/>
    <n v="0"/>
    <x v="41"/>
    <x v="1"/>
    <s v="Ft"/>
    <n v="138"/>
    <n v="173.88"/>
    <n v="1242"/>
    <n v="1564.92"/>
    <n v="322.92000000000007"/>
    <x v="25"/>
    <x v="0"/>
    <x v="1"/>
  </r>
  <r>
    <d v="2022-02-01T00:00:00"/>
    <s v="P0005"/>
    <n v="9"/>
    <x v="2"/>
    <x v="1"/>
    <n v="0"/>
    <x v="24"/>
    <x v="3"/>
    <s v="Ft"/>
    <n v="133"/>
    <n v="155.61000000000001"/>
    <n v="1197"/>
    <n v="1400.4900000000002"/>
    <n v="203.49000000000024"/>
    <x v="0"/>
    <x v="1"/>
    <x v="1"/>
  </r>
  <r>
    <d v="2022-02-03T00:00:00"/>
    <s v="P0014"/>
    <n v="8"/>
    <x v="2"/>
    <x v="0"/>
    <n v="0"/>
    <x v="9"/>
    <x v="2"/>
    <s v="Kg"/>
    <n v="112"/>
    <n v="146.72"/>
    <n v="896"/>
    <n v="1173.76"/>
    <n v="277.76"/>
    <x v="2"/>
    <x v="1"/>
    <x v="1"/>
  </r>
  <r>
    <d v="2022-02-05T00:00:00"/>
    <s v="P0018"/>
    <n v="6"/>
    <x v="2"/>
    <x v="1"/>
    <n v="0"/>
    <x v="30"/>
    <x v="2"/>
    <s v="No."/>
    <n v="37"/>
    <n v="49.21"/>
    <n v="222"/>
    <n v="295.26"/>
    <n v="73.259999999999991"/>
    <x v="15"/>
    <x v="1"/>
    <x v="1"/>
  </r>
  <r>
    <d v="2022-02-06T00:00:00"/>
    <s v="P0002"/>
    <n v="6"/>
    <x v="2"/>
    <x v="1"/>
    <n v="0"/>
    <x v="29"/>
    <x v="3"/>
    <s v="Kg"/>
    <n v="105"/>
    <n v="142.80000000000001"/>
    <n v="630"/>
    <n v="856.80000000000007"/>
    <n v="226.80000000000007"/>
    <x v="16"/>
    <x v="1"/>
    <x v="1"/>
  </r>
  <r>
    <d v="2022-02-08T00:00:00"/>
    <s v="P0005"/>
    <n v="11"/>
    <x v="1"/>
    <x v="1"/>
    <n v="0"/>
    <x v="24"/>
    <x v="3"/>
    <s v="Ft"/>
    <n v="133"/>
    <n v="155.61000000000001"/>
    <n v="1463"/>
    <n v="1711.71"/>
    <n v="248.71000000000004"/>
    <x v="21"/>
    <x v="1"/>
    <x v="1"/>
  </r>
  <r>
    <d v="2022-02-08T00:00:00"/>
    <s v="P0004"/>
    <n v="3"/>
    <x v="1"/>
    <x v="1"/>
    <n v="0"/>
    <x v="3"/>
    <x v="3"/>
    <s v="Lt"/>
    <n v="44"/>
    <n v="48.84"/>
    <n v="132"/>
    <n v="146.52000000000001"/>
    <n v="14.52000000000001"/>
    <x v="21"/>
    <x v="1"/>
    <x v="1"/>
  </r>
  <r>
    <d v="2022-02-09T00:00:00"/>
    <s v="P0032"/>
    <n v="14"/>
    <x v="1"/>
    <x v="0"/>
    <n v="0"/>
    <x v="18"/>
    <x v="4"/>
    <s v="Kg"/>
    <n v="89"/>
    <n v="117.48"/>
    <n v="1246"/>
    <n v="1644.72"/>
    <n v="398.72"/>
    <x v="4"/>
    <x v="1"/>
    <x v="1"/>
  </r>
  <r>
    <d v="2022-02-12T00:00:00"/>
    <s v="P0010"/>
    <n v="13"/>
    <x v="2"/>
    <x v="1"/>
    <n v="0"/>
    <x v="20"/>
    <x v="2"/>
    <s v="Ft"/>
    <n v="148"/>
    <n v="164.28"/>
    <n v="1924"/>
    <n v="2135.64"/>
    <n v="211.63999999999987"/>
    <x v="6"/>
    <x v="1"/>
    <x v="1"/>
  </r>
  <r>
    <d v="2022-02-14T00:00:00"/>
    <s v="P0026"/>
    <n v="8"/>
    <x v="1"/>
    <x v="1"/>
    <n v="0"/>
    <x v="42"/>
    <x v="4"/>
    <s v="No."/>
    <n v="18"/>
    <n v="24.66"/>
    <n v="144"/>
    <n v="197.28"/>
    <n v="53.28"/>
    <x v="29"/>
    <x v="1"/>
    <x v="1"/>
  </r>
  <r>
    <d v="2022-02-14T00:00:00"/>
    <s v="P0028"/>
    <n v="3"/>
    <x v="2"/>
    <x v="1"/>
    <n v="0"/>
    <x v="33"/>
    <x v="4"/>
    <s v="No."/>
    <n v="37"/>
    <n v="41.81"/>
    <n v="111"/>
    <n v="125.43"/>
    <n v="14.430000000000007"/>
    <x v="29"/>
    <x v="1"/>
    <x v="1"/>
  </r>
  <r>
    <d v="2022-02-16T00:00:00"/>
    <s v="P0032"/>
    <n v="1"/>
    <x v="1"/>
    <x v="1"/>
    <n v="0"/>
    <x v="18"/>
    <x v="4"/>
    <s v="Kg"/>
    <n v="89"/>
    <n v="117.48"/>
    <n v="89"/>
    <n v="117.48"/>
    <n v="28.480000000000004"/>
    <x v="23"/>
    <x v="1"/>
    <x v="1"/>
  </r>
  <r>
    <d v="2022-02-19T00:00:00"/>
    <s v="P0002"/>
    <n v="13"/>
    <x v="1"/>
    <x v="1"/>
    <n v="0"/>
    <x v="29"/>
    <x v="3"/>
    <s v="Kg"/>
    <n v="105"/>
    <n v="142.80000000000001"/>
    <n v="1365"/>
    <n v="1856.4"/>
    <n v="491.40000000000009"/>
    <x v="8"/>
    <x v="1"/>
    <x v="1"/>
  </r>
  <r>
    <d v="2022-02-20T00:00:00"/>
    <s v="P0012"/>
    <n v="6"/>
    <x v="2"/>
    <x v="1"/>
    <n v="0"/>
    <x v="35"/>
    <x v="2"/>
    <s v="Kg"/>
    <n v="73"/>
    <n v="94.17"/>
    <n v="438"/>
    <n v="565.02"/>
    <n v="127.01999999999998"/>
    <x v="9"/>
    <x v="1"/>
    <x v="1"/>
  </r>
  <r>
    <d v="2022-02-23T00:00:00"/>
    <s v="P0013"/>
    <n v="6"/>
    <x v="1"/>
    <x v="0"/>
    <n v="0"/>
    <x v="2"/>
    <x v="2"/>
    <s v="Kg"/>
    <n v="112"/>
    <n v="122.08"/>
    <n v="672"/>
    <n v="732.48"/>
    <n v="60.480000000000018"/>
    <x v="19"/>
    <x v="1"/>
    <x v="1"/>
  </r>
  <r>
    <d v="2022-02-23T00:00:00"/>
    <s v="P0016"/>
    <n v="15"/>
    <x v="1"/>
    <x v="1"/>
    <n v="0"/>
    <x v="21"/>
    <x v="2"/>
    <s v="No."/>
    <n v="13"/>
    <n v="16.64"/>
    <n v="195"/>
    <n v="249.60000000000002"/>
    <n v="54.600000000000023"/>
    <x v="19"/>
    <x v="1"/>
    <x v="1"/>
  </r>
  <r>
    <d v="2022-02-23T00:00:00"/>
    <s v="P0036"/>
    <n v="8"/>
    <x v="2"/>
    <x v="0"/>
    <n v="0"/>
    <x v="43"/>
    <x v="4"/>
    <s v="Kg"/>
    <n v="90"/>
    <n v="96.3"/>
    <n v="720"/>
    <n v="770.4"/>
    <n v="50.399999999999977"/>
    <x v="19"/>
    <x v="1"/>
    <x v="1"/>
  </r>
  <r>
    <d v="2022-02-27T00:00:00"/>
    <s v="P0012"/>
    <n v="7"/>
    <x v="2"/>
    <x v="1"/>
    <n v="0"/>
    <x v="35"/>
    <x v="2"/>
    <s v="Kg"/>
    <n v="73"/>
    <n v="94.17"/>
    <n v="511"/>
    <n v="659.19"/>
    <n v="148.19000000000005"/>
    <x v="13"/>
    <x v="1"/>
    <x v="1"/>
  </r>
  <r>
    <d v="2022-02-27T00:00:00"/>
    <s v="P0005"/>
    <n v="15"/>
    <x v="2"/>
    <x v="0"/>
    <n v="0"/>
    <x v="24"/>
    <x v="3"/>
    <s v="Ft"/>
    <n v="133"/>
    <n v="155.61000000000001"/>
    <n v="1995"/>
    <n v="2334.15"/>
    <n v="339.15000000000009"/>
    <x v="13"/>
    <x v="1"/>
    <x v="1"/>
  </r>
  <r>
    <d v="2022-02-28T00:00:00"/>
    <s v="P0037"/>
    <n v="15"/>
    <x v="2"/>
    <x v="1"/>
    <n v="0"/>
    <x v="8"/>
    <x v="1"/>
    <s v="Kg"/>
    <n v="67"/>
    <n v="85.76"/>
    <n v="1005"/>
    <n v="1286.4000000000001"/>
    <n v="281.40000000000009"/>
    <x v="14"/>
    <x v="1"/>
    <x v="1"/>
  </r>
  <r>
    <d v="2022-03-04T00:00:00"/>
    <s v="P0026"/>
    <n v="13"/>
    <x v="0"/>
    <x v="0"/>
    <n v="0"/>
    <x v="42"/>
    <x v="4"/>
    <s v="No."/>
    <n v="18"/>
    <n v="24.66"/>
    <n v="234"/>
    <n v="320.58"/>
    <n v="86.579999999999984"/>
    <x v="3"/>
    <x v="2"/>
    <x v="1"/>
  </r>
  <r>
    <d v="2022-03-06T00:00:00"/>
    <s v="P0004"/>
    <n v="2"/>
    <x v="2"/>
    <x v="1"/>
    <n v="0"/>
    <x v="3"/>
    <x v="3"/>
    <s v="Lt"/>
    <n v="44"/>
    <n v="48.84"/>
    <n v="88"/>
    <n v="97.68"/>
    <n v="9.6800000000000068"/>
    <x v="16"/>
    <x v="2"/>
    <x v="1"/>
  </r>
  <r>
    <d v="2022-03-07T00:00:00"/>
    <s v="P0003"/>
    <n v="1"/>
    <x v="2"/>
    <x v="1"/>
    <n v="0"/>
    <x v="6"/>
    <x v="3"/>
    <s v="Kg"/>
    <n v="71"/>
    <n v="80.94"/>
    <n v="71"/>
    <n v="80.94"/>
    <n v="9.9399999999999977"/>
    <x v="20"/>
    <x v="2"/>
    <x v="1"/>
  </r>
  <r>
    <d v="2022-03-08T00:00:00"/>
    <s v="P0044"/>
    <n v="6"/>
    <x v="2"/>
    <x v="0"/>
    <n v="0"/>
    <x v="11"/>
    <x v="1"/>
    <s v="Kg"/>
    <n v="76"/>
    <n v="82.08"/>
    <n v="456"/>
    <n v="492.48"/>
    <n v="36.480000000000018"/>
    <x v="21"/>
    <x v="2"/>
    <x v="1"/>
  </r>
  <r>
    <d v="2022-03-09T00:00:00"/>
    <s v="P0030"/>
    <n v="3"/>
    <x v="2"/>
    <x v="0"/>
    <n v="0"/>
    <x v="28"/>
    <x v="4"/>
    <s v="Ft"/>
    <n v="148"/>
    <n v="201.28"/>
    <n v="444"/>
    <n v="603.84"/>
    <n v="159.84000000000003"/>
    <x v="4"/>
    <x v="2"/>
    <x v="1"/>
  </r>
  <r>
    <d v="2022-03-09T00:00:00"/>
    <s v="P0004"/>
    <n v="11"/>
    <x v="1"/>
    <x v="1"/>
    <n v="0"/>
    <x v="3"/>
    <x v="3"/>
    <s v="Lt"/>
    <n v="44"/>
    <n v="48.84"/>
    <n v="484"/>
    <n v="537.24"/>
    <n v="53.240000000000009"/>
    <x v="4"/>
    <x v="2"/>
    <x v="1"/>
  </r>
  <r>
    <d v="2022-03-10T00:00:00"/>
    <s v="P0033"/>
    <n v="12"/>
    <x v="0"/>
    <x v="0"/>
    <n v="0"/>
    <x v="38"/>
    <x v="4"/>
    <s v="Kg"/>
    <n v="95"/>
    <n v="119.7"/>
    <n v="1140"/>
    <n v="1436.4"/>
    <n v="296.40000000000009"/>
    <x v="26"/>
    <x v="2"/>
    <x v="1"/>
  </r>
  <r>
    <d v="2022-03-14T00:00:00"/>
    <s v="P0016"/>
    <n v="2"/>
    <x v="2"/>
    <x v="1"/>
    <n v="0"/>
    <x v="21"/>
    <x v="2"/>
    <s v="No."/>
    <n v="13"/>
    <n v="16.64"/>
    <n v="26"/>
    <n v="33.28"/>
    <n v="7.2800000000000011"/>
    <x v="29"/>
    <x v="2"/>
    <x v="1"/>
  </r>
  <r>
    <d v="2022-03-14T00:00:00"/>
    <s v="P0026"/>
    <n v="13"/>
    <x v="2"/>
    <x v="0"/>
    <n v="0"/>
    <x v="42"/>
    <x v="4"/>
    <s v="No."/>
    <n v="18"/>
    <n v="24.66"/>
    <n v="234"/>
    <n v="320.58"/>
    <n v="86.579999999999984"/>
    <x v="29"/>
    <x v="2"/>
    <x v="1"/>
  </r>
  <r>
    <d v="2022-03-18T00:00:00"/>
    <s v="P0019"/>
    <n v="2"/>
    <x v="1"/>
    <x v="1"/>
    <n v="0"/>
    <x v="40"/>
    <x v="2"/>
    <s v="Ft"/>
    <n v="150"/>
    <n v="210"/>
    <n v="300"/>
    <n v="420"/>
    <n v="120"/>
    <x v="7"/>
    <x v="2"/>
    <x v="1"/>
  </r>
  <r>
    <d v="2022-03-18T00:00:00"/>
    <s v="P0027"/>
    <n v="10"/>
    <x v="2"/>
    <x v="1"/>
    <n v="0"/>
    <x v="26"/>
    <x v="4"/>
    <s v="Lt"/>
    <n v="48"/>
    <n v="57.120000000000005"/>
    <n v="480"/>
    <n v="571.20000000000005"/>
    <n v="91.200000000000045"/>
    <x v="7"/>
    <x v="2"/>
    <x v="1"/>
  </r>
  <r>
    <d v="2022-03-19T00:00:00"/>
    <s v="P0041"/>
    <n v="6"/>
    <x v="0"/>
    <x v="1"/>
    <n v="0"/>
    <x v="41"/>
    <x v="1"/>
    <s v="Ft"/>
    <n v="138"/>
    <n v="173.88"/>
    <n v="828"/>
    <n v="1043.28"/>
    <n v="215.27999999999997"/>
    <x v="8"/>
    <x v="2"/>
    <x v="1"/>
  </r>
  <r>
    <d v="2022-03-23T00:00:00"/>
    <s v="P0032"/>
    <n v="9"/>
    <x v="2"/>
    <x v="1"/>
    <n v="0"/>
    <x v="18"/>
    <x v="4"/>
    <s v="Kg"/>
    <n v="89"/>
    <n v="117.48"/>
    <n v="801"/>
    <n v="1057.32"/>
    <n v="256.31999999999994"/>
    <x v="19"/>
    <x v="2"/>
    <x v="1"/>
  </r>
  <r>
    <d v="2022-03-25T00:00:00"/>
    <s v="P0001"/>
    <n v="2"/>
    <x v="0"/>
    <x v="0"/>
    <n v="0"/>
    <x v="16"/>
    <x v="3"/>
    <s v="Kg"/>
    <n v="98"/>
    <n v="103.88"/>
    <n v="196"/>
    <n v="207.76"/>
    <n v="11.759999999999991"/>
    <x v="11"/>
    <x v="2"/>
    <x v="1"/>
  </r>
  <r>
    <d v="2022-03-25T00:00:00"/>
    <s v="P0030"/>
    <n v="11"/>
    <x v="2"/>
    <x v="0"/>
    <n v="0"/>
    <x v="28"/>
    <x v="4"/>
    <s v="Ft"/>
    <n v="148"/>
    <n v="201.28"/>
    <n v="1628"/>
    <n v="2214.08"/>
    <n v="586.07999999999993"/>
    <x v="11"/>
    <x v="2"/>
    <x v="1"/>
  </r>
  <r>
    <d v="2022-03-29T00:00:00"/>
    <s v="P0032"/>
    <n v="12"/>
    <x v="1"/>
    <x v="0"/>
    <n v="0"/>
    <x v="18"/>
    <x v="4"/>
    <s v="Kg"/>
    <n v="89"/>
    <n v="117.48"/>
    <n v="1068"/>
    <n v="1409.76"/>
    <n v="341.76"/>
    <x v="28"/>
    <x v="2"/>
    <x v="1"/>
  </r>
  <r>
    <d v="2022-03-30T00:00:00"/>
    <s v="P0001"/>
    <n v="13"/>
    <x v="1"/>
    <x v="1"/>
    <n v="0"/>
    <x v="16"/>
    <x v="3"/>
    <s v="Kg"/>
    <n v="98"/>
    <n v="103.88"/>
    <n v="1274"/>
    <n v="1350.44"/>
    <n v="76.440000000000055"/>
    <x v="24"/>
    <x v="2"/>
    <x v="1"/>
  </r>
  <r>
    <d v="2022-04-01T00:00:00"/>
    <s v="P0002"/>
    <n v="2"/>
    <x v="1"/>
    <x v="1"/>
    <n v="0"/>
    <x v="29"/>
    <x v="3"/>
    <s v="Kg"/>
    <n v="105"/>
    <n v="142.80000000000001"/>
    <n v="210"/>
    <n v="285.60000000000002"/>
    <n v="75.600000000000023"/>
    <x v="0"/>
    <x v="3"/>
    <x v="1"/>
  </r>
  <r>
    <d v="2022-04-02T00:00:00"/>
    <s v="P0002"/>
    <n v="3"/>
    <x v="2"/>
    <x v="1"/>
    <n v="0"/>
    <x v="29"/>
    <x v="3"/>
    <s v="Kg"/>
    <n v="105"/>
    <n v="142.80000000000001"/>
    <n v="315"/>
    <n v="428.40000000000003"/>
    <n v="113.40000000000003"/>
    <x v="1"/>
    <x v="3"/>
    <x v="1"/>
  </r>
  <r>
    <d v="2022-04-06T00:00:00"/>
    <s v="P0040"/>
    <n v="2"/>
    <x v="0"/>
    <x v="1"/>
    <n v="0"/>
    <x v="17"/>
    <x v="1"/>
    <s v="Kg"/>
    <n v="90"/>
    <n v="115.2"/>
    <n v="180"/>
    <n v="230.4"/>
    <n v="50.400000000000006"/>
    <x v="16"/>
    <x v="3"/>
    <x v="1"/>
  </r>
  <r>
    <d v="2022-04-07T00:00:00"/>
    <s v="P0026"/>
    <n v="7"/>
    <x v="2"/>
    <x v="0"/>
    <n v="0"/>
    <x v="42"/>
    <x v="4"/>
    <s v="No."/>
    <n v="18"/>
    <n v="24.66"/>
    <n v="126"/>
    <n v="172.62"/>
    <n v="46.620000000000005"/>
    <x v="20"/>
    <x v="3"/>
    <x v="1"/>
  </r>
  <r>
    <d v="2022-04-09T00:00:00"/>
    <s v="P0039"/>
    <n v="12"/>
    <x v="0"/>
    <x v="1"/>
    <n v="0"/>
    <x v="34"/>
    <x v="1"/>
    <s v="No."/>
    <n v="37"/>
    <n v="42.55"/>
    <n v="444"/>
    <n v="510.59999999999997"/>
    <n v="66.599999999999966"/>
    <x v="4"/>
    <x v="3"/>
    <x v="1"/>
  </r>
  <r>
    <d v="2022-04-09T00:00:00"/>
    <s v="P0002"/>
    <n v="9"/>
    <x v="1"/>
    <x v="0"/>
    <n v="0"/>
    <x v="29"/>
    <x v="3"/>
    <s v="Kg"/>
    <n v="105"/>
    <n v="142.80000000000001"/>
    <n v="945"/>
    <n v="1285.2"/>
    <n v="340.20000000000005"/>
    <x v="4"/>
    <x v="3"/>
    <x v="1"/>
  </r>
  <r>
    <d v="2022-04-13T00:00:00"/>
    <s v="P0016"/>
    <n v="14"/>
    <x v="0"/>
    <x v="0"/>
    <n v="0"/>
    <x v="21"/>
    <x v="2"/>
    <s v="No."/>
    <n v="13"/>
    <n v="16.64"/>
    <n v="182"/>
    <n v="232.96"/>
    <n v="50.960000000000008"/>
    <x v="22"/>
    <x v="3"/>
    <x v="1"/>
  </r>
  <r>
    <d v="2022-04-18T00:00:00"/>
    <s v="P0041"/>
    <n v="9"/>
    <x v="2"/>
    <x v="1"/>
    <n v="0"/>
    <x v="41"/>
    <x v="1"/>
    <s v="Ft"/>
    <n v="138"/>
    <n v="173.88"/>
    <n v="1242"/>
    <n v="1564.92"/>
    <n v="322.92000000000007"/>
    <x v="7"/>
    <x v="3"/>
    <x v="1"/>
  </r>
  <r>
    <d v="2022-04-20T00:00:00"/>
    <s v="P0018"/>
    <n v="2"/>
    <x v="0"/>
    <x v="0"/>
    <n v="0"/>
    <x v="30"/>
    <x v="2"/>
    <s v="No."/>
    <n v="37"/>
    <n v="49.21"/>
    <n v="74"/>
    <n v="98.42"/>
    <n v="24.42"/>
    <x v="9"/>
    <x v="3"/>
    <x v="1"/>
  </r>
  <r>
    <d v="2022-04-20T00:00:00"/>
    <s v="P0012"/>
    <n v="4"/>
    <x v="2"/>
    <x v="0"/>
    <n v="0"/>
    <x v="35"/>
    <x v="2"/>
    <s v="Kg"/>
    <n v="73"/>
    <n v="94.17"/>
    <n v="292"/>
    <n v="376.68"/>
    <n v="84.68"/>
    <x v="9"/>
    <x v="3"/>
    <x v="1"/>
  </r>
  <r>
    <d v="2022-04-21T00:00:00"/>
    <s v="P0030"/>
    <n v="2"/>
    <x v="2"/>
    <x v="1"/>
    <n v="0"/>
    <x v="28"/>
    <x v="4"/>
    <s v="Ft"/>
    <n v="148"/>
    <n v="201.28"/>
    <n v="296"/>
    <n v="402.56"/>
    <n v="106.56"/>
    <x v="10"/>
    <x v="3"/>
    <x v="1"/>
  </r>
  <r>
    <d v="2022-04-21T00:00:00"/>
    <s v="P0026"/>
    <n v="14"/>
    <x v="1"/>
    <x v="0"/>
    <n v="0"/>
    <x v="42"/>
    <x v="4"/>
    <s v="No."/>
    <n v="18"/>
    <n v="24.66"/>
    <n v="252"/>
    <n v="345.24"/>
    <n v="93.240000000000009"/>
    <x v="10"/>
    <x v="3"/>
    <x v="1"/>
  </r>
  <r>
    <d v="2022-04-23T00:00:00"/>
    <s v="P0044"/>
    <n v="15"/>
    <x v="1"/>
    <x v="0"/>
    <n v="0"/>
    <x v="11"/>
    <x v="1"/>
    <s v="Kg"/>
    <n v="76"/>
    <n v="82.08"/>
    <n v="1140"/>
    <n v="1231.2"/>
    <n v="91.200000000000045"/>
    <x v="19"/>
    <x v="3"/>
    <x v="1"/>
  </r>
  <r>
    <d v="2022-04-24T00:00:00"/>
    <s v="P0034"/>
    <n v="4"/>
    <x v="2"/>
    <x v="0"/>
    <n v="0"/>
    <x v="13"/>
    <x v="4"/>
    <s v="Lt"/>
    <n v="55"/>
    <n v="58.3"/>
    <n v="220"/>
    <n v="233.2"/>
    <n v="13.199999999999989"/>
    <x v="27"/>
    <x v="3"/>
    <x v="1"/>
  </r>
  <r>
    <d v="2022-04-25T00:00:00"/>
    <s v="P0004"/>
    <n v="9"/>
    <x v="2"/>
    <x v="1"/>
    <n v="0"/>
    <x v="3"/>
    <x v="3"/>
    <s v="Lt"/>
    <n v="44"/>
    <n v="48.84"/>
    <n v="396"/>
    <n v="439.56000000000006"/>
    <n v="43.560000000000059"/>
    <x v="11"/>
    <x v="3"/>
    <x v="1"/>
  </r>
  <r>
    <d v="2022-04-25T00:00:00"/>
    <s v="P0003"/>
    <n v="8"/>
    <x v="1"/>
    <x v="0"/>
    <n v="0"/>
    <x v="6"/>
    <x v="3"/>
    <s v="Kg"/>
    <n v="71"/>
    <n v="80.94"/>
    <n v="568"/>
    <n v="647.52"/>
    <n v="79.519999999999982"/>
    <x v="11"/>
    <x v="3"/>
    <x v="1"/>
  </r>
  <r>
    <d v="2022-04-26T00:00:00"/>
    <s v="P0027"/>
    <n v="2"/>
    <x v="2"/>
    <x v="1"/>
    <n v="0"/>
    <x v="26"/>
    <x v="4"/>
    <s v="Lt"/>
    <n v="48"/>
    <n v="57.120000000000005"/>
    <n v="96"/>
    <n v="114.24000000000001"/>
    <n v="18.240000000000009"/>
    <x v="12"/>
    <x v="3"/>
    <x v="1"/>
  </r>
  <r>
    <d v="2022-04-28T00:00:00"/>
    <s v="P0014"/>
    <n v="14"/>
    <x v="2"/>
    <x v="1"/>
    <n v="0"/>
    <x v="9"/>
    <x v="2"/>
    <s v="Kg"/>
    <n v="112"/>
    <n v="146.72"/>
    <n v="1568"/>
    <n v="2054.08"/>
    <n v="486.07999999999993"/>
    <x v="14"/>
    <x v="3"/>
    <x v="1"/>
  </r>
  <r>
    <d v="2022-04-30T00:00:00"/>
    <s v="P0016"/>
    <n v="13"/>
    <x v="1"/>
    <x v="0"/>
    <n v="0"/>
    <x v="21"/>
    <x v="2"/>
    <s v="No."/>
    <n v="13"/>
    <n v="16.64"/>
    <n v="169"/>
    <n v="216.32"/>
    <n v="47.319999999999993"/>
    <x v="24"/>
    <x v="3"/>
    <x v="1"/>
  </r>
  <r>
    <d v="2022-04-30T00:00:00"/>
    <s v="P0027"/>
    <n v="8"/>
    <x v="2"/>
    <x v="0"/>
    <n v="0"/>
    <x v="26"/>
    <x v="4"/>
    <s v="Lt"/>
    <n v="48"/>
    <n v="57.120000000000005"/>
    <n v="384"/>
    <n v="456.96000000000004"/>
    <n v="72.960000000000036"/>
    <x v="24"/>
    <x v="3"/>
    <x v="1"/>
  </r>
  <r>
    <d v="2022-05-01T00:00:00"/>
    <s v="P0034"/>
    <n v="9"/>
    <x v="0"/>
    <x v="0"/>
    <n v="0"/>
    <x v="13"/>
    <x v="4"/>
    <s v="Lt"/>
    <n v="55"/>
    <n v="58.3"/>
    <n v="495"/>
    <n v="524.69999999999993"/>
    <n v="29.699999999999932"/>
    <x v="0"/>
    <x v="4"/>
    <x v="1"/>
  </r>
  <r>
    <d v="2022-05-01T00:00:00"/>
    <s v="P0033"/>
    <n v="6"/>
    <x v="1"/>
    <x v="0"/>
    <n v="0"/>
    <x v="38"/>
    <x v="4"/>
    <s v="Kg"/>
    <n v="95"/>
    <n v="119.7"/>
    <n v="570"/>
    <n v="718.2"/>
    <n v="148.20000000000005"/>
    <x v="0"/>
    <x v="4"/>
    <x v="1"/>
  </r>
  <r>
    <d v="2022-05-02T00:00:00"/>
    <s v="P0013"/>
    <n v="4"/>
    <x v="1"/>
    <x v="1"/>
    <n v="0"/>
    <x v="2"/>
    <x v="2"/>
    <s v="Kg"/>
    <n v="112"/>
    <n v="122.08"/>
    <n v="448"/>
    <n v="488.32"/>
    <n v="40.319999999999993"/>
    <x v="1"/>
    <x v="4"/>
    <x v="1"/>
  </r>
  <r>
    <d v="2022-05-04T00:00:00"/>
    <s v="P0020"/>
    <n v="10"/>
    <x v="2"/>
    <x v="0"/>
    <n v="0"/>
    <x v="14"/>
    <x v="0"/>
    <s v="Lt"/>
    <n v="61"/>
    <n v="76.25"/>
    <n v="610"/>
    <n v="762.5"/>
    <n v="152.5"/>
    <x v="3"/>
    <x v="4"/>
    <x v="1"/>
  </r>
  <r>
    <d v="2022-05-06T00:00:00"/>
    <s v="P0034"/>
    <n v="7"/>
    <x v="2"/>
    <x v="0"/>
    <n v="0"/>
    <x v="13"/>
    <x v="4"/>
    <s v="Lt"/>
    <n v="55"/>
    <n v="58.3"/>
    <n v="385"/>
    <n v="408.09999999999997"/>
    <n v="23.099999999999966"/>
    <x v="16"/>
    <x v="4"/>
    <x v="1"/>
  </r>
  <r>
    <d v="2022-05-07T00:00:00"/>
    <s v="P0015"/>
    <n v="4"/>
    <x v="1"/>
    <x v="1"/>
    <n v="0"/>
    <x v="27"/>
    <x v="2"/>
    <s v="No."/>
    <n v="12"/>
    <n v="15.719999999999999"/>
    <n v="48"/>
    <n v="62.879999999999995"/>
    <n v="14.879999999999995"/>
    <x v="20"/>
    <x v="4"/>
    <x v="1"/>
  </r>
  <r>
    <d v="2022-05-07T00:00:00"/>
    <s v="P0027"/>
    <n v="1"/>
    <x v="1"/>
    <x v="0"/>
    <n v="0"/>
    <x v="26"/>
    <x v="4"/>
    <s v="Lt"/>
    <n v="48"/>
    <n v="57.120000000000005"/>
    <n v="48"/>
    <n v="57.120000000000005"/>
    <n v="9.1200000000000045"/>
    <x v="20"/>
    <x v="4"/>
    <x v="1"/>
  </r>
  <r>
    <d v="2022-05-08T00:00:00"/>
    <s v="P0022"/>
    <n v="7"/>
    <x v="1"/>
    <x v="0"/>
    <n v="0"/>
    <x v="22"/>
    <x v="0"/>
    <s v="Ft"/>
    <n v="121"/>
    <n v="141.57"/>
    <n v="847"/>
    <n v="990.99"/>
    <n v="143.99"/>
    <x v="21"/>
    <x v="4"/>
    <x v="1"/>
  </r>
  <r>
    <d v="2022-05-09T00:00:00"/>
    <s v="P0017"/>
    <n v="12"/>
    <x v="0"/>
    <x v="1"/>
    <n v="0"/>
    <x v="39"/>
    <x v="2"/>
    <s v="Ft"/>
    <n v="134"/>
    <n v="156.78"/>
    <n v="1608"/>
    <n v="1881.3600000000001"/>
    <n v="273.36000000000013"/>
    <x v="4"/>
    <x v="4"/>
    <x v="1"/>
  </r>
  <r>
    <d v="2022-05-10T00:00:00"/>
    <s v="P0009"/>
    <n v="6"/>
    <x v="2"/>
    <x v="0"/>
    <n v="0"/>
    <x v="37"/>
    <x v="0"/>
    <s v="No."/>
    <n v="6"/>
    <n v="7.8599999999999994"/>
    <n v="36"/>
    <n v="47.16"/>
    <n v="11.159999999999997"/>
    <x v="26"/>
    <x v="4"/>
    <x v="1"/>
  </r>
  <r>
    <d v="2022-05-12T00:00:00"/>
    <s v="P0011"/>
    <n v="7"/>
    <x v="1"/>
    <x v="1"/>
    <n v="0"/>
    <x v="31"/>
    <x v="2"/>
    <s v="Lt"/>
    <n v="44"/>
    <n v="48.4"/>
    <n v="308"/>
    <n v="338.8"/>
    <n v="30.800000000000011"/>
    <x v="6"/>
    <x v="4"/>
    <x v="1"/>
  </r>
  <r>
    <d v="2022-05-13T00:00:00"/>
    <s v="P0012"/>
    <n v="5"/>
    <x v="2"/>
    <x v="0"/>
    <n v="0"/>
    <x v="35"/>
    <x v="2"/>
    <s v="Kg"/>
    <n v="73"/>
    <n v="94.17"/>
    <n v="365"/>
    <n v="470.85"/>
    <n v="105.85000000000002"/>
    <x v="22"/>
    <x v="4"/>
    <x v="1"/>
  </r>
  <r>
    <d v="2022-05-14T00:00:00"/>
    <s v="P0008"/>
    <n v="14"/>
    <x v="2"/>
    <x v="1"/>
    <n v="0"/>
    <x v="25"/>
    <x v="3"/>
    <s v="Kg"/>
    <n v="83"/>
    <n v="94.62"/>
    <n v="1162"/>
    <n v="1324.68"/>
    <n v="162.68000000000006"/>
    <x v="29"/>
    <x v="4"/>
    <x v="1"/>
  </r>
  <r>
    <d v="2022-05-15T00:00:00"/>
    <s v="P0020"/>
    <n v="5"/>
    <x v="1"/>
    <x v="0"/>
    <n v="0"/>
    <x v="14"/>
    <x v="0"/>
    <s v="Lt"/>
    <n v="61"/>
    <n v="76.25"/>
    <n v="305"/>
    <n v="381.25"/>
    <n v="76.25"/>
    <x v="17"/>
    <x v="4"/>
    <x v="1"/>
  </r>
  <r>
    <d v="2022-05-16T00:00:00"/>
    <s v="P0010"/>
    <n v="13"/>
    <x v="2"/>
    <x v="1"/>
    <n v="0"/>
    <x v="20"/>
    <x v="2"/>
    <s v="Ft"/>
    <n v="148"/>
    <n v="164.28"/>
    <n v="1924"/>
    <n v="2135.64"/>
    <n v="211.63999999999987"/>
    <x v="23"/>
    <x v="4"/>
    <x v="1"/>
  </r>
  <r>
    <d v="2022-05-16T00:00:00"/>
    <s v="P0031"/>
    <n v="13"/>
    <x v="1"/>
    <x v="0"/>
    <n v="0"/>
    <x v="5"/>
    <x v="4"/>
    <s v="Kg"/>
    <n v="93"/>
    <n v="104.16"/>
    <n v="1209"/>
    <n v="1354.08"/>
    <n v="145.07999999999993"/>
    <x v="23"/>
    <x v="4"/>
    <x v="1"/>
  </r>
  <r>
    <d v="2022-05-17T00:00:00"/>
    <s v="P0027"/>
    <n v="8"/>
    <x v="2"/>
    <x v="1"/>
    <n v="0"/>
    <x v="26"/>
    <x v="4"/>
    <s v="Lt"/>
    <n v="48"/>
    <n v="57.120000000000005"/>
    <n v="384"/>
    <n v="456.96000000000004"/>
    <n v="72.960000000000036"/>
    <x v="30"/>
    <x v="4"/>
    <x v="1"/>
  </r>
  <r>
    <d v="2022-05-18T00:00:00"/>
    <s v="P0027"/>
    <n v="4"/>
    <x v="0"/>
    <x v="0"/>
    <n v="0"/>
    <x v="26"/>
    <x v="4"/>
    <s v="Lt"/>
    <n v="48"/>
    <n v="57.120000000000005"/>
    <n v="192"/>
    <n v="228.48000000000002"/>
    <n v="36.480000000000018"/>
    <x v="7"/>
    <x v="4"/>
    <x v="1"/>
  </r>
  <r>
    <d v="2022-05-18T00:00:00"/>
    <s v="P0038"/>
    <n v="8"/>
    <x v="0"/>
    <x v="0"/>
    <n v="0"/>
    <x v="1"/>
    <x v="1"/>
    <s v="Kg"/>
    <n v="72"/>
    <n v="79.92"/>
    <n v="576"/>
    <n v="639.36"/>
    <n v="63.360000000000014"/>
    <x v="7"/>
    <x v="4"/>
    <x v="1"/>
  </r>
  <r>
    <d v="2022-05-20T00:00:00"/>
    <s v="P0044"/>
    <n v="15"/>
    <x v="1"/>
    <x v="1"/>
    <n v="0"/>
    <x v="11"/>
    <x v="1"/>
    <s v="Kg"/>
    <n v="76"/>
    <n v="82.08"/>
    <n v="1140"/>
    <n v="1231.2"/>
    <n v="91.200000000000045"/>
    <x v="9"/>
    <x v="4"/>
    <x v="1"/>
  </r>
  <r>
    <d v="2022-05-22T00:00:00"/>
    <s v="P0015"/>
    <n v="12"/>
    <x v="2"/>
    <x v="0"/>
    <n v="0"/>
    <x v="27"/>
    <x v="2"/>
    <s v="No."/>
    <n v="12"/>
    <n v="15.719999999999999"/>
    <n v="144"/>
    <n v="188.64"/>
    <n v="44.639999999999986"/>
    <x v="18"/>
    <x v="4"/>
    <x v="1"/>
  </r>
  <r>
    <d v="2022-05-25T00:00:00"/>
    <s v="P0002"/>
    <n v="7"/>
    <x v="1"/>
    <x v="0"/>
    <n v="0"/>
    <x v="29"/>
    <x v="3"/>
    <s v="Kg"/>
    <n v="105"/>
    <n v="142.80000000000001"/>
    <n v="735"/>
    <n v="999.60000000000014"/>
    <n v="264.60000000000014"/>
    <x v="11"/>
    <x v="4"/>
    <x v="1"/>
  </r>
  <r>
    <d v="2022-05-26T00:00:00"/>
    <s v="P0028"/>
    <n v="2"/>
    <x v="2"/>
    <x v="0"/>
    <n v="0"/>
    <x v="33"/>
    <x v="4"/>
    <s v="No."/>
    <n v="37"/>
    <n v="41.81"/>
    <n v="74"/>
    <n v="83.62"/>
    <n v="9.6200000000000045"/>
    <x v="12"/>
    <x v="4"/>
    <x v="1"/>
  </r>
  <r>
    <d v="2022-05-26T00:00:00"/>
    <s v="P0027"/>
    <n v="2"/>
    <x v="1"/>
    <x v="0"/>
    <n v="0"/>
    <x v="26"/>
    <x v="4"/>
    <s v="Lt"/>
    <n v="48"/>
    <n v="57.120000000000005"/>
    <n v="96"/>
    <n v="114.24000000000001"/>
    <n v="18.240000000000009"/>
    <x v="12"/>
    <x v="4"/>
    <x v="1"/>
  </r>
  <r>
    <d v="2022-05-28T00:00:00"/>
    <s v="P0041"/>
    <n v="10"/>
    <x v="0"/>
    <x v="1"/>
    <n v="0"/>
    <x v="41"/>
    <x v="1"/>
    <s v="Ft"/>
    <n v="138"/>
    <n v="173.88"/>
    <n v="1380"/>
    <n v="1738.8"/>
    <n v="358.79999999999995"/>
    <x v="14"/>
    <x v="4"/>
    <x v="1"/>
  </r>
  <r>
    <d v="2022-05-28T00:00:00"/>
    <s v="P0008"/>
    <n v="5"/>
    <x v="0"/>
    <x v="0"/>
    <n v="0"/>
    <x v="25"/>
    <x v="3"/>
    <s v="Kg"/>
    <n v="83"/>
    <n v="94.62"/>
    <n v="415"/>
    <n v="473.1"/>
    <n v="58.100000000000023"/>
    <x v="14"/>
    <x v="4"/>
    <x v="1"/>
  </r>
  <r>
    <d v="2022-05-28T00:00:00"/>
    <s v="P0010"/>
    <n v="9"/>
    <x v="1"/>
    <x v="1"/>
    <n v="0"/>
    <x v="20"/>
    <x v="2"/>
    <s v="Ft"/>
    <n v="148"/>
    <n v="164.28"/>
    <n v="1332"/>
    <n v="1478.52"/>
    <n v="146.51999999999998"/>
    <x v="14"/>
    <x v="4"/>
    <x v="1"/>
  </r>
  <r>
    <d v="2022-05-28T00:00:00"/>
    <s v="P0004"/>
    <n v="12"/>
    <x v="1"/>
    <x v="0"/>
    <n v="0"/>
    <x v="3"/>
    <x v="3"/>
    <s v="Lt"/>
    <n v="44"/>
    <n v="48.84"/>
    <n v="528"/>
    <n v="586.08000000000004"/>
    <n v="58.080000000000041"/>
    <x v="14"/>
    <x v="4"/>
    <x v="1"/>
  </r>
  <r>
    <d v="2022-05-28T00:00:00"/>
    <s v="P0020"/>
    <n v="14"/>
    <x v="2"/>
    <x v="1"/>
    <n v="0"/>
    <x v="14"/>
    <x v="0"/>
    <s v="Lt"/>
    <n v="61"/>
    <n v="76.25"/>
    <n v="854"/>
    <n v="1067.5"/>
    <n v="213.5"/>
    <x v="14"/>
    <x v="4"/>
    <x v="1"/>
  </r>
  <r>
    <d v="2022-05-30T00:00:00"/>
    <s v="P0044"/>
    <n v="9"/>
    <x v="2"/>
    <x v="0"/>
    <n v="0"/>
    <x v="11"/>
    <x v="1"/>
    <s v="Kg"/>
    <n v="76"/>
    <n v="82.08"/>
    <n v="684"/>
    <n v="738.72"/>
    <n v="54.720000000000027"/>
    <x v="24"/>
    <x v="4"/>
    <x v="1"/>
  </r>
  <r>
    <d v="2022-05-30T00:00:00"/>
    <s v="P0005"/>
    <n v="4"/>
    <x v="0"/>
    <x v="1"/>
    <n v="0"/>
    <x v="24"/>
    <x v="3"/>
    <s v="Ft"/>
    <n v="133"/>
    <n v="155.61000000000001"/>
    <n v="532"/>
    <n v="622.44000000000005"/>
    <n v="90.440000000000055"/>
    <x v="24"/>
    <x v="4"/>
    <x v="1"/>
  </r>
  <r>
    <d v="2022-05-30T00:00:00"/>
    <s v="P0033"/>
    <n v="3"/>
    <x v="1"/>
    <x v="1"/>
    <n v="0"/>
    <x v="38"/>
    <x v="4"/>
    <s v="Kg"/>
    <n v="95"/>
    <n v="119.7"/>
    <n v="285"/>
    <n v="359.1"/>
    <n v="74.100000000000023"/>
    <x v="24"/>
    <x v="4"/>
    <x v="1"/>
  </r>
  <r>
    <d v="2022-06-03T00:00:00"/>
    <s v="P0008"/>
    <n v="14"/>
    <x v="1"/>
    <x v="0"/>
    <n v="0"/>
    <x v="25"/>
    <x v="3"/>
    <s v="Kg"/>
    <n v="83"/>
    <n v="94.62"/>
    <n v="1162"/>
    <n v="1324.68"/>
    <n v="162.68000000000006"/>
    <x v="2"/>
    <x v="5"/>
    <x v="1"/>
  </r>
  <r>
    <d v="2022-06-10T00:00:00"/>
    <s v="P0028"/>
    <n v="8"/>
    <x v="0"/>
    <x v="0"/>
    <n v="0"/>
    <x v="33"/>
    <x v="4"/>
    <s v="No."/>
    <n v="37"/>
    <n v="41.81"/>
    <n v="296"/>
    <n v="334.48"/>
    <n v="38.480000000000018"/>
    <x v="26"/>
    <x v="5"/>
    <x v="1"/>
  </r>
  <r>
    <d v="2022-06-11T00:00:00"/>
    <s v="P0039"/>
    <n v="13"/>
    <x v="1"/>
    <x v="1"/>
    <n v="0"/>
    <x v="34"/>
    <x v="1"/>
    <s v="No."/>
    <n v="37"/>
    <n v="42.55"/>
    <n v="481"/>
    <n v="553.15"/>
    <n v="72.149999999999977"/>
    <x v="5"/>
    <x v="5"/>
    <x v="1"/>
  </r>
  <r>
    <d v="2022-06-11T00:00:00"/>
    <s v="P0021"/>
    <n v="6"/>
    <x v="2"/>
    <x v="0"/>
    <n v="0"/>
    <x v="32"/>
    <x v="0"/>
    <s v="Ft"/>
    <n v="126"/>
    <n v="162.54"/>
    <n v="756"/>
    <n v="975.24"/>
    <n v="219.24"/>
    <x v="5"/>
    <x v="5"/>
    <x v="1"/>
  </r>
  <r>
    <d v="2022-06-13T00:00:00"/>
    <s v="P0026"/>
    <n v="6"/>
    <x v="2"/>
    <x v="1"/>
    <n v="0"/>
    <x v="42"/>
    <x v="4"/>
    <s v="No."/>
    <n v="18"/>
    <n v="24.66"/>
    <n v="108"/>
    <n v="147.96"/>
    <n v="39.960000000000008"/>
    <x v="22"/>
    <x v="5"/>
    <x v="1"/>
  </r>
  <r>
    <d v="2022-06-15T00:00:00"/>
    <s v="P0042"/>
    <n v="15"/>
    <x v="0"/>
    <x v="0"/>
    <n v="0"/>
    <x v="10"/>
    <x v="1"/>
    <s v="Ft"/>
    <n v="120"/>
    <n v="162"/>
    <n v="1800"/>
    <n v="2430"/>
    <n v="630"/>
    <x v="17"/>
    <x v="5"/>
    <x v="1"/>
  </r>
  <r>
    <d v="2022-06-16T00:00:00"/>
    <s v="P0029"/>
    <n v="15"/>
    <x v="1"/>
    <x v="1"/>
    <n v="0"/>
    <x v="19"/>
    <x v="4"/>
    <s v="Lt"/>
    <n v="47"/>
    <n v="53.11"/>
    <n v="705"/>
    <n v="796.65"/>
    <n v="91.649999999999977"/>
    <x v="23"/>
    <x v="5"/>
    <x v="1"/>
  </r>
  <r>
    <d v="2022-06-19T00:00:00"/>
    <s v="P0002"/>
    <n v="8"/>
    <x v="2"/>
    <x v="1"/>
    <n v="0"/>
    <x v="29"/>
    <x v="3"/>
    <s v="Kg"/>
    <n v="105"/>
    <n v="142.80000000000001"/>
    <n v="840"/>
    <n v="1142.4000000000001"/>
    <n v="302.40000000000009"/>
    <x v="8"/>
    <x v="5"/>
    <x v="1"/>
  </r>
  <r>
    <d v="2022-06-21T00:00:00"/>
    <s v="P0017"/>
    <n v="14"/>
    <x v="2"/>
    <x v="1"/>
    <n v="0"/>
    <x v="39"/>
    <x v="2"/>
    <s v="Ft"/>
    <n v="134"/>
    <n v="156.78"/>
    <n v="1876"/>
    <n v="2194.92"/>
    <n v="318.92000000000007"/>
    <x v="10"/>
    <x v="5"/>
    <x v="1"/>
  </r>
  <r>
    <d v="2022-06-22T00:00:00"/>
    <s v="P0040"/>
    <n v="10"/>
    <x v="1"/>
    <x v="1"/>
    <n v="0"/>
    <x v="17"/>
    <x v="1"/>
    <s v="Kg"/>
    <n v="90"/>
    <n v="115.2"/>
    <n v="900"/>
    <n v="1152"/>
    <n v="252"/>
    <x v="18"/>
    <x v="5"/>
    <x v="1"/>
  </r>
  <r>
    <d v="2022-06-22T00:00:00"/>
    <s v="P0001"/>
    <n v="4"/>
    <x v="2"/>
    <x v="1"/>
    <n v="0"/>
    <x v="16"/>
    <x v="3"/>
    <s v="Kg"/>
    <n v="98"/>
    <n v="103.88"/>
    <n v="392"/>
    <n v="415.52"/>
    <n v="23.519999999999982"/>
    <x v="18"/>
    <x v="5"/>
    <x v="1"/>
  </r>
  <r>
    <d v="2022-06-23T00:00:00"/>
    <s v="P0004"/>
    <n v="8"/>
    <x v="2"/>
    <x v="0"/>
    <n v="0"/>
    <x v="3"/>
    <x v="3"/>
    <s v="Lt"/>
    <n v="44"/>
    <n v="48.84"/>
    <n v="352"/>
    <n v="390.72"/>
    <n v="38.720000000000027"/>
    <x v="19"/>
    <x v="5"/>
    <x v="1"/>
  </r>
  <r>
    <d v="2022-06-24T00:00:00"/>
    <s v="P0018"/>
    <n v="7"/>
    <x v="2"/>
    <x v="1"/>
    <n v="0"/>
    <x v="30"/>
    <x v="2"/>
    <s v="No."/>
    <n v="37"/>
    <n v="49.21"/>
    <n v="259"/>
    <n v="344.47"/>
    <n v="85.470000000000027"/>
    <x v="27"/>
    <x v="5"/>
    <x v="1"/>
  </r>
  <r>
    <d v="2022-06-25T00:00:00"/>
    <s v="P0012"/>
    <n v="7"/>
    <x v="1"/>
    <x v="0"/>
    <n v="0"/>
    <x v="35"/>
    <x v="2"/>
    <s v="Kg"/>
    <n v="73"/>
    <n v="94.17"/>
    <n v="511"/>
    <n v="659.19"/>
    <n v="148.19000000000005"/>
    <x v="11"/>
    <x v="5"/>
    <x v="1"/>
  </r>
  <r>
    <d v="2022-06-26T00:00:00"/>
    <s v="P0034"/>
    <n v="4"/>
    <x v="2"/>
    <x v="1"/>
    <n v="0"/>
    <x v="13"/>
    <x v="4"/>
    <s v="Lt"/>
    <n v="55"/>
    <n v="58.3"/>
    <n v="220"/>
    <n v="233.2"/>
    <n v="13.199999999999989"/>
    <x v="12"/>
    <x v="5"/>
    <x v="1"/>
  </r>
  <r>
    <d v="2022-06-26T00:00:00"/>
    <s v="P0043"/>
    <n v="12"/>
    <x v="2"/>
    <x v="0"/>
    <n v="0"/>
    <x v="23"/>
    <x v="1"/>
    <s v="Kg"/>
    <n v="67"/>
    <n v="83.08"/>
    <n v="804"/>
    <n v="996.96"/>
    <n v="192.96000000000004"/>
    <x v="12"/>
    <x v="5"/>
    <x v="1"/>
  </r>
  <r>
    <d v="2022-07-03T00:00:00"/>
    <s v="P0033"/>
    <n v="15"/>
    <x v="2"/>
    <x v="1"/>
    <n v="0"/>
    <x v="38"/>
    <x v="4"/>
    <s v="Kg"/>
    <n v="95"/>
    <n v="119.7"/>
    <n v="1425"/>
    <n v="1795.5"/>
    <n v="370.5"/>
    <x v="2"/>
    <x v="6"/>
    <x v="1"/>
  </r>
  <r>
    <d v="2022-07-04T00:00:00"/>
    <s v="P0007"/>
    <n v="7"/>
    <x v="2"/>
    <x v="0"/>
    <n v="0"/>
    <x v="36"/>
    <x v="3"/>
    <s v="Lt"/>
    <n v="43"/>
    <n v="47.730000000000004"/>
    <n v="301"/>
    <n v="334.11"/>
    <n v="33.110000000000014"/>
    <x v="3"/>
    <x v="6"/>
    <x v="1"/>
  </r>
  <r>
    <d v="2022-07-05T00:00:00"/>
    <s v="P0025"/>
    <n v="7"/>
    <x v="1"/>
    <x v="1"/>
    <n v="0"/>
    <x v="7"/>
    <x v="0"/>
    <s v="No."/>
    <n v="7"/>
    <n v="8.33"/>
    <n v="49"/>
    <n v="58.31"/>
    <n v="9.3100000000000023"/>
    <x v="15"/>
    <x v="6"/>
    <x v="1"/>
  </r>
  <r>
    <d v="2022-07-05T00:00:00"/>
    <s v="P0015"/>
    <n v="8"/>
    <x v="2"/>
    <x v="0"/>
    <n v="0"/>
    <x v="27"/>
    <x v="2"/>
    <s v="No."/>
    <n v="12"/>
    <n v="15.719999999999999"/>
    <n v="96"/>
    <n v="125.75999999999999"/>
    <n v="29.759999999999991"/>
    <x v="15"/>
    <x v="6"/>
    <x v="1"/>
  </r>
  <r>
    <d v="2022-07-06T00:00:00"/>
    <s v="P0041"/>
    <n v="2"/>
    <x v="2"/>
    <x v="1"/>
    <n v="0"/>
    <x v="41"/>
    <x v="1"/>
    <s v="Ft"/>
    <n v="138"/>
    <n v="173.88"/>
    <n v="276"/>
    <n v="347.76"/>
    <n v="71.759999999999991"/>
    <x v="16"/>
    <x v="6"/>
    <x v="1"/>
  </r>
  <r>
    <d v="2022-07-08T00:00:00"/>
    <s v="P0018"/>
    <n v="2"/>
    <x v="2"/>
    <x v="0"/>
    <n v="0"/>
    <x v="30"/>
    <x v="2"/>
    <s v="No."/>
    <n v="37"/>
    <n v="49.21"/>
    <n v="74"/>
    <n v="98.42"/>
    <n v="24.42"/>
    <x v="21"/>
    <x v="6"/>
    <x v="1"/>
  </r>
  <r>
    <d v="2022-07-10T00:00:00"/>
    <s v="P0032"/>
    <n v="12"/>
    <x v="1"/>
    <x v="1"/>
    <n v="0"/>
    <x v="18"/>
    <x v="4"/>
    <s v="Kg"/>
    <n v="89"/>
    <n v="117.48"/>
    <n v="1068"/>
    <n v="1409.76"/>
    <n v="341.76"/>
    <x v="26"/>
    <x v="6"/>
    <x v="1"/>
  </r>
  <r>
    <d v="2022-07-12T00:00:00"/>
    <s v="P0028"/>
    <n v="12"/>
    <x v="2"/>
    <x v="1"/>
    <n v="0"/>
    <x v="33"/>
    <x v="4"/>
    <s v="No."/>
    <n v="37"/>
    <n v="41.81"/>
    <n v="444"/>
    <n v="501.72"/>
    <n v="57.720000000000027"/>
    <x v="6"/>
    <x v="6"/>
    <x v="1"/>
  </r>
  <r>
    <d v="2022-07-13T00:00:00"/>
    <s v="P0025"/>
    <n v="7"/>
    <x v="2"/>
    <x v="0"/>
    <n v="0"/>
    <x v="7"/>
    <x v="0"/>
    <s v="No."/>
    <n v="7"/>
    <n v="8.33"/>
    <n v="49"/>
    <n v="58.31"/>
    <n v="9.3100000000000023"/>
    <x v="22"/>
    <x v="6"/>
    <x v="1"/>
  </r>
  <r>
    <d v="2022-07-14T00:00:00"/>
    <s v="P0033"/>
    <n v="9"/>
    <x v="2"/>
    <x v="0"/>
    <n v="0"/>
    <x v="38"/>
    <x v="4"/>
    <s v="Kg"/>
    <n v="95"/>
    <n v="119.7"/>
    <n v="855"/>
    <n v="1077.3"/>
    <n v="222.29999999999995"/>
    <x v="29"/>
    <x v="6"/>
    <x v="1"/>
  </r>
  <r>
    <d v="2022-07-15T00:00:00"/>
    <s v="P0004"/>
    <n v="2"/>
    <x v="1"/>
    <x v="0"/>
    <n v="0"/>
    <x v="3"/>
    <x v="3"/>
    <s v="Lt"/>
    <n v="44"/>
    <n v="48.84"/>
    <n v="88"/>
    <n v="97.68"/>
    <n v="9.6800000000000068"/>
    <x v="17"/>
    <x v="6"/>
    <x v="1"/>
  </r>
  <r>
    <d v="2022-07-17T00:00:00"/>
    <s v="P0041"/>
    <n v="8"/>
    <x v="1"/>
    <x v="1"/>
    <n v="0"/>
    <x v="41"/>
    <x v="1"/>
    <s v="Ft"/>
    <n v="138"/>
    <n v="173.88"/>
    <n v="1104"/>
    <n v="1391.04"/>
    <n v="287.03999999999996"/>
    <x v="30"/>
    <x v="6"/>
    <x v="1"/>
  </r>
  <r>
    <d v="2022-07-18T00:00:00"/>
    <s v="P0010"/>
    <n v="12"/>
    <x v="2"/>
    <x v="0"/>
    <n v="0"/>
    <x v="20"/>
    <x v="2"/>
    <s v="Ft"/>
    <n v="148"/>
    <n v="164.28"/>
    <n v="1776"/>
    <n v="1971.3600000000001"/>
    <n v="195.36000000000013"/>
    <x v="7"/>
    <x v="6"/>
    <x v="1"/>
  </r>
  <r>
    <d v="2022-07-20T00:00:00"/>
    <s v="P0042"/>
    <n v="8"/>
    <x v="0"/>
    <x v="0"/>
    <n v="0"/>
    <x v="10"/>
    <x v="1"/>
    <s v="Ft"/>
    <n v="120"/>
    <n v="162"/>
    <n v="960"/>
    <n v="1296"/>
    <n v="336"/>
    <x v="9"/>
    <x v="6"/>
    <x v="1"/>
  </r>
  <r>
    <d v="2022-07-22T00:00:00"/>
    <s v="P0034"/>
    <n v="6"/>
    <x v="2"/>
    <x v="1"/>
    <n v="0"/>
    <x v="13"/>
    <x v="4"/>
    <s v="Lt"/>
    <n v="55"/>
    <n v="58.3"/>
    <n v="330"/>
    <n v="349.79999999999995"/>
    <n v="19.799999999999955"/>
    <x v="18"/>
    <x v="6"/>
    <x v="1"/>
  </r>
  <r>
    <d v="2022-07-23T00:00:00"/>
    <s v="P0018"/>
    <n v="2"/>
    <x v="1"/>
    <x v="0"/>
    <n v="0"/>
    <x v="30"/>
    <x v="2"/>
    <s v="No."/>
    <n v="37"/>
    <n v="49.21"/>
    <n v="74"/>
    <n v="98.42"/>
    <n v="24.42"/>
    <x v="19"/>
    <x v="6"/>
    <x v="1"/>
  </r>
  <r>
    <d v="2022-07-24T00:00:00"/>
    <s v="P0006"/>
    <n v="14"/>
    <x v="2"/>
    <x v="1"/>
    <n v="0"/>
    <x v="15"/>
    <x v="3"/>
    <s v="Kg"/>
    <n v="75"/>
    <n v="85.5"/>
    <n v="1050"/>
    <n v="1197"/>
    <n v="147"/>
    <x v="27"/>
    <x v="6"/>
    <x v="1"/>
  </r>
  <r>
    <d v="2022-07-24T00:00:00"/>
    <s v="P0027"/>
    <n v="1"/>
    <x v="1"/>
    <x v="0"/>
    <n v="0"/>
    <x v="26"/>
    <x v="4"/>
    <s v="Lt"/>
    <n v="48"/>
    <n v="57.120000000000005"/>
    <n v="48"/>
    <n v="57.120000000000005"/>
    <n v="9.1200000000000045"/>
    <x v="27"/>
    <x v="6"/>
    <x v="1"/>
  </r>
  <r>
    <d v="2022-07-25T00:00:00"/>
    <s v="P0044"/>
    <n v="2"/>
    <x v="2"/>
    <x v="1"/>
    <n v="0"/>
    <x v="11"/>
    <x v="1"/>
    <s v="Kg"/>
    <n v="76"/>
    <n v="82.08"/>
    <n v="152"/>
    <n v="164.16"/>
    <n v="12.159999999999997"/>
    <x v="11"/>
    <x v="6"/>
    <x v="1"/>
  </r>
  <r>
    <d v="2022-07-25T00:00:00"/>
    <s v="P0017"/>
    <n v="12"/>
    <x v="2"/>
    <x v="1"/>
    <n v="0"/>
    <x v="39"/>
    <x v="2"/>
    <s v="Ft"/>
    <n v="134"/>
    <n v="156.78"/>
    <n v="1608"/>
    <n v="1881.3600000000001"/>
    <n v="273.36000000000013"/>
    <x v="11"/>
    <x v="6"/>
    <x v="1"/>
  </r>
  <r>
    <d v="2022-07-25T00:00:00"/>
    <s v="P0003"/>
    <n v="13"/>
    <x v="1"/>
    <x v="1"/>
    <n v="0"/>
    <x v="6"/>
    <x v="3"/>
    <s v="Kg"/>
    <n v="71"/>
    <n v="80.94"/>
    <n v="923"/>
    <n v="1052.22"/>
    <n v="129.22000000000003"/>
    <x v="11"/>
    <x v="6"/>
    <x v="1"/>
  </r>
  <r>
    <d v="2022-07-26T00:00:00"/>
    <s v="P0003"/>
    <n v="10"/>
    <x v="1"/>
    <x v="0"/>
    <n v="0"/>
    <x v="6"/>
    <x v="3"/>
    <s v="Kg"/>
    <n v="71"/>
    <n v="80.94"/>
    <n v="710"/>
    <n v="809.4"/>
    <n v="99.399999999999977"/>
    <x v="12"/>
    <x v="6"/>
    <x v="1"/>
  </r>
  <r>
    <d v="2022-07-26T00:00:00"/>
    <s v="P0026"/>
    <n v="1"/>
    <x v="1"/>
    <x v="1"/>
    <n v="0"/>
    <x v="42"/>
    <x v="4"/>
    <s v="No."/>
    <n v="18"/>
    <n v="24.66"/>
    <n v="18"/>
    <n v="24.66"/>
    <n v="6.66"/>
    <x v="12"/>
    <x v="6"/>
    <x v="1"/>
  </r>
  <r>
    <d v="2022-08-03T00:00:00"/>
    <s v="P0012"/>
    <n v="5"/>
    <x v="2"/>
    <x v="1"/>
    <n v="0"/>
    <x v="35"/>
    <x v="2"/>
    <s v="Kg"/>
    <n v="73"/>
    <n v="94.17"/>
    <n v="365"/>
    <n v="470.85"/>
    <n v="105.85000000000002"/>
    <x v="2"/>
    <x v="7"/>
    <x v="1"/>
  </r>
  <r>
    <d v="2022-08-06T00:00:00"/>
    <s v="P0016"/>
    <n v="9"/>
    <x v="1"/>
    <x v="0"/>
    <n v="0"/>
    <x v="21"/>
    <x v="2"/>
    <s v="No."/>
    <n v="13"/>
    <n v="16.64"/>
    <n v="117"/>
    <n v="149.76"/>
    <n v="32.759999999999991"/>
    <x v="16"/>
    <x v="7"/>
    <x v="1"/>
  </r>
  <r>
    <d v="2022-08-08T00:00:00"/>
    <s v="P0016"/>
    <n v="2"/>
    <x v="2"/>
    <x v="0"/>
    <n v="0"/>
    <x v="21"/>
    <x v="2"/>
    <s v="No."/>
    <n v="13"/>
    <n v="16.64"/>
    <n v="26"/>
    <n v="33.28"/>
    <n v="7.2800000000000011"/>
    <x v="21"/>
    <x v="7"/>
    <x v="1"/>
  </r>
  <r>
    <d v="2022-08-08T00:00:00"/>
    <s v="P0032"/>
    <n v="12"/>
    <x v="2"/>
    <x v="1"/>
    <n v="0"/>
    <x v="18"/>
    <x v="4"/>
    <s v="Kg"/>
    <n v="89"/>
    <n v="117.48"/>
    <n v="1068"/>
    <n v="1409.76"/>
    <n v="341.76"/>
    <x v="21"/>
    <x v="7"/>
    <x v="1"/>
  </r>
  <r>
    <d v="2022-08-08T00:00:00"/>
    <s v="P0021"/>
    <n v="11"/>
    <x v="2"/>
    <x v="1"/>
    <n v="0"/>
    <x v="32"/>
    <x v="0"/>
    <s v="Ft"/>
    <n v="126"/>
    <n v="162.54"/>
    <n v="1386"/>
    <n v="1787.9399999999998"/>
    <n v="401.93999999999983"/>
    <x v="21"/>
    <x v="7"/>
    <x v="1"/>
  </r>
  <r>
    <d v="2022-08-14T00:00:00"/>
    <s v="P0030"/>
    <n v="14"/>
    <x v="2"/>
    <x v="1"/>
    <n v="0"/>
    <x v="28"/>
    <x v="4"/>
    <s v="Ft"/>
    <n v="148"/>
    <n v="201.28"/>
    <n v="2072"/>
    <n v="2817.92"/>
    <n v="745.92000000000007"/>
    <x v="29"/>
    <x v="7"/>
    <x v="1"/>
  </r>
  <r>
    <d v="2022-08-15T00:00:00"/>
    <s v="P0011"/>
    <n v="10"/>
    <x v="0"/>
    <x v="1"/>
    <n v="0"/>
    <x v="31"/>
    <x v="2"/>
    <s v="Lt"/>
    <n v="44"/>
    <n v="48.4"/>
    <n v="440"/>
    <n v="484"/>
    <n v="44"/>
    <x v="17"/>
    <x v="7"/>
    <x v="1"/>
  </r>
  <r>
    <d v="2022-08-15T00:00:00"/>
    <s v="P0015"/>
    <n v="7"/>
    <x v="2"/>
    <x v="0"/>
    <n v="0"/>
    <x v="27"/>
    <x v="2"/>
    <s v="No."/>
    <n v="12"/>
    <n v="15.719999999999999"/>
    <n v="84"/>
    <n v="110.03999999999999"/>
    <n v="26.039999999999992"/>
    <x v="17"/>
    <x v="7"/>
    <x v="1"/>
  </r>
  <r>
    <d v="2022-08-18T00:00:00"/>
    <s v="P0029"/>
    <n v="8"/>
    <x v="1"/>
    <x v="0"/>
    <n v="0"/>
    <x v="19"/>
    <x v="4"/>
    <s v="Lt"/>
    <n v="47"/>
    <n v="53.11"/>
    <n v="376"/>
    <n v="424.88"/>
    <n v="48.879999999999995"/>
    <x v="7"/>
    <x v="7"/>
    <x v="1"/>
  </r>
  <r>
    <d v="2022-08-18T00:00:00"/>
    <s v="P0010"/>
    <n v="2"/>
    <x v="1"/>
    <x v="1"/>
    <n v="0"/>
    <x v="20"/>
    <x v="2"/>
    <s v="Ft"/>
    <n v="148"/>
    <n v="164.28"/>
    <n v="296"/>
    <n v="328.56"/>
    <n v="32.56"/>
    <x v="7"/>
    <x v="7"/>
    <x v="1"/>
  </r>
  <r>
    <d v="2022-08-19T00:00:00"/>
    <s v="P0007"/>
    <n v="3"/>
    <x v="1"/>
    <x v="0"/>
    <n v="0"/>
    <x v="36"/>
    <x v="3"/>
    <s v="Lt"/>
    <n v="43"/>
    <n v="47.730000000000004"/>
    <n v="129"/>
    <n v="143.19"/>
    <n v="14.189999999999998"/>
    <x v="8"/>
    <x v="7"/>
    <x v="1"/>
  </r>
  <r>
    <d v="2022-08-20T00:00:00"/>
    <s v="P0023"/>
    <n v="13"/>
    <x v="2"/>
    <x v="0"/>
    <n v="0"/>
    <x v="12"/>
    <x v="0"/>
    <s v="Ft"/>
    <n v="141"/>
    <n v="149.46"/>
    <n v="1833"/>
    <n v="1942.98"/>
    <n v="109.98000000000002"/>
    <x v="9"/>
    <x v="7"/>
    <x v="1"/>
  </r>
  <r>
    <d v="2022-08-20T00:00:00"/>
    <s v="P0033"/>
    <n v="14"/>
    <x v="2"/>
    <x v="0"/>
    <n v="0"/>
    <x v="38"/>
    <x v="4"/>
    <s v="Kg"/>
    <n v="95"/>
    <n v="119.7"/>
    <n v="1330"/>
    <n v="1675.8"/>
    <n v="345.79999999999995"/>
    <x v="9"/>
    <x v="7"/>
    <x v="1"/>
  </r>
  <r>
    <d v="2022-08-21T00:00:00"/>
    <s v="P0016"/>
    <n v="4"/>
    <x v="2"/>
    <x v="0"/>
    <n v="0"/>
    <x v="21"/>
    <x v="2"/>
    <s v="No."/>
    <n v="13"/>
    <n v="16.64"/>
    <n v="52"/>
    <n v="66.56"/>
    <n v="14.560000000000002"/>
    <x v="10"/>
    <x v="7"/>
    <x v="1"/>
  </r>
  <r>
    <d v="2022-08-23T00:00:00"/>
    <s v="P0044"/>
    <n v="11"/>
    <x v="1"/>
    <x v="0"/>
    <n v="0"/>
    <x v="11"/>
    <x v="1"/>
    <s v="Kg"/>
    <n v="76"/>
    <n v="82.08"/>
    <n v="836"/>
    <n v="902.88"/>
    <n v="66.88"/>
    <x v="19"/>
    <x v="7"/>
    <x v="1"/>
  </r>
  <r>
    <d v="2022-08-23T00:00:00"/>
    <s v="P0029"/>
    <n v="14"/>
    <x v="2"/>
    <x v="1"/>
    <n v="0"/>
    <x v="19"/>
    <x v="4"/>
    <s v="Lt"/>
    <n v="47"/>
    <n v="53.11"/>
    <n v="658"/>
    <n v="743.54"/>
    <n v="85.539999999999964"/>
    <x v="19"/>
    <x v="7"/>
    <x v="1"/>
  </r>
  <r>
    <d v="2022-08-24T00:00:00"/>
    <s v="P0005"/>
    <n v="5"/>
    <x v="2"/>
    <x v="1"/>
    <n v="0"/>
    <x v="24"/>
    <x v="3"/>
    <s v="Ft"/>
    <n v="133"/>
    <n v="155.61000000000001"/>
    <n v="665"/>
    <n v="778.05000000000007"/>
    <n v="113.05000000000007"/>
    <x v="27"/>
    <x v="7"/>
    <x v="1"/>
  </r>
  <r>
    <d v="2022-08-26T00:00:00"/>
    <s v="P0019"/>
    <n v="13"/>
    <x v="0"/>
    <x v="1"/>
    <n v="0"/>
    <x v="40"/>
    <x v="2"/>
    <s v="Ft"/>
    <n v="150"/>
    <n v="210"/>
    <n v="1950"/>
    <n v="2730"/>
    <n v="780"/>
    <x v="12"/>
    <x v="7"/>
    <x v="1"/>
  </r>
  <r>
    <d v="2022-08-26T00:00:00"/>
    <s v="P0037"/>
    <n v="8"/>
    <x v="1"/>
    <x v="0"/>
    <n v="0"/>
    <x v="8"/>
    <x v="1"/>
    <s v="Kg"/>
    <n v="67"/>
    <n v="85.76"/>
    <n v="536"/>
    <n v="686.08"/>
    <n v="150.08000000000004"/>
    <x v="12"/>
    <x v="7"/>
    <x v="1"/>
  </r>
  <r>
    <d v="2022-08-27T00:00:00"/>
    <s v="P0039"/>
    <n v="15"/>
    <x v="0"/>
    <x v="0"/>
    <n v="0"/>
    <x v="34"/>
    <x v="1"/>
    <s v="No."/>
    <n v="37"/>
    <n v="42.55"/>
    <n v="555"/>
    <n v="638.25"/>
    <n v="83.25"/>
    <x v="13"/>
    <x v="7"/>
    <x v="1"/>
  </r>
  <r>
    <d v="2022-08-28T00:00:00"/>
    <s v="P0005"/>
    <n v="9"/>
    <x v="1"/>
    <x v="0"/>
    <n v="0"/>
    <x v="24"/>
    <x v="3"/>
    <s v="Ft"/>
    <n v="133"/>
    <n v="155.61000000000001"/>
    <n v="1197"/>
    <n v="1400.4900000000002"/>
    <n v="203.49000000000024"/>
    <x v="14"/>
    <x v="7"/>
    <x v="1"/>
  </r>
  <r>
    <d v="2022-08-28T00:00:00"/>
    <s v="P0039"/>
    <n v="5"/>
    <x v="2"/>
    <x v="0"/>
    <n v="0"/>
    <x v="34"/>
    <x v="1"/>
    <s v="No."/>
    <n v="37"/>
    <n v="42.55"/>
    <n v="185"/>
    <n v="212.75"/>
    <n v="27.75"/>
    <x v="14"/>
    <x v="7"/>
    <x v="1"/>
  </r>
  <r>
    <d v="2022-08-30T00:00:00"/>
    <s v="P0006"/>
    <n v="6"/>
    <x v="1"/>
    <x v="1"/>
    <n v="0"/>
    <x v="15"/>
    <x v="3"/>
    <s v="Kg"/>
    <n v="75"/>
    <n v="85.5"/>
    <n v="450"/>
    <n v="513"/>
    <n v="63"/>
    <x v="24"/>
    <x v="7"/>
    <x v="1"/>
  </r>
  <r>
    <d v="2022-08-30T00:00:00"/>
    <s v="P0043"/>
    <n v="6"/>
    <x v="2"/>
    <x v="1"/>
    <n v="0"/>
    <x v="23"/>
    <x v="1"/>
    <s v="Kg"/>
    <n v="67"/>
    <n v="83.08"/>
    <n v="402"/>
    <n v="498.48"/>
    <n v="96.480000000000018"/>
    <x v="24"/>
    <x v="7"/>
    <x v="1"/>
  </r>
  <r>
    <d v="2022-08-30T00:00:00"/>
    <s v="P0025"/>
    <n v="5"/>
    <x v="2"/>
    <x v="1"/>
    <n v="0"/>
    <x v="7"/>
    <x v="0"/>
    <s v="No."/>
    <n v="7"/>
    <n v="8.33"/>
    <n v="35"/>
    <n v="41.65"/>
    <n v="6.6499999999999986"/>
    <x v="24"/>
    <x v="7"/>
    <x v="1"/>
  </r>
  <r>
    <d v="2022-08-31T00:00:00"/>
    <s v="P0015"/>
    <n v="13"/>
    <x v="2"/>
    <x v="1"/>
    <n v="0"/>
    <x v="27"/>
    <x v="2"/>
    <s v="No."/>
    <n v="12"/>
    <n v="15.719999999999999"/>
    <n v="156"/>
    <n v="204.35999999999999"/>
    <n v="48.359999999999985"/>
    <x v="25"/>
    <x v="7"/>
    <x v="1"/>
  </r>
  <r>
    <d v="2022-09-04T00:00:00"/>
    <s v="P0002"/>
    <n v="1"/>
    <x v="2"/>
    <x v="1"/>
    <n v="0"/>
    <x v="29"/>
    <x v="3"/>
    <s v="Kg"/>
    <n v="105"/>
    <n v="142.80000000000001"/>
    <n v="105"/>
    <n v="142.80000000000001"/>
    <n v="37.800000000000011"/>
    <x v="3"/>
    <x v="8"/>
    <x v="1"/>
  </r>
  <r>
    <d v="2022-09-06T00:00:00"/>
    <s v="P0005"/>
    <n v="12"/>
    <x v="0"/>
    <x v="0"/>
    <n v="0"/>
    <x v="24"/>
    <x v="3"/>
    <s v="Ft"/>
    <n v="133"/>
    <n v="155.61000000000001"/>
    <n v="1596"/>
    <n v="1867.3200000000002"/>
    <n v="271.32000000000016"/>
    <x v="16"/>
    <x v="8"/>
    <x v="1"/>
  </r>
  <r>
    <d v="2022-09-09T00:00:00"/>
    <s v="P0041"/>
    <n v="9"/>
    <x v="2"/>
    <x v="0"/>
    <n v="0"/>
    <x v="41"/>
    <x v="1"/>
    <s v="Ft"/>
    <n v="138"/>
    <n v="173.88"/>
    <n v="1242"/>
    <n v="1564.92"/>
    <n v="322.92000000000007"/>
    <x v="4"/>
    <x v="8"/>
    <x v="1"/>
  </r>
  <r>
    <d v="2022-09-09T00:00:00"/>
    <s v="P0003"/>
    <n v="3"/>
    <x v="2"/>
    <x v="0"/>
    <n v="0"/>
    <x v="6"/>
    <x v="3"/>
    <s v="Kg"/>
    <n v="71"/>
    <n v="80.94"/>
    <n v="213"/>
    <n v="242.82"/>
    <n v="29.819999999999993"/>
    <x v="4"/>
    <x v="8"/>
    <x v="1"/>
  </r>
  <r>
    <d v="2022-09-10T00:00:00"/>
    <s v="P0035"/>
    <n v="15"/>
    <x v="1"/>
    <x v="1"/>
    <n v="0"/>
    <x v="4"/>
    <x v="4"/>
    <s v="No."/>
    <n v="5"/>
    <n v="6.7"/>
    <n v="75"/>
    <n v="100.5"/>
    <n v="25.5"/>
    <x v="26"/>
    <x v="8"/>
    <x v="1"/>
  </r>
  <r>
    <d v="2022-09-10T00:00:00"/>
    <s v="P0038"/>
    <n v="4"/>
    <x v="2"/>
    <x v="1"/>
    <n v="0"/>
    <x v="1"/>
    <x v="1"/>
    <s v="Kg"/>
    <n v="72"/>
    <n v="79.92"/>
    <n v="288"/>
    <n v="319.68"/>
    <n v="31.680000000000007"/>
    <x v="26"/>
    <x v="8"/>
    <x v="1"/>
  </r>
  <r>
    <d v="2022-09-14T00:00:00"/>
    <s v="P0029"/>
    <n v="3"/>
    <x v="2"/>
    <x v="1"/>
    <n v="0"/>
    <x v="19"/>
    <x v="4"/>
    <s v="Lt"/>
    <n v="47"/>
    <n v="53.11"/>
    <n v="141"/>
    <n v="159.32999999999998"/>
    <n v="18.329999999999984"/>
    <x v="29"/>
    <x v="8"/>
    <x v="1"/>
  </r>
  <r>
    <d v="2022-09-15T00:00:00"/>
    <s v="P0037"/>
    <n v="15"/>
    <x v="1"/>
    <x v="0"/>
    <n v="0"/>
    <x v="8"/>
    <x v="1"/>
    <s v="Kg"/>
    <n v="67"/>
    <n v="85.76"/>
    <n v="1005"/>
    <n v="1286.4000000000001"/>
    <n v="281.40000000000009"/>
    <x v="17"/>
    <x v="8"/>
    <x v="1"/>
  </r>
  <r>
    <d v="2022-09-18T00:00:00"/>
    <s v="P0026"/>
    <n v="14"/>
    <x v="1"/>
    <x v="1"/>
    <n v="0"/>
    <x v="42"/>
    <x v="4"/>
    <s v="No."/>
    <n v="18"/>
    <n v="24.66"/>
    <n v="252"/>
    <n v="345.24"/>
    <n v="93.240000000000009"/>
    <x v="7"/>
    <x v="8"/>
    <x v="1"/>
  </r>
  <r>
    <d v="2022-09-19T00:00:00"/>
    <s v="P0033"/>
    <n v="8"/>
    <x v="0"/>
    <x v="1"/>
    <n v="0"/>
    <x v="38"/>
    <x v="4"/>
    <s v="Kg"/>
    <n v="95"/>
    <n v="119.7"/>
    <n v="760"/>
    <n v="957.6"/>
    <n v="197.60000000000002"/>
    <x v="8"/>
    <x v="8"/>
    <x v="1"/>
  </r>
  <r>
    <d v="2022-09-20T00:00:00"/>
    <s v="P0033"/>
    <n v="6"/>
    <x v="2"/>
    <x v="0"/>
    <n v="0"/>
    <x v="38"/>
    <x v="4"/>
    <s v="Kg"/>
    <n v="95"/>
    <n v="119.7"/>
    <n v="570"/>
    <n v="718.2"/>
    <n v="148.20000000000005"/>
    <x v="9"/>
    <x v="8"/>
    <x v="1"/>
  </r>
  <r>
    <d v="2022-09-20T00:00:00"/>
    <s v="P0001"/>
    <n v="10"/>
    <x v="2"/>
    <x v="0"/>
    <n v="0"/>
    <x v="16"/>
    <x v="3"/>
    <s v="Kg"/>
    <n v="98"/>
    <n v="103.88"/>
    <n v="980"/>
    <n v="1038.8"/>
    <n v="58.799999999999955"/>
    <x v="9"/>
    <x v="8"/>
    <x v="1"/>
  </r>
  <r>
    <d v="2022-09-21T00:00:00"/>
    <s v="P0018"/>
    <n v="14"/>
    <x v="1"/>
    <x v="0"/>
    <n v="0"/>
    <x v="30"/>
    <x v="2"/>
    <s v="No."/>
    <n v="37"/>
    <n v="49.21"/>
    <n v="518"/>
    <n v="688.94"/>
    <n v="170.94000000000005"/>
    <x v="10"/>
    <x v="8"/>
    <x v="1"/>
  </r>
  <r>
    <d v="2022-09-21T00:00:00"/>
    <s v="P0026"/>
    <n v="5"/>
    <x v="2"/>
    <x v="1"/>
    <n v="0"/>
    <x v="42"/>
    <x v="4"/>
    <s v="No."/>
    <n v="18"/>
    <n v="24.66"/>
    <n v="90"/>
    <n v="123.3"/>
    <n v="33.299999999999997"/>
    <x v="10"/>
    <x v="8"/>
    <x v="1"/>
  </r>
  <r>
    <d v="2022-09-22T00:00:00"/>
    <s v="P0043"/>
    <n v="12"/>
    <x v="1"/>
    <x v="0"/>
    <n v="0"/>
    <x v="23"/>
    <x v="1"/>
    <s v="Kg"/>
    <n v="67"/>
    <n v="83.08"/>
    <n v="804"/>
    <n v="996.96"/>
    <n v="192.96000000000004"/>
    <x v="18"/>
    <x v="8"/>
    <x v="1"/>
  </r>
  <r>
    <d v="2022-09-23T00:00:00"/>
    <s v="P0012"/>
    <n v="12"/>
    <x v="2"/>
    <x v="0"/>
    <n v="0"/>
    <x v="35"/>
    <x v="2"/>
    <s v="Kg"/>
    <n v="73"/>
    <n v="94.17"/>
    <n v="876"/>
    <n v="1130.04"/>
    <n v="254.03999999999996"/>
    <x v="19"/>
    <x v="8"/>
    <x v="1"/>
  </r>
  <r>
    <d v="2022-09-24T00:00:00"/>
    <s v="P0032"/>
    <n v="14"/>
    <x v="2"/>
    <x v="0"/>
    <n v="0"/>
    <x v="18"/>
    <x v="4"/>
    <s v="Kg"/>
    <n v="89"/>
    <n v="117.48"/>
    <n v="1246"/>
    <n v="1644.72"/>
    <n v="398.72"/>
    <x v="27"/>
    <x v="8"/>
    <x v="1"/>
  </r>
  <r>
    <d v="2022-09-24T00:00:00"/>
    <s v="P0032"/>
    <n v="8"/>
    <x v="2"/>
    <x v="1"/>
    <n v="0"/>
    <x v="18"/>
    <x v="4"/>
    <s v="Kg"/>
    <n v="89"/>
    <n v="117.48"/>
    <n v="712"/>
    <n v="939.84"/>
    <n v="227.84000000000003"/>
    <x v="27"/>
    <x v="8"/>
    <x v="1"/>
  </r>
  <r>
    <d v="2022-09-27T00:00:00"/>
    <s v="P0036"/>
    <n v="4"/>
    <x v="2"/>
    <x v="1"/>
    <n v="0"/>
    <x v="43"/>
    <x v="4"/>
    <s v="Kg"/>
    <n v="90"/>
    <n v="96.3"/>
    <n v="360"/>
    <n v="385.2"/>
    <n v="25.199999999999989"/>
    <x v="13"/>
    <x v="8"/>
    <x v="1"/>
  </r>
  <r>
    <d v="2022-09-27T00:00:00"/>
    <s v="P0044"/>
    <n v="9"/>
    <x v="2"/>
    <x v="1"/>
    <n v="0"/>
    <x v="11"/>
    <x v="1"/>
    <s v="Kg"/>
    <n v="76"/>
    <n v="82.08"/>
    <n v="684"/>
    <n v="738.72"/>
    <n v="54.720000000000027"/>
    <x v="13"/>
    <x v="8"/>
    <x v="1"/>
  </r>
  <r>
    <d v="2022-09-27T00:00:00"/>
    <s v="P0038"/>
    <n v="3"/>
    <x v="0"/>
    <x v="1"/>
    <n v="0"/>
    <x v="1"/>
    <x v="1"/>
    <s v="Kg"/>
    <n v="72"/>
    <n v="79.92"/>
    <n v="216"/>
    <n v="239.76"/>
    <n v="23.759999999999991"/>
    <x v="13"/>
    <x v="8"/>
    <x v="1"/>
  </r>
  <r>
    <d v="2022-09-29T00:00:00"/>
    <s v="P0034"/>
    <n v="13"/>
    <x v="2"/>
    <x v="0"/>
    <n v="0"/>
    <x v="13"/>
    <x v="4"/>
    <s v="Lt"/>
    <n v="55"/>
    <n v="58.3"/>
    <n v="715"/>
    <n v="757.9"/>
    <n v="42.899999999999977"/>
    <x v="28"/>
    <x v="8"/>
    <x v="1"/>
  </r>
  <r>
    <d v="2022-10-03T00:00:00"/>
    <s v="P0011"/>
    <n v="5"/>
    <x v="2"/>
    <x v="1"/>
    <n v="0"/>
    <x v="31"/>
    <x v="2"/>
    <s v="Lt"/>
    <n v="44"/>
    <n v="48.4"/>
    <n v="220"/>
    <n v="242"/>
    <n v="22"/>
    <x v="2"/>
    <x v="9"/>
    <x v="1"/>
  </r>
  <r>
    <d v="2022-10-04T00:00:00"/>
    <s v="P0007"/>
    <n v="15"/>
    <x v="2"/>
    <x v="0"/>
    <n v="0"/>
    <x v="36"/>
    <x v="3"/>
    <s v="Lt"/>
    <n v="43"/>
    <n v="47.730000000000004"/>
    <n v="645"/>
    <n v="715.95"/>
    <n v="70.950000000000045"/>
    <x v="3"/>
    <x v="9"/>
    <x v="1"/>
  </r>
  <r>
    <d v="2022-10-06T00:00:00"/>
    <s v="P0035"/>
    <n v="1"/>
    <x v="2"/>
    <x v="0"/>
    <n v="0"/>
    <x v="4"/>
    <x v="4"/>
    <s v="No."/>
    <n v="5"/>
    <n v="6.7"/>
    <n v="5"/>
    <n v="6.7"/>
    <n v="1.7000000000000002"/>
    <x v="16"/>
    <x v="9"/>
    <x v="1"/>
  </r>
  <r>
    <d v="2022-10-09T00:00:00"/>
    <s v="P0038"/>
    <n v="14"/>
    <x v="1"/>
    <x v="0"/>
    <n v="0"/>
    <x v="1"/>
    <x v="1"/>
    <s v="Kg"/>
    <n v="72"/>
    <n v="79.92"/>
    <n v="1008"/>
    <n v="1118.8800000000001"/>
    <n v="110.88000000000011"/>
    <x v="4"/>
    <x v="9"/>
    <x v="1"/>
  </r>
  <r>
    <d v="2022-10-10T00:00:00"/>
    <s v="P0019"/>
    <n v="9"/>
    <x v="2"/>
    <x v="0"/>
    <n v="0"/>
    <x v="40"/>
    <x v="2"/>
    <s v="Ft"/>
    <n v="150"/>
    <n v="210"/>
    <n v="1350"/>
    <n v="1890"/>
    <n v="540"/>
    <x v="26"/>
    <x v="9"/>
    <x v="1"/>
  </r>
  <r>
    <d v="2022-10-10T00:00:00"/>
    <s v="P0044"/>
    <n v="12"/>
    <x v="1"/>
    <x v="0"/>
    <n v="0"/>
    <x v="11"/>
    <x v="1"/>
    <s v="Kg"/>
    <n v="76"/>
    <n v="82.08"/>
    <n v="912"/>
    <n v="984.96"/>
    <n v="72.960000000000036"/>
    <x v="26"/>
    <x v="9"/>
    <x v="1"/>
  </r>
  <r>
    <d v="2022-10-11T00:00:00"/>
    <s v="P0008"/>
    <n v="10"/>
    <x v="2"/>
    <x v="0"/>
    <n v="0"/>
    <x v="25"/>
    <x v="3"/>
    <s v="Kg"/>
    <n v="83"/>
    <n v="94.62"/>
    <n v="830"/>
    <n v="946.2"/>
    <n v="116.20000000000005"/>
    <x v="5"/>
    <x v="9"/>
    <x v="1"/>
  </r>
  <r>
    <d v="2022-10-13T00:00:00"/>
    <s v="P0002"/>
    <n v="15"/>
    <x v="1"/>
    <x v="0"/>
    <n v="0"/>
    <x v="29"/>
    <x v="3"/>
    <s v="Kg"/>
    <n v="105"/>
    <n v="142.80000000000001"/>
    <n v="1575"/>
    <n v="2142"/>
    <n v="567"/>
    <x v="22"/>
    <x v="9"/>
    <x v="1"/>
  </r>
  <r>
    <d v="2022-10-14T00:00:00"/>
    <s v="P0044"/>
    <n v="15"/>
    <x v="0"/>
    <x v="0"/>
    <n v="0"/>
    <x v="11"/>
    <x v="1"/>
    <s v="Kg"/>
    <n v="76"/>
    <n v="82.08"/>
    <n v="1140"/>
    <n v="1231.2"/>
    <n v="91.200000000000045"/>
    <x v="29"/>
    <x v="9"/>
    <x v="1"/>
  </r>
  <r>
    <d v="2022-10-15T00:00:00"/>
    <s v="P0015"/>
    <n v="10"/>
    <x v="2"/>
    <x v="1"/>
    <n v="0"/>
    <x v="27"/>
    <x v="2"/>
    <s v="No."/>
    <n v="12"/>
    <n v="15.719999999999999"/>
    <n v="120"/>
    <n v="157.19999999999999"/>
    <n v="37.199999999999989"/>
    <x v="17"/>
    <x v="9"/>
    <x v="1"/>
  </r>
  <r>
    <d v="2022-10-16T00:00:00"/>
    <s v="P0036"/>
    <n v="3"/>
    <x v="1"/>
    <x v="0"/>
    <n v="0"/>
    <x v="43"/>
    <x v="4"/>
    <s v="Kg"/>
    <n v="90"/>
    <n v="96.3"/>
    <n v="270"/>
    <n v="288.89999999999998"/>
    <n v="18.899999999999977"/>
    <x v="23"/>
    <x v="9"/>
    <x v="1"/>
  </r>
  <r>
    <d v="2022-10-23T00:00:00"/>
    <s v="P0024"/>
    <n v="14"/>
    <x v="1"/>
    <x v="1"/>
    <n v="0"/>
    <x v="0"/>
    <x v="0"/>
    <s v="Ft"/>
    <n v="144"/>
    <n v="156.96"/>
    <n v="2016"/>
    <n v="2197.44"/>
    <n v="181.44000000000005"/>
    <x v="19"/>
    <x v="9"/>
    <x v="1"/>
  </r>
  <r>
    <d v="2022-10-30T00:00:00"/>
    <s v="P0042"/>
    <n v="3"/>
    <x v="2"/>
    <x v="1"/>
    <n v="0"/>
    <x v="10"/>
    <x v="1"/>
    <s v="Ft"/>
    <n v="120"/>
    <n v="162"/>
    <n v="360"/>
    <n v="486"/>
    <n v="126"/>
    <x v="24"/>
    <x v="9"/>
    <x v="1"/>
  </r>
  <r>
    <d v="2022-10-31T00:00:00"/>
    <s v="P0038"/>
    <n v="8"/>
    <x v="2"/>
    <x v="0"/>
    <n v="0"/>
    <x v="1"/>
    <x v="1"/>
    <s v="Kg"/>
    <n v="72"/>
    <n v="79.92"/>
    <n v="576"/>
    <n v="639.36"/>
    <n v="63.360000000000014"/>
    <x v="25"/>
    <x v="9"/>
    <x v="1"/>
  </r>
  <r>
    <d v="2022-11-01T00:00:00"/>
    <s v="P0012"/>
    <n v="15"/>
    <x v="0"/>
    <x v="0"/>
    <n v="0"/>
    <x v="35"/>
    <x v="2"/>
    <s v="Kg"/>
    <n v="73"/>
    <n v="94.17"/>
    <n v="1095"/>
    <n v="1412.55"/>
    <n v="317.54999999999995"/>
    <x v="0"/>
    <x v="10"/>
    <x v="1"/>
  </r>
  <r>
    <d v="2022-11-02T00:00:00"/>
    <s v="P0015"/>
    <n v="15"/>
    <x v="0"/>
    <x v="1"/>
    <n v="0"/>
    <x v="27"/>
    <x v="2"/>
    <s v="No."/>
    <n v="12"/>
    <n v="15.719999999999999"/>
    <n v="180"/>
    <n v="235.79999999999998"/>
    <n v="55.799999999999983"/>
    <x v="1"/>
    <x v="10"/>
    <x v="1"/>
  </r>
  <r>
    <d v="2022-11-02T00:00:00"/>
    <s v="P0030"/>
    <n v="15"/>
    <x v="2"/>
    <x v="1"/>
    <n v="0"/>
    <x v="28"/>
    <x v="4"/>
    <s v="Ft"/>
    <n v="148"/>
    <n v="201.28"/>
    <n v="2220"/>
    <n v="3019.2"/>
    <n v="799.19999999999982"/>
    <x v="1"/>
    <x v="10"/>
    <x v="1"/>
  </r>
  <r>
    <d v="2022-11-02T00:00:00"/>
    <s v="P0035"/>
    <n v="5"/>
    <x v="2"/>
    <x v="1"/>
    <n v="0"/>
    <x v="4"/>
    <x v="4"/>
    <s v="No."/>
    <n v="5"/>
    <n v="6.7"/>
    <n v="25"/>
    <n v="33.5"/>
    <n v="8.5"/>
    <x v="1"/>
    <x v="10"/>
    <x v="1"/>
  </r>
  <r>
    <d v="2022-11-03T00:00:00"/>
    <s v="P0020"/>
    <n v="11"/>
    <x v="1"/>
    <x v="0"/>
    <n v="0"/>
    <x v="14"/>
    <x v="0"/>
    <s v="Lt"/>
    <n v="61"/>
    <n v="76.25"/>
    <n v="671"/>
    <n v="838.75"/>
    <n v="167.75"/>
    <x v="2"/>
    <x v="10"/>
    <x v="1"/>
  </r>
  <r>
    <d v="2022-11-04T00:00:00"/>
    <s v="P0008"/>
    <n v="10"/>
    <x v="2"/>
    <x v="0"/>
    <n v="0"/>
    <x v="25"/>
    <x v="3"/>
    <s v="Kg"/>
    <n v="83"/>
    <n v="94.62"/>
    <n v="830"/>
    <n v="946.2"/>
    <n v="116.20000000000005"/>
    <x v="3"/>
    <x v="10"/>
    <x v="1"/>
  </r>
  <r>
    <d v="2022-11-05T00:00:00"/>
    <s v="P0019"/>
    <n v="15"/>
    <x v="2"/>
    <x v="1"/>
    <n v="0"/>
    <x v="40"/>
    <x v="2"/>
    <s v="Ft"/>
    <n v="150"/>
    <n v="210"/>
    <n v="2250"/>
    <n v="3150"/>
    <n v="900"/>
    <x v="15"/>
    <x v="10"/>
    <x v="1"/>
  </r>
  <r>
    <d v="2022-11-06T00:00:00"/>
    <s v="P0043"/>
    <n v="13"/>
    <x v="2"/>
    <x v="1"/>
    <n v="0"/>
    <x v="23"/>
    <x v="1"/>
    <s v="Kg"/>
    <n v="67"/>
    <n v="83.08"/>
    <n v="871"/>
    <n v="1080.04"/>
    <n v="209.03999999999996"/>
    <x v="16"/>
    <x v="10"/>
    <x v="1"/>
  </r>
  <r>
    <d v="2022-11-06T00:00:00"/>
    <s v="P0015"/>
    <n v="13"/>
    <x v="1"/>
    <x v="0"/>
    <n v="0"/>
    <x v="27"/>
    <x v="2"/>
    <s v="No."/>
    <n v="12"/>
    <n v="15.719999999999999"/>
    <n v="156"/>
    <n v="204.35999999999999"/>
    <n v="48.359999999999985"/>
    <x v="16"/>
    <x v="10"/>
    <x v="1"/>
  </r>
  <r>
    <d v="2022-11-06T00:00:00"/>
    <s v="P0042"/>
    <n v="13"/>
    <x v="2"/>
    <x v="1"/>
    <n v="0"/>
    <x v="10"/>
    <x v="1"/>
    <s v="Ft"/>
    <n v="120"/>
    <n v="162"/>
    <n v="1560"/>
    <n v="2106"/>
    <n v="546"/>
    <x v="16"/>
    <x v="10"/>
    <x v="1"/>
  </r>
  <r>
    <d v="2022-11-07T00:00:00"/>
    <s v="P0040"/>
    <n v="13"/>
    <x v="1"/>
    <x v="1"/>
    <n v="0"/>
    <x v="17"/>
    <x v="1"/>
    <s v="Kg"/>
    <n v="90"/>
    <n v="115.2"/>
    <n v="1170"/>
    <n v="1497.6000000000001"/>
    <n v="327.60000000000014"/>
    <x v="20"/>
    <x v="10"/>
    <x v="1"/>
  </r>
  <r>
    <d v="2022-11-08T00:00:00"/>
    <s v="P0036"/>
    <n v="11"/>
    <x v="0"/>
    <x v="1"/>
    <n v="0"/>
    <x v="43"/>
    <x v="4"/>
    <s v="Kg"/>
    <n v="90"/>
    <n v="96.3"/>
    <n v="990"/>
    <n v="1059.3"/>
    <n v="69.299999999999955"/>
    <x v="21"/>
    <x v="10"/>
    <x v="1"/>
  </r>
  <r>
    <d v="2022-11-08T00:00:00"/>
    <s v="P0019"/>
    <n v="10"/>
    <x v="0"/>
    <x v="0"/>
    <n v="0"/>
    <x v="40"/>
    <x v="2"/>
    <s v="Ft"/>
    <n v="150"/>
    <n v="210"/>
    <n v="1500"/>
    <n v="2100"/>
    <n v="600"/>
    <x v="21"/>
    <x v="10"/>
    <x v="1"/>
  </r>
  <r>
    <d v="2022-11-09T00:00:00"/>
    <s v="P0027"/>
    <n v="8"/>
    <x v="1"/>
    <x v="1"/>
    <n v="0"/>
    <x v="26"/>
    <x v="4"/>
    <s v="Lt"/>
    <n v="48"/>
    <n v="57.120000000000005"/>
    <n v="384"/>
    <n v="456.96000000000004"/>
    <n v="72.960000000000036"/>
    <x v="4"/>
    <x v="10"/>
    <x v="1"/>
  </r>
  <r>
    <d v="2022-11-10T00:00:00"/>
    <s v="P0018"/>
    <n v="7"/>
    <x v="2"/>
    <x v="0"/>
    <n v="0"/>
    <x v="30"/>
    <x v="2"/>
    <s v="No."/>
    <n v="37"/>
    <n v="49.21"/>
    <n v="259"/>
    <n v="344.47"/>
    <n v="85.470000000000027"/>
    <x v="26"/>
    <x v="10"/>
    <x v="1"/>
  </r>
  <r>
    <d v="2022-11-13T00:00:00"/>
    <s v="P0027"/>
    <n v="10"/>
    <x v="0"/>
    <x v="1"/>
    <n v="0"/>
    <x v="26"/>
    <x v="4"/>
    <s v="Lt"/>
    <n v="48"/>
    <n v="57.120000000000005"/>
    <n v="480"/>
    <n v="571.20000000000005"/>
    <n v="91.200000000000045"/>
    <x v="22"/>
    <x v="10"/>
    <x v="1"/>
  </r>
  <r>
    <d v="2022-11-14T00:00:00"/>
    <s v="P0002"/>
    <n v="1"/>
    <x v="2"/>
    <x v="1"/>
    <n v="0"/>
    <x v="29"/>
    <x v="3"/>
    <s v="Kg"/>
    <n v="105"/>
    <n v="142.80000000000001"/>
    <n v="105"/>
    <n v="142.80000000000001"/>
    <n v="37.800000000000011"/>
    <x v="29"/>
    <x v="10"/>
    <x v="1"/>
  </r>
  <r>
    <d v="2022-11-15T00:00:00"/>
    <s v="P0012"/>
    <n v="14"/>
    <x v="2"/>
    <x v="1"/>
    <n v="0"/>
    <x v="35"/>
    <x v="2"/>
    <s v="Kg"/>
    <n v="73"/>
    <n v="94.17"/>
    <n v="1022"/>
    <n v="1318.38"/>
    <n v="296.38000000000011"/>
    <x v="17"/>
    <x v="10"/>
    <x v="1"/>
  </r>
  <r>
    <d v="2022-11-16T00:00:00"/>
    <s v="P0017"/>
    <n v="8"/>
    <x v="1"/>
    <x v="0"/>
    <n v="0"/>
    <x v="39"/>
    <x v="2"/>
    <s v="Ft"/>
    <n v="134"/>
    <n v="156.78"/>
    <n v="1072"/>
    <n v="1254.24"/>
    <n v="182.24"/>
    <x v="23"/>
    <x v="10"/>
    <x v="1"/>
  </r>
  <r>
    <d v="2022-11-18T00:00:00"/>
    <s v="P0034"/>
    <n v="8"/>
    <x v="2"/>
    <x v="1"/>
    <n v="0"/>
    <x v="13"/>
    <x v="4"/>
    <s v="Lt"/>
    <n v="55"/>
    <n v="58.3"/>
    <n v="440"/>
    <n v="466.4"/>
    <n v="26.399999999999977"/>
    <x v="7"/>
    <x v="10"/>
    <x v="1"/>
  </r>
  <r>
    <d v="2022-11-21T00:00:00"/>
    <s v="P0020"/>
    <n v="6"/>
    <x v="2"/>
    <x v="1"/>
    <n v="0"/>
    <x v="14"/>
    <x v="0"/>
    <s v="Lt"/>
    <n v="61"/>
    <n v="76.25"/>
    <n v="366"/>
    <n v="457.5"/>
    <n v="91.5"/>
    <x v="10"/>
    <x v="10"/>
    <x v="1"/>
  </r>
  <r>
    <d v="2022-11-23T00:00:00"/>
    <s v="P0036"/>
    <n v="12"/>
    <x v="1"/>
    <x v="0"/>
    <n v="0"/>
    <x v="43"/>
    <x v="4"/>
    <s v="Kg"/>
    <n v="90"/>
    <n v="96.3"/>
    <n v="1080"/>
    <n v="1155.5999999999999"/>
    <n v="75.599999999999909"/>
    <x v="19"/>
    <x v="10"/>
    <x v="1"/>
  </r>
  <r>
    <d v="2022-11-25T00:00:00"/>
    <s v="P0004"/>
    <n v="5"/>
    <x v="2"/>
    <x v="1"/>
    <n v="0"/>
    <x v="3"/>
    <x v="3"/>
    <s v="Lt"/>
    <n v="44"/>
    <n v="48.84"/>
    <n v="220"/>
    <n v="244.20000000000002"/>
    <n v="24.200000000000017"/>
    <x v="11"/>
    <x v="10"/>
    <x v="1"/>
  </r>
  <r>
    <d v="2022-11-26T00:00:00"/>
    <s v="P0032"/>
    <n v="5"/>
    <x v="2"/>
    <x v="0"/>
    <n v="0"/>
    <x v="18"/>
    <x v="4"/>
    <s v="Kg"/>
    <n v="89"/>
    <n v="117.48"/>
    <n v="445"/>
    <n v="587.4"/>
    <n v="142.39999999999998"/>
    <x v="12"/>
    <x v="10"/>
    <x v="1"/>
  </r>
  <r>
    <d v="2022-11-27T00:00:00"/>
    <s v="P0034"/>
    <n v="15"/>
    <x v="2"/>
    <x v="0"/>
    <n v="0"/>
    <x v="13"/>
    <x v="4"/>
    <s v="Lt"/>
    <n v="55"/>
    <n v="58.3"/>
    <n v="825"/>
    <n v="874.5"/>
    <n v="49.5"/>
    <x v="13"/>
    <x v="10"/>
    <x v="1"/>
  </r>
  <r>
    <d v="2022-11-28T00:00:00"/>
    <s v="P0031"/>
    <n v="8"/>
    <x v="2"/>
    <x v="1"/>
    <n v="0"/>
    <x v="5"/>
    <x v="4"/>
    <s v="Kg"/>
    <n v="93"/>
    <n v="104.16"/>
    <n v="744"/>
    <n v="833.28"/>
    <n v="89.279999999999973"/>
    <x v="14"/>
    <x v="10"/>
    <x v="1"/>
  </r>
  <r>
    <d v="2022-11-30T00:00:00"/>
    <s v="P0015"/>
    <n v="2"/>
    <x v="2"/>
    <x v="0"/>
    <n v="0"/>
    <x v="27"/>
    <x v="2"/>
    <s v="No."/>
    <n v="12"/>
    <n v="15.719999999999999"/>
    <n v="24"/>
    <n v="31.439999999999998"/>
    <n v="7.4399999999999977"/>
    <x v="24"/>
    <x v="10"/>
    <x v="1"/>
  </r>
  <r>
    <d v="2022-12-03T00:00:00"/>
    <s v="P0028"/>
    <n v="5"/>
    <x v="0"/>
    <x v="1"/>
    <n v="0"/>
    <x v="33"/>
    <x v="4"/>
    <s v="No."/>
    <n v="37"/>
    <n v="41.81"/>
    <n v="185"/>
    <n v="209.05"/>
    <n v="24.050000000000011"/>
    <x v="2"/>
    <x v="11"/>
    <x v="1"/>
  </r>
  <r>
    <d v="2022-12-04T00:00:00"/>
    <s v="P0026"/>
    <n v="10"/>
    <x v="2"/>
    <x v="1"/>
    <n v="0"/>
    <x v="42"/>
    <x v="4"/>
    <s v="No."/>
    <n v="18"/>
    <n v="24.66"/>
    <n v="180"/>
    <n v="246.6"/>
    <n v="66.599999999999994"/>
    <x v="3"/>
    <x v="11"/>
    <x v="1"/>
  </r>
  <r>
    <d v="2022-12-04T00:00:00"/>
    <s v="P0044"/>
    <n v="15"/>
    <x v="2"/>
    <x v="1"/>
    <n v="0"/>
    <x v="11"/>
    <x v="1"/>
    <s v="Kg"/>
    <n v="76"/>
    <n v="82.08"/>
    <n v="1140"/>
    <n v="1231.2"/>
    <n v="91.200000000000045"/>
    <x v="3"/>
    <x v="11"/>
    <x v="1"/>
  </r>
  <r>
    <d v="2022-12-07T00:00:00"/>
    <s v="P0038"/>
    <n v="12"/>
    <x v="2"/>
    <x v="1"/>
    <n v="0"/>
    <x v="1"/>
    <x v="1"/>
    <s v="Kg"/>
    <n v="72"/>
    <n v="79.92"/>
    <n v="864"/>
    <n v="959.04"/>
    <n v="95.039999999999964"/>
    <x v="20"/>
    <x v="11"/>
    <x v="1"/>
  </r>
  <r>
    <d v="2022-12-07T00:00:00"/>
    <s v="P0016"/>
    <n v="13"/>
    <x v="2"/>
    <x v="0"/>
    <n v="0"/>
    <x v="21"/>
    <x v="2"/>
    <s v="No."/>
    <n v="13"/>
    <n v="16.64"/>
    <n v="169"/>
    <n v="216.32"/>
    <n v="47.319999999999993"/>
    <x v="20"/>
    <x v="11"/>
    <x v="1"/>
  </r>
  <r>
    <d v="2022-12-07T00:00:00"/>
    <s v="P0038"/>
    <n v="5"/>
    <x v="2"/>
    <x v="1"/>
    <n v="0"/>
    <x v="1"/>
    <x v="1"/>
    <s v="Kg"/>
    <n v="72"/>
    <n v="79.92"/>
    <n v="360"/>
    <n v="399.6"/>
    <n v="39.600000000000023"/>
    <x v="20"/>
    <x v="11"/>
    <x v="1"/>
  </r>
  <r>
    <d v="2022-12-11T00:00:00"/>
    <s v="P0027"/>
    <n v="5"/>
    <x v="2"/>
    <x v="0"/>
    <n v="0"/>
    <x v="26"/>
    <x v="4"/>
    <s v="Lt"/>
    <n v="48"/>
    <n v="57.120000000000005"/>
    <n v="240"/>
    <n v="285.60000000000002"/>
    <n v="45.600000000000023"/>
    <x v="5"/>
    <x v="11"/>
    <x v="1"/>
  </r>
  <r>
    <d v="2022-12-11T00:00:00"/>
    <s v="P0013"/>
    <n v="9"/>
    <x v="0"/>
    <x v="0"/>
    <n v="0"/>
    <x v="2"/>
    <x v="2"/>
    <s v="Kg"/>
    <n v="112"/>
    <n v="122.08"/>
    <n v="1008"/>
    <n v="1098.72"/>
    <n v="90.720000000000027"/>
    <x v="5"/>
    <x v="11"/>
    <x v="1"/>
  </r>
  <r>
    <d v="2022-12-11T00:00:00"/>
    <s v="P0014"/>
    <n v="10"/>
    <x v="1"/>
    <x v="1"/>
    <n v="0"/>
    <x v="9"/>
    <x v="2"/>
    <s v="Kg"/>
    <n v="112"/>
    <n v="146.72"/>
    <n v="1120"/>
    <n v="1467.2"/>
    <n v="347.20000000000005"/>
    <x v="5"/>
    <x v="11"/>
    <x v="1"/>
  </r>
  <r>
    <d v="2022-12-12T00:00:00"/>
    <s v="P0030"/>
    <n v="9"/>
    <x v="0"/>
    <x v="1"/>
    <n v="0"/>
    <x v="28"/>
    <x v="4"/>
    <s v="Ft"/>
    <n v="148"/>
    <n v="201.28"/>
    <n v="1332"/>
    <n v="1811.52"/>
    <n v="479.52"/>
    <x v="6"/>
    <x v="11"/>
    <x v="1"/>
  </r>
  <r>
    <d v="2022-12-12T00:00:00"/>
    <s v="P0041"/>
    <n v="10"/>
    <x v="0"/>
    <x v="0"/>
    <n v="0"/>
    <x v="41"/>
    <x v="1"/>
    <s v="Ft"/>
    <n v="138"/>
    <n v="173.88"/>
    <n v="1380"/>
    <n v="1738.8"/>
    <n v="358.79999999999995"/>
    <x v="6"/>
    <x v="11"/>
    <x v="1"/>
  </r>
  <r>
    <d v="2022-12-14T00:00:00"/>
    <s v="P0005"/>
    <n v="4"/>
    <x v="2"/>
    <x v="1"/>
    <n v="0"/>
    <x v="24"/>
    <x v="3"/>
    <s v="Ft"/>
    <n v="133"/>
    <n v="155.61000000000001"/>
    <n v="532"/>
    <n v="622.44000000000005"/>
    <n v="90.440000000000055"/>
    <x v="29"/>
    <x v="11"/>
    <x v="1"/>
  </r>
  <r>
    <d v="2022-12-15T00:00:00"/>
    <s v="P0009"/>
    <n v="13"/>
    <x v="2"/>
    <x v="0"/>
    <n v="0"/>
    <x v="37"/>
    <x v="0"/>
    <s v="No."/>
    <n v="6"/>
    <n v="7.8599999999999994"/>
    <n v="78"/>
    <n v="102.17999999999999"/>
    <n v="24.179999999999993"/>
    <x v="17"/>
    <x v="11"/>
    <x v="1"/>
  </r>
  <r>
    <d v="2022-12-19T00:00:00"/>
    <s v="P0044"/>
    <n v="7"/>
    <x v="2"/>
    <x v="0"/>
    <n v="0"/>
    <x v="11"/>
    <x v="1"/>
    <s v="Kg"/>
    <n v="76"/>
    <n v="82.08"/>
    <n v="532"/>
    <n v="574.55999999999995"/>
    <n v="42.559999999999945"/>
    <x v="8"/>
    <x v="11"/>
    <x v="1"/>
  </r>
  <r>
    <d v="2022-12-19T00:00:00"/>
    <s v="P0011"/>
    <n v="14"/>
    <x v="2"/>
    <x v="1"/>
    <n v="0"/>
    <x v="31"/>
    <x v="2"/>
    <s v="Lt"/>
    <n v="44"/>
    <n v="48.4"/>
    <n v="616"/>
    <n v="677.6"/>
    <n v="61.600000000000023"/>
    <x v="8"/>
    <x v="11"/>
    <x v="1"/>
  </r>
  <r>
    <d v="2022-12-19T00:00:00"/>
    <s v="P0009"/>
    <n v="11"/>
    <x v="1"/>
    <x v="0"/>
    <n v="0"/>
    <x v="37"/>
    <x v="0"/>
    <s v="No."/>
    <n v="6"/>
    <n v="7.8599999999999994"/>
    <n v="66"/>
    <n v="86.46"/>
    <n v="20.459999999999994"/>
    <x v="8"/>
    <x v="11"/>
    <x v="1"/>
  </r>
  <r>
    <d v="2022-12-21T00:00:00"/>
    <s v="P0006"/>
    <n v="10"/>
    <x v="2"/>
    <x v="0"/>
    <n v="0"/>
    <x v="15"/>
    <x v="3"/>
    <s v="Kg"/>
    <n v="75"/>
    <n v="85.5"/>
    <n v="750"/>
    <n v="855"/>
    <n v="105"/>
    <x v="10"/>
    <x v="11"/>
    <x v="1"/>
  </r>
  <r>
    <d v="2022-12-29T00:00:00"/>
    <s v="P0008"/>
    <n v="15"/>
    <x v="2"/>
    <x v="0"/>
    <n v="0"/>
    <x v="25"/>
    <x v="3"/>
    <s v="Kg"/>
    <n v="83"/>
    <n v="94.62"/>
    <n v="1245"/>
    <n v="1419.3000000000002"/>
    <n v="174.30000000000018"/>
    <x v="28"/>
    <x v="11"/>
    <x v="1"/>
  </r>
  <r>
    <d v="2022-12-29T00:00:00"/>
    <s v="P0042"/>
    <n v="1"/>
    <x v="0"/>
    <x v="1"/>
    <n v="0"/>
    <x v="10"/>
    <x v="1"/>
    <s v="Ft"/>
    <n v="120"/>
    <n v="162"/>
    <n v="120"/>
    <n v="162"/>
    <n v="42"/>
    <x v="28"/>
    <x v="11"/>
    <x v="1"/>
  </r>
  <r>
    <d v="2022-12-30T00:00:00"/>
    <s v="P0041"/>
    <n v="14"/>
    <x v="2"/>
    <x v="0"/>
    <n v="0"/>
    <x v="41"/>
    <x v="1"/>
    <s v="Ft"/>
    <n v="138"/>
    <n v="173.88"/>
    <n v="1932"/>
    <n v="2434.3199999999997"/>
    <n v="502.31999999999971"/>
    <x v="24"/>
    <x v="11"/>
    <x v="1"/>
  </r>
  <r>
    <d v="2022-12-31T00:00:00"/>
    <s v="P0033"/>
    <n v="12"/>
    <x v="1"/>
    <x v="0"/>
    <n v="0"/>
    <x v="38"/>
    <x v="4"/>
    <s v="Kg"/>
    <n v="95"/>
    <n v="119.7"/>
    <n v="1140"/>
    <n v="1436.4"/>
    <n v="296.40000000000009"/>
    <x v="25"/>
    <x v="11"/>
    <x v="1"/>
  </r>
  <r>
    <d v="2022-12-31T00:00:00"/>
    <s v="P0011"/>
    <n v="6"/>
    <x v="1"/>
    <x v="0"/>
    <n v="0"/>
    <x v="31"/>
    <x v="2"/>
    <s v="Lt"/>
    <n v="44"/>
    <n v="48.4"/>
    <n v="264"/>
    <n v="290.39999999999998"/>
    <n v="26.399999999999977"/>
    <x v="25"/>
    <x v="11"/>
    <x v="1"/>
  </r>
  <r>
    <d v="2022-12-31T00:00:00"/>
    <s v="P0011"/>
    <n v="3"/>
    <x v="0"/>
    <x v="1"/>
    <n v="0"/>
    <x v="31"/>
    <x v="2"/>
    <s v="Lt"/>
    <n v="44"/>
    <n v="48.4"/>
    <n v="132"/>
    <n v="145.19999999999999"/>
    <n v="13.19999999999998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22BAA6-0D01-4BFE-9671-98C9F110C795}" name="Salestype"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SALES TYPE">
  <location ref="AM3:AN6" firstHeaderRow="1" firstDataRow="1" firstDataCol="1"/>
  <pivotFields count="17">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3"/>
  </rowFields>
  <rowItems count="3">
    <i>
      <x/>
    </i>
    <i>
      <x v="1"/>
    </i>
    <i>
      <x v="2"/>
    </i>
  </rowItems>
  <colItems count="1">
    <i/>
  </colItems>
  <dataFields count="1">
    <dataField name="TOTAL" fld="12" baseField="0" baseItem="0"/>
  </dataFields>
  <formats count="11">
    <format dxfId="124">
      <pivotArea type="all" dataOnly="0" outline="0" fieldPosition="0"/>
    </format>
    <format dxfId="125">
      <pivotArea outline="0" collapsedLevelsAreSubtotals="1" fieldPosition="0"/>
    </format>
    <format dxfId="126">
      <pivotArea dataOnly="0" labelOnly="1" outline="0" fieldPosition="0">
        <references count="1">
          <reference field="4294967294" count="1">
            <x v="0"/>
          </reference>
        </references>
      </pivotArea>
    </format>
    <format dxfId="127">
      <pivotArea type="all" dataOnly="0" outline="0" fieldPosition="0"/>
    </format>
    <format dxfId="128">
      <pivotArea outline="0" collapsedLevelsAreSubtotals="1" fieldPosition="0"/>
    </format>
    <format dxfId="129">
      <pivotArea dataOnly="0" labelOnly="1" outline="0" fieldPosition="0">
        <references count="1">
          <reference field="4294967294" count="1">
            <x v="0"/>
          </reference>
        </references>
      </pivotArea>
    </format>
    <format dxfId="130">
      <pivotArea type="all" dataOnly="0" outline="0" fieldPosition="0"/>
    </format>
    <format dxfId="131">
      <pivotArea outline="0" collapsedLevelsAreSubtotals="1" fieldPosition="0"/>
    </format>
    <format dxfId="132">
      <pivotArea field="15" type="button" dataOnly="0" labelOnly="1" outline="0"/>
    </format>
    <format dxfId="133">
      <pivotArea dataOnly="0" labelOnly="1" grandRow="1" outline="0" fieldPosition="0"/>
    </format>
    <format dxfId="134">
      <pivotArea dataOnly="0" labelOnly="1" outline="0" fieldPosition="0">
        <references count="1">
          <reference field="4294967294"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15214-807C-44DB-95CB-AA13245F96C7}" name="Productwise"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location ref="Q3:S91" firstHeaderRow="0" firstDataRow="1" firstDataCol="1"/>
  <pivotFields count="17">
    <pivotField numFmtId="14" showAll="0"/>
    <pivotField showAll="0"/>
    <pivotField dataField="1" showAll="0"/>
    <pivotField showAll="0">
      <items count="4">
        <item x="2"/>
        <item x="1"/>
        <item x="0"/>
        <item t="default"/>
      </items>
    </pivotField>
    <pivotField showAll="0">
      <items count="3">
        <item x="1"/>
        <item x="0"/>
        <item t="default"/>
      </items>
    </pivotField>
    <pivotField numFmtId="164" showAll="0"/>
    <pivotField axis="axisRow"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axis="axisRow" showAll="0">
      <items count="5">
        <item x="0"/>
        <item x="1"/>
        <item x="2"/>
        <item x="3"/>
        <item t="default"/>
      </items>
    </pivotField>
    <pivotField numFmtId="165" showAll="0"/>
    <pivotField numFmtId="165" showAll="0"/>
    <pivotField dataField="1" numFmtId="165" showAll="0"/>
    <pivotField numFmtId="165" showAll="0"/>
    <pivotField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2">
    <field x="6"/>
    <field x="8"/>
  </rowFields>
  <rowItems count="88">
    <i>
      <x/>
    </i>
    <i r="1">
      <x v="1"/>
    </i>
    <i>
      <x v="1"/>
    </i>
    <i r="1">
      <x v="1"/>
    </i>
    <i>
      <x v="2"/>
    </i>
    <i r="1">
      <x v="1"/>
    </i>
    <i>
      <x v="3"/>
    </i>
    <i r="1">
      <x v="2"/>
    </i>
    <i>
      <x v="4"/>
    </i>
    <i r="1">
      <x/>
    </i>
    <i>
      <x v="5"/>
    </i>
    <i r="1">
      <x v="1"/>
    </i>
    <i>
      <x v="6"/>
    </i>
    <i r="1">
      <x v="2"/>
    </i>
    <i>
      <x v="7"/>
    </i>
    <i r="1">
      <x v="1"/>
    </i>
    <i>
      <x v="8"/>
    </i>
    <i r="1">
      <x v="3"/>
    </i>
    <i>
      <x v="9"/>
    </i>
    <i r="1">
      <x/>
    </i>
    <i>
      <x v="10"/>
    </i>
    <i r="1">
      <x v="2"/>
    </i>
    <i>
      <x v="11"/>
    </i>
    <i r="1">
      <x v="1"/>
    </i>
    <i>
      <x v="12"/>
    </i>
    <i r="1">
      <x v="1"/>
    </i>
    <i>
      <x v="13"/>
    </i>
    <i r="1">
      <x v="1"/>
    </i>
    <i>
      <x v="14"/>
    </i>
    <i r="1">
      <x v="3"/>
    </i>
    <i>
      <x v="15"/>
    </i>
    <i r="1">
      <x v="3"/>
    </i>
    <i>
      <x v="16"/>
    </i>
    <i r="1">
      <x/>
    </i>
    <i>
      <x v="17"/>
    </i>
    <i r="1">
      <x v="3"/>
    </i>
    <i>
      <x v="18"/>
    </i>
    <i r="1">
      <x/>
    </i>
    <i>
      <x v="19"/>
    </i>
    <i r="1">
      <x v="2"/>
    </i>
    <i>
      <x v="20"/>
    </i>
    <i r="1">
      <x/>
    </i>
    <i>
      <x v="21"/>
    </i>
    <i r="1">
      <x/>
    </i>
    <i>
      <x v="22"/>
    </i>
    <i r="1">
      <x/>
    </i>
    <i>
      <x v="23"/>
    </i>
    <i r="1">
      <x/>
    </i>
    <i>
      <x v="24"/>
    </i>
    <i r="1">
      <x v="3"/>
    </i>
    <i>
      <x v="25"/>
    </i>
    <i r="1">
      <x v="3"/>
    </i>
    <i>
      <x v="26"/>
    </i>
    <i r="1">
      <x v="2"/>
    </i>
    <i>
      <x v="27"/>
    </i>
    <i r="1">
      <x v="3"/>
    </i>
    <i>
      <x v="28"/>
    </i>
    <i r="1">
      <x v="2"/>
    </i>
    <i>
      <x v="29"/>
    </i>
    <i r="1">
      <x/>
    </i>
    <i>
      <x v="30"/>
    </i>
    <i r="1">
      <x v="1"/>
    </i>
    <i>
      <x v="31"/>
    </i>
    <i r="1">
      <x v="1"/>
    </i>
    <i>
      <x v="32"/>
    </i>
    <i r="1">
      <x v="1"/>
    </i>
    <i>
      <x v="33"/>
    </i>
    <i r="1">
      <x v="2"/>
    </i>
    <i>
      <x v="34"/>
    </i>
    <i r="1">
      <x v="3"/>
    </i>
    <i>
      <x v="35"/>
    </i>
    <i r="1">
      <x v="1"/>
    </i>
    <i>
      <x v="36"/>
    </i>
    <i r="1">
      <x v="1"/>
    </i>
    <i>
      <x v="37"/>
    </i>
    <i r="1">
      <x v="1"/>
    </i>
    <i>
      <x v="38"/>
    </i>
    <i r="1">
      <x v="3"/>
    </i>
    <i>
      <x v="39"/>
    </i>
    <i r="1">
      <x v="1"/>
    </i>
    <i>
      <x v="40"/>
    </i>
    <i r="1">
      <x/>
    </i>
    <i>
      <x v="41"/>
    </i>
    <i r="1">
      <x/>
    </i>
    <i>
      <x v="42"/>
    </i>
    <i r="1">
      <x v="1"/>
    </i>
    <i>
      <x v="43"/>
    </i>
    <i r="1">
      <x v="1"/>
    </i>
  </rowItems>
  <colFields count="1">
    <field x="-2"/>
  </colFields>
  <colItems count="2">
    <i>
      <x/>
    </i>
    <i i="1">
      <x v="1"/>
    </i>
  </colItems>
  <dataFields count="2">
    <dataField name="Sum of Total Buying " fld="11" baseField="0" baseItem="0"/>
    <dataField name="Sum of QUANTITY" fld="2" baseField="0" baseItem="0"/>
  </dataFields>
  <formats count="11">
    <format dxfId="135">
      <pivotArea type="all" dataOnly="0" outline="0" fieldPosition="0"/>
    </format>
    <format dxfId="136">
      <pivotArea outline="0" collapsedLevelsAreSubtotals="1" fieldPosition="0"/>
    </format>
    <format dxfId="137">
      <pivotArea dataOnly="0" labelOnly="1" outline="0" fieldPosition="0">
        <references count="1">
          <reference field="4294967294" count="1">
            <x v="0"/>
          </reference>
        </references>
      </pivotArea>
    </format>
    <format dxfId="138">
      <pivotArea type="all" dataOnly="0" outline="0" fieldPosition="0"/>
    </format>
    <format dxfId="139">
      <pivotArea outline="0" collapsedLevelsAreSubtotals="1" fieldPosition="0"/>
    </format>
    <format dxfId="140">
      <pivotArea dataOnly="0" labelOnly="1" outline="0" fieldPosition="0">
        <references count="1">
          <reference field="4294967294" count="1">
            <x v="0"/>
          </reference>
        </references>
      </pivotArea>
    </format>
    <format dxfId="141">
      <pivotArea type="all" dataOnly="0" outline="0" fieldPosition="0"/>
    </format>
    <format dxfId="142">
      <pivotArea outline="0" collapsedLevelsAreSubtotals="1" fieldPosition="0"/>
    </format>
    <format dxfId="143">
      <pivotArea field="15" type="button" dataOnly="0" labelOnly="1" outline="0"/>
    </format>
    <format dxfId="144">
      <pivotArea dataOnly="0" labelOnly="1" grandRow="1" outline="0" fieldPosition="0"/>
    </format>
    <format dxfId="14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0317EE-6374-44C3-AA23-64CD3483300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35" firstHeaderRow="1"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numFmtId="165"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 Selling" fld="12" baseField="0" baseItem="0" numFmtId="167"/>
  </dataFields>
  <formats count="1">
    <format dxfId="17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EB3A9E-A034-4DF7-B1C7-EF688523EFF1}" name="Categorys"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AF3:AG8" firstHeaderRow="1"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numFmtId="165" showAll="0"/>
    <pivotField numFmtId="165" showAll="0"/>
    <pivotField numFmtId="165" showAll="0"/>
    <pivotField dataField="1" numFmtId="165" showAll="0"/>
    <pivotField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Total" fld="12" baseField="0" baseItem="0"/>
  </dataFields>
  <formats count="8">
    <format dxfId="168">
      <pivotArea type="all" dataOnly="0" outline="0" fieldPosition="0"/>
    </format>
    <format dxfId="169">
      <pivotArea outline="0" collapsedLevelsAreSubtotals="1" fieldPosition="0"/>
    </format>
    <format dxfId="170">
      <pivotArea type="all" dataOnly="0" outline="0" fieldPosition="0"/>
    </format>
    <format dxfId="171">
      <pivotArea outline="0" collapsedLevelsAreSubtotals="1" fieldPosition="0"/>
    </format>
    <format dxfId="172">
      <pivotArea type="all" dataOnly="0" outline="0" fieldPosition="0"/>
    </format>
    <format dxfId="173">
      <pivotArea outline="0" collapsedLevelsAreSubtotals="1" fieldPosition="0"/>
    </format>
    <format dxfId="174">
      <pivotArea field="15" type="button" dataOnly="0" labelOnly="1" outline="0"/>
    </format>
    <format dxfId="17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824AF1-9284-45C0-ACA8-E865D865B1AD}" name="Monthlysales"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
  <location ref="H3:J15" firstHeaderRow="0"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Total Buying " fld="11" baseField="0" baseItem="0"/>
    <dataField name="Sum of Total Selling" fld="12" baseField="0" baseItem="0"/>
  </dataFields>
  <formats count="11">
    <format dxfId="157">
      <pivotArea type="all" dataOnly="0" outline="0" fieldPosition="0"/>
    </format>
    <format dxfId="158">
      <pivotArea outline="0" collapsedLevelsAreSubtotals="1" fieldPosition="0"/>
    </format>
    <format dxfId="159">
      <pivotArea dataOnly="0" labelOnly="1" outline="0" fieldPosition="0">
        <references count="1">
          <reference field="4294967294" count="2">
            <x v="0"/>
            <x v="1"/>
          </reference>
        </references>
      </pivotArea>
    </format>
    <format dxfId="160">
      <pivotArea type="all" dataOnly="0" outline="0" fieldPosition="0"/>
    </format>
    <format dxfId="161">
      <pivotArea outline="0" collapsedLevelsAreSubtotals="1" fieldPosition="0"/>
    </format>
    <format dxfId="162">
      <pivotArea dataOnly="0" labelOnly="1" outline="0" fieldPosition="0">
        <references count="1">
          <reference field="4294967294" count="2">
            <x v="0"/>
            <x v="1"/>
          </reference>
        </references>
      </pivotArea>
    </format>
    <format dxfId="163">
      <pivotArea type="all" dataOnly="0" outline="0" fieldPosition="0"/>
    </format>
    <format dxfId="164">
      <pivotArea outline="0" collapsedLevelsAreSubtotals="1" fieldPosition="0"/>
    </format>
    <format dxfId="165">
      <pivotArea field="15" type="button" dataOnly="0" labelOnly="1" outline="0" axis="axisRow" fieldPosition="0"/>
    </format>
    <format dxfId="166">
      <pivotArea dataOnly="0" labelOnly="1" grandRow="1" outline="0" fieldPosition="0"/>
    </format>
    <format dxfId="16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B4DA96-1818-4FB1-B190-C4EE08668785}" name="Paymentmode"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PAYMENT MODE">
  <location ref="AP3:AQ5" firstHeaderRow="1" firstDataRow="1" firstDataCol="1"/>
  <pivotFields count="17">
    <pivotField numFmtId="14" showAll="0"/>
    <pivotField showAll="0"/>
    <pivotField showAll="0"/>
    <pivotField showAll="0">
      <items count="4">
        <item x="2"/>
        <item x="1"/>
        <item x="0"/>
        <item t="default"/>
      </items>
    </pivotField>
    <pivotField axis="axisRow"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4"/>
  </rowFields>
  <rowItems count="2">
    <i>
      <x/>
    </i>
    <i>
      <x v="1"/>
    </i>
  </rowItems>
  <colItems count="1">
    <i/>
  </colItems>
  <dataFields count="1">
    <dataField name=" Total " fld="12" baseField="0" baseItem="0"/>
  </dataFields>
  <formats count="11">
    <format dxfId="146">
      <pivotArea type="all" dataOnly="0" outline="0" fieldPosition="0"/>
    </format>
    <format dxfId="147">
      <pivotArea outline="0" collapsedLevelsAreSubtotals="1" fieldPosition="0"/>
    </format>
    <format dxfId="148">
      <pivotArea dataOnly="0" labelOnly="1" outline="0" fieldPosition="0">
        <references count="1">
          <reference field="4294967294" count="1">
            <x v="0"/>
          </reference>
        </references>
      </pivotArea>
    </format>
    <format dxfId="149">
      <pivotArea type="all" dataOnly="0" outline="0" fieldPosition="0"/>
    </format>
    <format dxfId="150">
      <pivotArea outline="0" collapsedLevelsAreSubtotals="1" fieldPosition="0"/>
    </format>
    <format dxfId="151">
      <pivotArea dataOnly="0" labelOnly="1" outline="0" fieldPosition="0">
        <references count="1">
          <reference field="4294967294" count="1">
            <x v="0"/>
          </reference>
        </references>
      </pivotArea>
    </format>
    <format dxfId="152">
      <pivotArea type="all" dataOnly="0" outline="0" fieldPosition="0"/>
    </format>
    <format dxfId="153">
      <pivotArea outline="0" collapsedLevelsAreSubtotals="1" fieldPosition="0"/>
    </format>
    <format dxfId="154">
      <pivotArea field="15" type="button" dataOnly="0" labelOnly="1" outline="0"/>
    </format>
    <format dxfId="155">
      <pivotArea dataOnly="0" labelOnly="1" grandRow="1" outline="0" fieldPosition="0"/>
    </format>
    <format dxfId="156">
      <pivotArea dataOnly="0" labelOnly="1" outline="0" fieldPosition="0">
        <references count="1">
          <reference field="4294967294" count="1">
            <x v="0"/>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FFE505-62D3-4605-9F94-0B3C16B0AED0}" name="TotalSale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 firstHeaderRow="0" firstDataRow="1" firstDataCol="0"/>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Fields count="1">
    <field x="-2"/>
  </colFields>
  <colItems count="2">
    <i>
      <x/>
    </i>
    <i i="1">
      <x v="1"/>
    </i>
  </colItems>
  <dataFields count="2">
    <dataField name="Sum of Total Buying " fld="11" baseField="0" baseItem="0"/>
    <dataField name="Sum of Total Selling" fld="12" baseField="0" baseItem="0"/>
  </dataFields>
  <formats count="6">
    <format dxfId="118">
      <pivotArea type="all" dataOnly="0" outline="0" fieldPosition="0"/>
    </format>
    <format dxfId="119">
      <pivotArea outline="0" collapsedLevelsAreSubtotals="1" fieldPosition="0"/>
    </format>
    <format dxfId="120">
      <pivotArea type="all" dataOnly="0" outline="0" fieldPosition="0"/>
    </format>
    <format dxfId="121">
      <pivotArea outline="0" collapsedLevelsAreSubtotals="1" fieldPosition="0"/>
    </format>
    <format dxfId="122">
      <pivotArea type="all" dataOnly="0" outline="0" fieldPosition="0"/>
    </format>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140357-34F8-4E89-AE52-4F1356286AF7}"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showAll="0"/>
    <pivotField showAll="0"/>
    <pivotField dataField="1" showAll="0"/>
    <pivotField dataField="1" showAll="0"/>
    <pivotField dataField="1"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Fields count="1">
    <field x="-2"/>
  </colFields>
  <colItems count="3">
    <i>
      <x/>
    </i>
    <i i="1">
      <x v="1"/>
    </i>
    <i i="2">
      <x v="2"/>
    </i>
  </colItems>
  <dataFields count="3">
    <dataField name="Sum of Total Buying " fld="11" baseField="0" baseItem="0"/>
    <dataField name="Sum of Total Selling" fld="12" baseField="0" baseItem="0"/>
    <dataField name="Sum of Total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4D1023-D1EE-4EC6-B8D3-9244B50C3AD4}" name="PivotTable6"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 Type">
  <location ref="L2:M5" firstHeaderRow="1" firstDataRow="1" firstDataCol="1"/>
  <pivotFields count="17">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3"/>
  </rowFields>
  <rowItems count="3">
    <i>
      <x/>
    </i>
    <i>
      <x v="1"/>
    </i>
    <i>
      <x v="2"/>
    </i>
  </rowItems>
  <colItems count="1">
    <i/>
  </colItems>
  <dataFields count="1">
    <dataField name="Sum of Total Sell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B2C6B4-511F-4544-BDE4-7A2F31097586}" name="PivotTable3"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Category">
  <location ref="I8:J13" firstHeaderRow="1"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Sum of Total Selling" fld="12" baseField="0" baseItem="0"/>
  </dataFields>
  <chartFormats count="7">
    <chartFormat chart="2" format="2"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7"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2"/>
          </reference>
        </references>
      </pivotArea>
    </chartFormat>
    <chartFormat chart="9" format="11">
      <pivotArea type="data" outline="0" fieldPosition="0">
        <references count="2">
          <reference field="4294967294" count="1" selected="0">
            <x v="0"/>
          </reference>
          <reference field="7" count="1" selected="0">
            <x v="3"/>
          </reference>
        </references>
      </pivotArea>
    </chartFormat>
    <chartFormat chart="9"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8FC583-045F-4DC4-8318-5DFFE9A8D7CA}" name="PivotTable2"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ay">
  <location ref="F8:G39" firstHeaderRow="1"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showAll="0"/>
    <pivotField showAll="0"/>
    <pivotField showAll="0"/>
    <pivotField dataField="1" showAll="0"/>
    <pivotField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6FA1B9-78B4-40C7-8109-C0AA1BE69BAD}" name="PivotTable17"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
  <location ref="X2:AA14" firstHeaderRow="0"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showAll="0"/>
    <pivotField showAll="0"/>
    <pivotField dataField="1" showAll="0"/>
    <pivotField dataField="1" showAll="0"/>
    <pivotField dataField="1" showAll="0"/>
    <pivotField showAll="0"/>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5"/>
  </rowFields>
  <rowItems count="12">
    <i>
      <x/>
    </i>
    <i>
      <x v="1"/>
    </i>
    <i>
      <x v="2"/>
    </i>
    <i>
      <x v="3"/>
    </i>
    <i>
      <x v="4"/>
    </i>
    <i>
      <x v="5"/>
    </i>
    <i>
      <x v="6"/>
    </i>
    <i>
      <x v="7"/>
    </i>
    <i>
      <x v="8"/>
    </i>
    <i>
      <x v="9"/>
    </i>
    <i>
      <x v="10"/>
    </i>
    <i>
      <x v="11"/>
    </i>
  </rowItems>
  <colFields count="1">
    <field x="-2"/>
  </colFields>
  <colItems count="3">
    <i>
      <x/>
    </i>
    <i i="1">
      <x v="1"/>
    </i>
    <i i="2">
      <x v="2"/>
    </i>
  </colItems>
  <dataFields count="3">
    <dataField name="Sum of Total Buying " fld="11" baseField="0" baseItem="0"/>
    <dataField name="Sum of Total Profit" fld="13" baseField="0" baseItem="0"/>
    <dataField name="Sum of Total Sell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C15840-4153-4FAD-A4C9-1A175E5649DC}" name="PivotTable8"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P2:Q7" firstHeaderRow="1"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sortType="descending">
      <items count="6">
        <item x="3"/>
        <item x="2"/>
        <item x="0"/>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v="3"/>
    </i>
    <i>
      <x v="1"/>
    </i>
    <i>
      <x v="4"/>
    </i>
    <i>
      <x/>
    </i>
    <i>
      <x v="2"/>
    </i>
  </rowItems>
  <colItems count="1">
    <i/>
  </colItems>
  <dataFields count="1">
    <dataField name="Sum of Total Sell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6F09D37-F20C-427D-A03C-14C259FCD6CC}" name="PivotTable1"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Year">
  <location ref="F3:H5" firstHeaderRow="0"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showAll="0"/>
    <pivotField showAll="0"/>
    <pivotField dataField="1" showAll="0"/>
    <pivotField dataField="1" showAll="0"/>
    <pivotField showAll="0"/>
    <pivotField showAll="0"/>
    <pivotField showAll="0">
      <items count="13">
        <item x="0"/>
        <item x="1"/>
        <item x="2"/>
        <item x="3"/>
        <item x="4"/>
        <item x="5"/>
        <item x="6"/>
        <item x="7"/>
        <item x="8"/>
        <item x="9"/>
        <item x="10"/>
        <item x="11"/>
        <item t="default"/>
      </items>
    </pivotField>
    <pivotField axis="axisRow" showAll="0">
      <items count="3">
        <item x="0"/>
        <item x="1"/>
        <item t="default"/>
      </items>
    </pivotField>
  </pivotFields>
  <rowFields count="1">
    <field x="16"/>
  </rowFields>
  <rowItems count="2">
    <i>
      <x/>
    </i>
    <i>
      <x v="1"/>
    </i>
  </rowItems>
  <colFields count="1">
    <field x="-2"/>
  </colFields>
  <colItems count="2">
    <i>
      <x/>
    </i>
    <i i="1">
      <x v="1"/>
    </i>
  </colItems>
  <dataFields count="2">
    <dataField name="Sum of Total Selling" fld="12" baseField="0" baseItem="0"/>
    <dataField name="Sum of Total Buying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B14333C-AE44-4A2F-9DF2-CD3A5197D346}" name="PivotTable7"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ayment Mode">
  <location ref="L8:M52" firstHeaderRow="1" firstDataRow="1" firstDataCol="1"/>
  <pivotFields count="17">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axis="axisRow"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showAll="0"/>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6"/>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Items count="1">
    <i/>
  </colItems>
  <dataFields count="1">
    <dataField name="Sum of Total Sell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1" xr10:uid="{19F55FAD-7B7D-4085-B3A0-40A7731C210F}" sourceName="SALE TYPE">
  <pivotTables>
    <pivotTable tabId="22" name="PivotTable1"/>
    <pivotTable tabId="22" name="Categorys"/>
    <pivotTable tabId="22" name="Monthlysales"/>
    <pivotTable tabId="22" name="Paymentmode"/>
    <pivotTable tabId="22" name="Productwise"/>
    <pivotTable tabId="22" name="TotalSales"/>
    <pivotTable tabId="22" name="Salestype"/>
  </pivotTables>
  <data>
    <tabular pivotCacheId="168170267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7CCD8950-C02F-4992-B018-B4708FADDE06}" sourceName="PAYMENT MODE">
  <pivotTables>
    <pivotTable tabId="22" name="PivotTable1"/>
    <pivotTable tabId="22" name="Categorys"/>
    <pivotTable tabId="22" name="Monthlysales"/>
    <pivotTable tabId="22" name="Productwise"/>
    <pivotTable tabId="22" name="Salestype"/>
    <pivotTable tabId="22" name="TotalSales"/>
    <pivotTable tabId="22" name="Paymentmode"/>
  </pivotTables>
  <data>
    <tabular pivotCacheId="168170267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BEB5968-68F0-4282-9750-620558404F19}" sourceName="Month">
  <pivotTables>
    <pivotTable tabId="22" name="PivotTable1"/>
    <pivotTable tabId="22" name="Categorys"/>
    <pivotTable tabId="22" name="Paymentmode"/>
    <pivotTable tabId="22" name="Productwise"/>
    <pivotTable tabId="22" name="Salestype"/>
    <pivotTable tabId="22" name="TotalSales"/>
    <pivotTable tabId="22" name="Monthlysales"/>
  </pivotTables>
  <data>
    <tabular pivotCacheId="1681702676">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C2F872F-FAC4-4276-8644-AAEAF70D13AC}" sourceName="Year">
  <pivotTables>
    <pivotTable tabId="22" name="PivotTable1"/>
    <pivotTable tabId="22" name="Categorys"/>
    <pivotTable tabId="22" name="Monthlysales"/>
    <pivotTable tabId="22" name="Paymentmode"/>
    <pivotTable tabId="22" name="Productwise"/>
    <pivotTable tabId="22" name="Salestype"/>
    <pivotTable tabId="22" name="TotalSales"/>
  </pivotTables>
  <data>
    <tabular pivotCacheId="168170267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257FD271-135F-49F8-8D65-5CEAF96FD5C5}" sourceName="SALE TYPE">
  <pivotTables>
    <pivotTable tabId="28" name="PivotTable5"/>
    <pivotTable tabId="28" name="PivotTable1"/>
    <pivotTable tabId="28" name="PivotTable2"/>
    <pivotTable tabId="28" name="PivotTable3"/>
    <pivotTable tabId="28" name="PivotTable6"/>
    <pivotTable tabId="28" name="PivotTable7"/>
    <pivotTable tabId="28" name="PivotTable8"/>
    <pivotTable tabId="28" name="PivotTable17"/>
  </pivotTables>
  <data>
    <tabular pivotCacheId="1971955654">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3B61673-96C1-4A81-81D1-C0D666F31CE3}" sourceName="PAYMENT MODE">
  <pivotTables>
    <pivotTable tabId="28" name="PivotTable5"/>
    <pivotTable tabId="28" name="PivotTable1"/>
    <pivotTable tabId="28" name="PivotTable2"/>
    <pivotTable tabId="28" name="PivotTable3"/>
    <pivotTable tabId="28" name="PivotTable6"/>
    <pivotTable tabId="28" name="PivotTable7"/>
    <pivotTable tabId="28" name="PivotTable8"/>
    <pivotTable tabId="28" name="PivotTable17"/>
  </pivotTables>
  <data>
    <tabular pivotCacheId="1971955654">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78A8D32-636A-41C1-A17B-DFBDA8881517}" sourceName="Month">
  <pivotTables>
    <pivotTable tabId="28" name="PivotTable5"/>
    <pivotTable tabId="28" name="PivotTable1"/>
    <pivotTable tabId="28" name="PivotTable2"/>
    <pivotTable tabId="28" name="PivotTable3"/>
    <pivotTable tabId="28" name="PivotTable6"/>
    <pivotTable tabId="28" name="PivotTable7"/>
    <pivotTable tabId="28" name="PivotTable8"/>
    <pivotTable tabId="28" name="PivotTable17"/>
  </pivotTables>
  <data>
    <tabular pivotCacheId="1971955654">
      <items count="12">
        <i x="0" s="1"/>
        <i x="1" s="1"/>
        <i x="2" s="1"/>
        <i x="3" s="1"/>
        <i x="4" s="1"/>
        <i x="5" s="1"/>
        <i x="6" s="1"/>
        <i x="7" s="1"/>
        <i x="8" s="1"/>
        <i x="9" s="1"/>
        <i x="10" s="1"/>
        <i x="1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5CD1F5-9FB1-4F48-8E50-AF33D5359A52}" sourceName="Year">
  <pivotTables>
    <pivotTable tabId="28" name="PivotTable5"/>
    <pivotTable tabId="28" name="PivotTable1"/>
    <pivotTable tabId="28" name="PivotTable2"/>
    <pivotTable tabId="28" name="PivotTable3"/>
    <pivotTable tabId="28" name="PivotTable6"/>
    <pivotTable tabId="28" name="PivotTable7"/>
    <pivotTable tabId="28" name="PivotTable8"/>
    <pivotTable tabId="28" name="PivotTable17"/>
  </pivotTables>
  <data>
    <tabular pivotCacheId="197195565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1" xr10:uid="{146E9A7F-7CEB-4003-88B6-495F86C41704}" cache="Slicer_SALE_TYPE1" caption="SALE TYPE" rowHeight="234950"/>
  <slicer name="PAYMENT MODE 1" xr10:uid="{CF74689F-9951-465A-A77D-431CFB5FFB20}" cache="Slicer_PAYMENT_MODE1" caption="PAYMENT MODE" rowHeight="234950"/>
  <slicer name="Month 1" xr10:uid="{0EF96485-1340-4F33-B140-6B337B8AB93F}" cache="Slicer_Month1" caption="Month" rowHeight="234950"/>
  <slicer name="Year 1" xr10:uid="{AE077320-ABCF-487D-B86A-8E2D52FFE705}"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2" xr10:uid="{714AB0BA-9694-490A-B0C8-938E0D5EAB0F}" cache="Slicer_SALE_TYPE1" caption="SALE TYPE" rowHeight="234950"/>
  <slicer name="PAYMENT MODE 2" xr10:uid="{7C6E3D0C-4257-42FB-8BA1-54E4AFD49C47}" cache="Slicer_PAYMENT_MODE1" caption="PAYMENT MODE" rowHeight="234950"/>
  <slicer name="Month 2" xr10:uid="{27AFBAE6-99CC-472E-A04D-D2DB19088574}" cache="Slicer_Month1" caption="Month" rowHeight="234950"/>
  <slicer name="Year 2" xr10:uid="{2F30520A-BB50-44FC-B88A-DB5947D4D57E}"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58613098-51EC-4B55-8B98-FA866B449FBD}" cache="Slicer_SALE_TYPE" caption="SALE TYPE" columnCount="3" rowHeight="234950"/>
  <slicer name="PAYMENT MODE" xr10:uid="{A165CCE1-E3A9-49A6-BA15-3D6EED97AECF}" cache="Slicer_PAYMENT_MODE" caption="PAYMENT MODE" columnCount="2" rowHeight="234950"/>
  <slicer name="Month" xr10:uid="{72AFB4A1-72A1-4C7C-90BF-E194B349CF01}" cache="Slicer_Month" caption="Month" rowHeight="234950"/>
  <slicer name="Year" xr10:uid="{D1D13DAA-FD11-4C30-B994-6D93D76B108D}"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 dockstate="right" visibility="0" width="438" row="1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F3D7BE2-C387-4C10-BB17-F03DF0A2E327}">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B662CC9A-4820-4F74-BB10-2ED6646DB404}">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13" Type="http://schemas.openxmlformats.org/officeDocument/2006/relationships/ctrlProp" Target="../ctrlProps/ctrlProp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2.xml"/><Relationship Id="rId5" Type="http://schemas.openxmlformats.org/officeDocument/2006/relationships/pivotTable" Target="../pivotTables/pivotTable5.xml"/><Relationship Id="rId10" Type="http://schemas.openxmlformats.org/officeDocument/2006/relationships/ctrlProp" Target="../ctrlProps/ctrlProp1.xml"/><Relationship Id="rId4" Type="http://schemas.openxmlformats.org/officeDocument/2006/relationships/pivotTable" Target="../pivotTables/pivotTable4.xml"/><Relationship Id="rId9" Type="http://schemas.openxmlformats.org/officeDocument/2006/relationships/vmlDrawing" Target="../drawings/vmlDrawing1.v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F82E0-8CA2-4E11-A465-40024B2EA88B}">
  <dimension ref="A1:AQ91"/>
  <sheetViews>
    <sheetView zoomScale="63" workbookViewId="0">
      <selection activeCell="V16" sqref="V16"/>
    </sheetView>
  </sheetViews>
  <sheetFormatPr defaultRowHeight="14.4" x14ac:dyDescent="0.3"/>
  <cols>
    <col min="1" max="1" width="14.5546875" bestFit="1" customWidth="1"/>
    <col min="2" max="2" width="19" bestFit="1" customWidth="1"/>
    <col min="4" max="4" width="14.44140625" customWidth="1"/>
    <col min="5" max="5" width="19.6640625" bestFit="1" customWidth="1"/>
    <col min="6" max="6" width="19" bestFit="1" customWidth="1"/>
    <col min="8" max="8" width="10.33203125" bestFit="1" customWidth="1"/>
    <col min="9" max="9" width="19.6640625" bestFit="1" customWidth="1"/>
    <col min="10" max="10" width="19" bestFit="1" customWidth="1"/>
    <col min="13" max="13" width="13.6640625" customWidth="1"/>
    <col min="17" max="17" width="11.6640625" bestFit="1" customWidth="1"/>
    <col min="18" max="18" width="19.6640625" bestFit="1" customWidth="1"/>
    <col min="19" max="19" width="17.21875" bestFit="1" customWidth="1"/>
    <col min="20" max="21" width="8.88671875" customWidth="1"/>
    <col min="22" max="22" width="12.6640625" customWidth="1"/>
    <col min="23" max="25" width="8.88671875" customWidth="1"/>
    <col min="26" max="26" width="9.88671875" customWidth="1"/>
    <col min="27" max="31" width="8.88671875" customWidth="1"/>
    <col min="32" max="32" width="12.44140625" bestFit="1" customWidth="1"/>
    <col min="33" max="33" width="9.6640625" bestFit="1" customWidth="1"/>
    <col min="34" max="37" width="12.44140625" customWidth="1"/>
    <col min="38" max="38" width="10.21875" customWidth="1"/>
    <col min="39" max="39" width="14.77734375" bestFit="1" customWidth="1"/>
    <col min="40" max="40" width="10.6640625" bestFit="1" customWidth="1"/>
    <col min="42" max="42" width="19.6640625" bestFit="1" customWidth="1"/>
    <col min="43" max="43" width="10.6640625" bestFit="1" customWidth="1"/>
  </cols>
  <sheetData>
    <row r="1" spans="1:43" x14ac:dyDescent="0.3">
      <c r="M1" t="b">
        <v>1</v>
      </c>
      <c r="N1" t="b">
        <v>1</v>
      </c>
      <c r="O1" t="b">
        <v>1</v>
      </c>
      <c r="V1" t="str">
        <f ca="1">VLOOKUP(1,U4:X91,2,0)</f>
        <v>Product41</v>
      </c>
      <c r="W1">
        <f ca="1">VLOOKUP(1,U4:X91,3,0)</f>
        <v>18216</v>
      </c>
      <c r="X1">
        <f ca="1">VLOOKUP(1,U4:X91,4,0)</f>
        <v>132</v>
      </c>
    </row>
    <row r="2" spans="1:43" x14ac:dyDescent="0.3">
      <c r="Z2">
        <v>1</v>
      </c>
      <c r="AA2">
        <f>COUNT(S4:S91)-9</f>
        <v>79</v>
      </c>
      <c r="AB2">
        <f>MIN(Z2:AA2)</f>
        <v>1</v>
      </c>
      <c r="AI2" t="str">
        <f ca="1">VLOOKUP(1,$AH$4:$AJ$8,2,0)</f>
        <v>Category04</v>
      </c>
      <c r="AJ2">
        <f ca="1">VLOOKUP(1,$AH$4:$AJ$8,3,0)</f>
        <v>95269.4</v>
      </c>
    </row>
    <row r="3" spans="1:43" x14ac:dyDescent="0.3">
      <c r="A3" s="4" t="s">
        <v>131</v>
      </c>
      <c r="B3" t="s">
        <v>133</v>
      </c>
      <c r="D3" s="6"/>
      <c r="E3" s="6" t="s">
        <v>134</v>
      </c>
      <c r="F3" s="6" t="s">
        <v>133</v>
      </c>
      <c r="H3" s="6" t="s">
        <v>13</v>
      </c>
      <c r="I3" s="6" t="s">
        <v>134</v>
      </c>
      <c r="J3" s="6" t="s">
        <v>133</v>
      </c>
      <c r="L3" s="28" t="s">
        <v>13</v>
      </c>
      <c r="M3" s="11" t="s">
        <v>153</v>
      </c>
      <c r="N3" s="11" t="s">
        <v>154</v>
      </c>
      <c r="O3" s="11" t="s">
        <v>121</v>
      </c>
      <c r="Q3" s="6" t="s">
        <v>149</v>
      </c>
      <c r="R3" s="6" t="s">
        <v>134</v>
      </c>
      <c r="S3" s="6" t="s">
        <v>148</v>
      </c>
      <c r="AF3" s="6" t="s">
        <v>155</v>
      </c>
      <c r="AG3" s="6" t="s">
        <v>135</v>
      </c>
      <c r="AH3" s="5"/>
      <c r="AI3" s="5"/>
      <c r="AJ3" s="5"/>
      <c r="AK3" s="5"/>
      <c r="AM3" s="6" t="s">
        <v>151</v>
      </c>
      <c r="AN3" s="6" t="s">
        <v>152</v>
      </c>
      <c r="AP3" s="6" t="s">
        <v>3</v>
      </c>
      <c r="AQ3" s="6" t="s">
        <v>150</v>
      </c>
    </row>
    <row r="4" spans="1:43" x14ac:dyDescent="0.3">
      <c r="A4" s="1">
        <v>1</v>
      </c>
      <c r="B4" s="29">
        <v>13167.810000000001</v>
      </c>
      <c r="D4" s="6" t="s">
        <v>135</v>
      </c>
      <c r="E4" s="7">
        <v>332504</v>
      </c>
      <c r="F4" s="7">
        <v>401411.91999999969</v>
      </c>
      <c r="H4" s="8" t="s">
        <v>136</v>
      </c>
      <c r="I4" s="7">
        <v>34290</v>
      </c>
      <c r="J4" s="7">
        <v>41346.959999999992</v>
      </c>
      <c r="L4" s="8" t="s">
        <v>136</v>
      </c>
      <c r="M4" s="12">
        <f>IF($M$1=TRUE,VLOOKUP(L4,H3:J15,3,0),NA())</f>
        <v>41346.959999999992</v>
      </c>
      <c r="N4" s="12">
        <f>IF($N$1=TRUE,VLOOKUP(L4,H2:J14,3,0)-VLOOKUP(L4,H2:J14,2,0),NA())</f>
        <v>7056.9599999999919</v>
      </c>
      <c r="O4" s="10">
        <f>IF($O$1=TRUE,N4/VLOOKUP(L4,H2:J14,2,0)," ")</f>
        <v>0.20580227471566032</v>
      </c>
      <c r="Q4" s="8" t="s">
        <v>63</v>
      </c>
      <c r="R4" s="7">
        <v>9212</v>
      </c>
      <c r="S4" s="7">
        <v>94</v>
      </c>
      <c r="U4" cm="1">
        <f t="array" aca="1" ref="U4:U91" ca="1">RANK(_xlfn.ANCHORARRAY(W4),_xlfn.ANCHORARRAY(W4))</f>
        <v>29</v>
      </c>
      <c r="V4" t="str" cm="1">
        <f t="array" aca="1" ref="V4:V91" ca="1">OFFSET($Q$3,1,0,COUNT($R$3:$R$91))</f>
        <v>Product01</v>
      </c>
      <c r="W4" cm="1">
        <f t="array" aca="1" ref="W4:W91" ca="1">OFFSET($Q$3,1,1,COUNT($R$3:$R$91))</f>
        <v>9212</v>
      </c>
      <c r="X4" cm="1">
        <f t="array" aca="1" ref="X4:X91" ca="1">OFFSET($Q$3,1,2,COUNT($R$3:$R$91))</f>
        <v>94</v>
      </c>
      <c r="Z4" t="str" cm="1">
        <f t="array" aca="1" ref="Z4:Z13" ca="1">OFFSET($Q$3,$Z$2,0,10)</f>
        <v>Product01</v>
      </c>
      <c r="AA4" cm="1">
        <f t="array" aca="1" ref="AA4:AA13" ca="1">OFFSET($Q$3,1,$Z$2,10)</f>
        <v>9212</v>
      </c>
      <c r="AF4" s="8" t="s">
        <v>64</v>
      </c>
      <c r="AG4" s="7">
        <v>68680.31</v>
      </c>
      <c r="AH4" s="11" cm="1">
        <f t="array" aca="1" ref="AH4:AH8" ca="1">RANK(_xlfn.ANCHORARRAY(AJ4),_xlfn.ANCHORARRAY(AJ4))</f>
        <v>4</v>
      </c>
      <c r="AI4" s="11" t="str" cm="1">
        <f t="array" aca="1" ref="AI4:AI8" ca="1">OFFSET($AF$3,1,0,COUNT($AG$3:$AG$8))</f>
        <v>Category01</v>
      </c>
      <c r="AJ4" s="31" cm="1">
        <f t="array" aca="1" ref="AJ4:AJ8" ca="1">OFFSET(AG3:AG8,1,0,COUNT($AG$3:$AG$8))</f>
        <v>68680.31</v>
      </c>
      <c r="AK4" s="11"/>
      <c r="AM4" s="8" t="s">
        <v>21</v>
      </c>
      <c r="AN4" s="7">
        <v>208140.15000000005</v>
      </c>
      <c r="AP4" s="8" t="s">
        <v>19</v>
      </c>
      <c r="AQ4" s="7">
        <v>200583.94000000009</v>
      </c>
    </row>
    <row r="5" spans="1:43" x14ac:dyDescent="0.3">
      <c r="A5" s="1">
        <v>2</v>
      </c>
      <c r="B5" s="29">
        <v>13210.220000000001</v>
      </c>
      <c r="H5" s="8" t="s">
        <v>137</v>
      </c>
      <c r="I5" s="7">
        <v>25341</v>
      </c>
      <c r="J5" s="7">
        <v>30857.300000000003</v>
      </c>
      <c r="L5" s="8" t="s">
        <v>137</v>
      </c>
      <c r="M5" s="12">
        <f t="shared" ref="M5:M15" si="0">IF($M$1=TRUE,VLOOKUP(L5,H4:J16,3,0),NA())</f>
        <v>30857.300000000003</v>
      </c>
      <c r="N5" s="12">
        <f t="shared" ref="N5:N15" si="1">IF($N$1=TRUE,VLOOKUP(L5,H3:J15,3,0)-VLOOKUP(L5,H3:J15,2,0),NA())</f>
        <v>5516.3000000000029</v>
      </c>
      <c r="O5" s="10">
        <f t="shared" ref="O5:O15" si="2">IF($O$1=TRUE,N5/VLOOKUP(L5,H3:J15,2,0)," ")</f>
        <v>0.21768280651907987</v>
      </c>
      <c r="Q5" s="9" t="s">
        <v>65</v>
      </c>
      <c r="R5" s="7">
        <v>9212</v>
      </c>
      <c r="S5" s="7">
        <v>94</v>
      </c>
      <c r="U5">
        <f ca="1"/>
        <v>29</v>
      </c>
      <c r="V5" t="str">
        <f ca="1"/>
        <v>Kg</v>
      </c>
      <c r="W5">
        <f ca="1"/>
        <v>9212</v>
      </c>
      <c r="X5">
        <f ca="1"/>
        <v>94</v>
      </c>
      <c r="Z5" t="str">
        <f ca="1"/>
        <v>Kg</v>
      </c>
      <c r="AA5">
        <f ca="1"/>
        <v>9212</v>
      </c>
      <c r="AF5" s="8" t="s">
        <v>79</v>
      </c>
      <c r="AG5" s="7">
        <v>92963.87</v>
      </c>
      <c r="AH5" s="11">
        <f ca="1"/>
        <v>2</v>
      </c>
      <c r="AI5" s="11" t="str">
        <f ca="1"/>
        <v>Category02</v>
      </c>
      <c r="AJ5" s="31">
        <f ca="1"/>
        <v>92963.87</v>
      </c>
      <c r="AK5" s="11"/>
      <c r="AM5" s="8" t="s">
        <v>17</v>
      </c>
      <c r="AN5" s="7">
        <v>133923.87000000002</v>
      </c>
      <c r="AP5" s="8" t="s">
        <v>17</v>
      </c>
      <c r="AQ5" s="7">
        <v>200827.97999999992</v>
      </c>
    </row>
    <row r="6" spans="1:43" x14ac:dyDescent="0.3">
      <c r="A6" s="1">
        <v>3</v>
      </c>
      <c r="B6" s="29">
        <v>20202.099999999995</v>
      </c>
      <c r="H6" s="8" t="s">
        <v>138</v>
      </c>
      <c r="I6" s="7">
        <v>23437</v>
      </c>
      <c r="J6" s="7">
        <v>28616.65</v>
      </c>
      <c r="L6" s="8" t="s">
        <v>138</v>
      </c>
      <c r="M6" s="12">
        <f t="shared" si="0"/>
        <v>28616.65</v>
      </c>
      <c r="N6" s="12">
        <f t="shared" si="1"/>
        <v>5179.6500000000015</v>
      </c>
      <c r="O6" s="10">
        <f t="shared" si="2"/>
        <v>0.22100311473311438</v>
      </c>
      <c r="Q6" s="8" t="s">
        <v>66</v>
      </c>
      <c r="R6" s="7">
        <v>9870</v>
      </c>
      <c r="S6" s="7">
        <v>94</v>
      </c>
      <c r="U6">
        <f ca="1"/>
        <v>21</v>
      </c>
      <c r="V6" t="str">
        <f ca="1"/>
        <v>Product02</v>
      </c>
      <c r="W6">
        <f ca="1"/>
        <v>9870</v>
      </c>
      <c r="X6">
        <f ca="1"/>
        <v>94</v>
      </c>
      <c r="Z6" t="str">
        <f ca="1"/>
        <v>Product02</v>
      </c>
      <c r="AA6">
        <f ca="1"/>
        <v>9870</v>
      </c>
      <c r="AF6" s="8" t="s">
        <v>76</v>
      </c>
      <c r="AG6" s="7">
        <v>52881.149999999994</v>
      </c>
      <c r="AH6" s="11">
        <f ca="1"/>
        <v>5</v>
      </c>
      <c r="AI6" s="11" t="str">
        <f ca="1"/>
        <v>Category03</v>
      </c>
      <c r="AJ6" s="31">
        <f ca="1"/>
        <v>52881.149999999994</v>
      </c>
      <c r="AK6" s="11"/>
      <c r="AM6" s="8" t="s">
        <v>16</v>
      </c>
      <c r="AN6" s="7">
        <v>59347.900000000009</v>
      </c>
    </row>
    <row r="7" spans="1:43" x14ac:dyDescent="0.3">
      <c r="A7" s="1">
        <v>4</v>
      </c>
      <c r="B7" s="29">
        <v>11312.2</v>
      </c>
      <c r="H7" s="8" t="s">
        <v>139</v>
      </c>
      <c r="I7" s="7">
        <v>21282</v>
      </c>
      <c r="J7" s="7">
        <v>26579.11</v>
      </c>
      <c r="L7" s="8" t="s">
        <v>139</v>
      </c>
      <c r="M7" s="12">
        <f t="shared" si="0"/>
        <v>26579.11</v>
      </c>
      <c r="N7" s="12">
        <f t="shared" si="1"/>
        <v>5297.1100000000006</v>
      </c>
      <c r="O7" s="10">
        <f t="shared" si="2"/>
        <v>0.24890094915891367</v>
      </c>
      <c r="Q7" s="9" t="s">
        <v>65</v>
      </c>
      <c r="R7" s="7">
        <v>9870</v>
      </c>
      <c r="S7" s="7">
        <v>94</v>
      </c>
      <c r="U7">
        <f ca="1"/>
        <v>21</v>
      </c>
      <c r="V7" t="str">
        <f ca="1"/>
        <v>Kg</v>
      </c>
      <c r="W7">
        <f ca="1"/>
        <v>9870</v>
      </c>
      <c r="X7">
        <f ca="1"/>
        <v>94</v>
      </c>
      <c r="Z7" t="str">
        <f ca="1"/>
        <v>Kg</v>
      </c>
      <c r="AA7">
        <f ca="1"/>
        <v>9870</v>
      </c>
      <c r="AF7" s="8" t="s">
        <v>96</v>
      </c>
      <c r="AG7" s="7">
        <v>95269.4</v>
      </c>
      <c r="AH7" s="11">
        <f ca="1"/>
        <v>1</v>
      </c>
      <c r="AI7" s="11" t="str">
        <f ca="1"/>
        <v>Category04</v>
      </c>
      <c r="AJ7" s="31">
        <f ca="1"/>
        <v>95269.4</v>
      </c>
      <c r="AK7" s="11"/>
    </row>
    <row r="8" spans="1:43" x14ac:dyDescent="0.3">
      <c r="A8" s="1">
        <v>5</v>
      </c>
      <c r="B8" s="29">
        <v>11711.449999999999</v>
      </c>
      <c r="H8" s="8" t="s">
        <v>140</v>
      </c>
      <c r="I8" s="7">
        <v>26526</v>
      </c>
      <c r="J8" s="7">
        <v>30910.45</v>
      </c>
      <c r="L8" s="8" t="s">
        <v>140</v>
      </c>
      <c r="M8" s="12">
        <f t="shared" si="0"/>
        <v>30910.45</v>
      </c>
      <c r="N8" s="12">
        <f t="shared" si="1"/>
        <v>4384.4500000000007</v>
      </c>
      <c r="O8" s="10">
        <f t="shared" si="2"/>
        <v>0.16528877327904701</v>
      </c>
      <c r="Q8" s="8" t="s">
        <v>67</v>
      </c>
      <c r="R8" s="7">
        <v>5609</v>
      </c>
      <c r="S8" s="7">
        <v>79</v>
      </c>
      <c r="U8">
        <f ca="1"/>
        <v>51</v>
      </c>
      <c r="V8" t="str">
        <f ca="1"/>
        <v>Product03</v>
      </c>
      <c r="W8">
        <f ca="1"/>
        <v>5609</v>
      </c>
      <c r="X8">
        <f ca="1"/>
        <v>79</v>
      </c>
      <c r="Z8" t="str">
        <f ca="1"/>
        <v>Product03</v>
      </c>
      <c r="AA8">
        <f ca="1"/>
        <v>5609</v>
      </c>
      <c r="AF8" s="8" t="s">
        <v>108</v>
      </c>
      <c r="AG8" s="7">
        <v>91617.19</v>
      </c>
      <c r="AH8" s="11">
        <f ca="1"/>
        <v>3</v>
      </c>
      <c r="AI8" s="11" t="str">
        <f ca="1"/>
        <v>Category05</v>
      </c>
      <c r="AJ8" s="31">
        <f ca="1"/>
        <v>91617.19</v>
      </c>
      <c r="AK8" s="11"/>
    </row>
    <row r="9" spans="1:43" x14ac:dyDescent="0.3">
      <c r="A9" s="1">
        <v>6</v>
      </c>
      <c r="B9" s="29">
        <v>14365.540000000005</v>
      </c>
      <c r="H9" s="8" t="s">
        <v>141</v>
      </c>
      <c r="I9" s="7">
        <v>24879</v>
      </c>
      <c r="J9" s="7">
        <v>30533.710000000003</v>
      </c>
      <c r="L9" s="8" t="s">
        <v>141</v>
      </c>
      <c r="M9" s="12">
        <f t="shared" si="0"/>
        <v>30533.710000000003</v>
      </c>
      <c r="N9" s="12">
        <f t="shared" si="1"/>
        <v>5654.7100000000028</v>
      </c>
      <c r="O9" s="10">
        <f t="shared" si="2"/>
        <v>0.22728847622492876</v>
      </c>
      <c r="Q9" s="9" t="s">
        <v>65</v>
      </c>
      <c r="R9" s="7">
        <v>5609</v>
      </c>
      <c r="S9" s="7">
        <v>79</v>
      </c>
      <c r="U9">
        <f ca="1"/>
        <v>51</v>
      </c>
      <c r="V9" t="str">
        <f ca="1"/>
        <v>Kg</v>
      </c>
      <c r="W9">
        <f ca="1"/>
        <v>5609</v>
      </c>
      <c r="X9">
        <f ca="1"/>
        <v>79</v>
      </c>
      <c r="Z9" t="str">
        <f ca="1"/>
        <v>Kg</v>
      </c>
      <c r="AA9">
        <f ca="1"/>
        <v>5609</v>
      </c>
    </row>
    <row r="10" spans="1:43" x14ac:dyDescent="0.3">
      <c r="A10" s="1">
        <v>7</v>
      </c>
      <c r="B10" s="29">
        <v>7132.79</v>
      </c>
      <c r="H10" s="8" t="s">
        <v>142</v>
      </c>
      <c r="I10" s="7">
        <v>29878</v>
      </c>
      <c r="J10" s="7">
        <v>35251.79</v>
      </c>
      <c r="L10" s="8" t="s">
        <v>142</v>
      </c>
      <c r="M10" s="12">
        <f t="shared" si="0"/>
        <v>35251.79</v>
      </c>
      <c r="N10" s="12">
        <f t="shared" si="1"/>
        <v>5373.7900000000009</v>
      </c>
      <c r="O10" s="10">
        <f t="shared" si="2"/>
        <v>0.1798577548698039</v>
      </c>
      <c r="Q10" s="8" t="s">
        <v>68</v>
      </c>
      <c r="R10" s="7">
        <v>5456</v>
      </c>
      <c r="S10" s="7">
        <v>124</v>
      </c>
      <c r="U10">
        <f ca="1"/>
        <v>55</v>
      </c>
      <c r="V10" t="str">
        <f ca="1"/>
        <v>Product04</v>
      </c>
      <c r="W10">
        <f ca="1"/>
        <v>5456</v>
      </c>
      <c r="X10">
        <f ca="1"/>
        <v>124</v>
      </c>
      <c r="Z10" t="str">
        <f ca="1"/>
        <v>Product04</v>
      </c>
      <c r="AA10">
        <f ca="1"/>
        <v>5456</v>
      </c>
    </row>
    <row r="11" spans="1:43" x14ac:dyDescent="0.3">
      <c r="A11" s="1">
        <v>8</v>
      </c>
      <c r="B11" s="29">
        <v>14262.46</v>
      </c>
      <c r="H11" s="8" t="s">
        <v>143</v>
      </c>
      <c r="I11" s="7">
        <v>29831</v>
      </c>
      <c r="J11" s="7">
        <v>35350.400000000016</v>
      </c>
      <c r="L11" s="8" t="s">
        <v>143</v>
      </c>
      <c r="M11" s="12">
        <f t="shared" si="0"/>
        <v>35350.400000000016</v>
      </c>
      <c r="N11" s="12">
        <f t="shared" si="1"/>
        <v>5519.400000000016</v>
      </c>
      <c r="O11" s="10">
        <f t="shared" si="2"/>
        <v>0.18502229224632147</v>
      </c>
      <c r="Q11" s="9" t="s">
        <v>69</v>
      </c>
      <c r="R11" s="7">
        <v>5456</v>
      </c>
      <c r="S11" s="7">
        <v>124</v>
      </c>
      <c r="U11">
        <f ca="1"/>
        <v>55</v>
      </c>
      <c r="V11" t="str">
        <f ca="1"/>
        <v>Lt</v>
      </c>
      <c r="W11">
        <f ca="1"/>
        <v>5456</v>
      </c>
      <c r="X11">
        <f ca="1"/>
        <v>124</v>
      </c>
      <c r="Z11" t="str">
        <f ca="1"/>
        <v>Lt</v>
      </c>
      <c r="AA11">
        <f ca="1"/>
        <v>5456</v>
      </c>
    </row>
    <row r="12" spans="1:43" x14ac:dyDescent="0.3">
      <c r="A12" s="1">
        <v>9</v>
      </c>
      <c r="B12" s="29">
        <v>16824.670000000002</v>
      </c>
      <c r="H12" s="8" t="s">
        <v>144</v>
      </c>
      <c r="I12" s="7">
        <v>28758</v>
      </c>
      <c r="J12" s="7">
        <v>35242.810000000005</v>
      </c>
      <c r="L12" s="8" t="s">
        <v>144</v>
      </c>
      <c r="M12" s="12">
        <f t="shared" si="0"/>
        <v>35242.810000000005</v>
      </c>
      <c r="N12" s="12">
        <f t="shared" si="1"/>
        <v>6484.8100000000049</v>
      </c>
      <c r="O12" s="10">
        <f t="shared" si="2"/>
        <v>0.22549586202100302</v>
      </c>
      <c r="Q12" s="8" t="s">
        <v>70</v>
      </c>
      <c r="R12" s="7">
        <v>13433</v>
      </c>
      <c r="S12" s="7">
        <v>101</v>
      </c>
      <c r="U12">
        <f ca="1"/>
        <v>13</v>
      </c>
      <c r="V12" t="str">
        <f ca="1"/>
        <v>Product05</v>
      </c>
      <c r="W12">
        <f ca="1"/>
        <v>13433</v>
      </c>
      <c r="X12">
        <f ca="1"/>
        <v>101</v>
      </c>
      <c r="Z12" t="str">
        <f ca="1"/>
        <v>Product05</v>
      </c>
      <c r="AA12">
        <f ca="1"/>
        <v>13433</v>
      </c>
    </row>
    <row r="13" spans="1:43" x14ac:dyDescent="0.3">
      <c r="A13" s="1">
        <v>10</v>
      </c>
      <c r="B13" s="29">
        <v>15229.35</v>
      </c>
      <c r="H13" s="8" t="s">
        <v>145</v>
      </c>
      <c r="I13" s="7">
        <v>27842</v>
      </c>
      <c r="J13" s="7">
        <v>33500.69000000001</v>
      </c>
      <c r="L13" s="8" t="s">
        <v>145</v>
      </c>
      <c r="M13" s="12">
        <f t="shared" si="0"/>
        <v>33500.69000000001</v>
      </c>
      <c r="N13" s="12">
        <f t="shared" si="1"/>
        <v>5658.6900000000096</v>
      </c>
      <c r="O13" s="10">
        <f t="shared" si="2"/>
        <v>0.20324294231736259</v>
      </c>
      <c r="Q13" s="9" t="s">
        <v>71</v>
      </c>
      <c r="R13" s="7">
        <v>13433</v>
      </c>
      <c r="S13" s="7">
        <v>101</v>
      </c>
      <c r="U13">
        <f ca="1"/>
        <v>13</v>
      </c>
      <c r="V13" t="str">
        <f ca="1"/>
        <v>Ft</v>
      </c>
      <c r="W13">
        <f ca="1"/>
        <v>13433</v>
      </c>
      <c r="X13">
        <f ca="1"/>
        <v>101</v>
      </c>
      <c r="Z13" t="str">
        <f ca="1"/>
        <v>Ft</v>
      </c>
      <c r="AA13">
        <f ca="1"/>
        <v>13433</v>
      </c>
    </row>
    <row r="14" spans="1:43" x14ac:dyDescent="0.3">
      <c r="A14" s="1">
        <v>11</v>
      </c>
      <c r="B14" s="29">
        <v>11915.58</v>
      </c>
      <c r="H14" s="8" t="s">
        <v>146</v>
      </c>
      <c r="I14" s="7">
        <v>29306</v>
      </c>
      <c r="J14" s="7">
        <v>36124.07</v>
      </c>
      <c r="L14" s="8" t="s">
        <v>146</v>
      </c>
      <c r="M14" s="12">
        <f t="shared" si="0"/>
        <v>36124.07</v>
      </c>
      <c r="N14" s="12">
        <f t="shared" si="1"/>
        <v>6818.07</v>
      </c>
      <c r="O14" s="10">
        <f t="shared" si="2"/>
        <v>0.2326509929707227</v>
      </c>
      <c r="Q14" s="8" t="s">
        <v>72</v>
      </c>
      <c r="R14" s="7">
        <v>3975</v>
      </c>
      <c r="S14" s="7">
        <v>53</v>
      </c>
      <c r="U14">
        <f ca="1"/>
        <v>69</v>
      </c>
      <c r="V14" t="str">
        <f ca="1"/>
        <v>Product06</v>
      </c>
      <c r="W14">
        <f ca="1"/>
        <v>3975</v>
      </c>
      <c r="X14">
        <f ca="1"/>
        <v>53</v>
      </c>
    </row>
    <row r="15" spans="1:43" x14ac:dyDescent="0.3">
      <c r="A15" s="1">
        <v>12</v>
      </c>
      <c r="B15" s="29">
        <v>14837.359999999999</v>
      </c>
      <c r="H15" s="8" t="s">
        <v>147</v>
      </c>
      <c r="I15" s="7">
        <v>31134</v>
      </c>
      <c r="J15" s="7">
        <v>37097.979999999996</v>
      </c>
      <c r="L15" s="8" t="s">
        <v>147</v>
      </c>
      <c r="M15" s="12">
        <f t="shared" si="0"/>
        <v>37097.979999999996</v>
      </c>
      <c r="N15" s="12">
        <f t="shared" si="1"/>
        <v>5963.9799999999959</v>
      </c>
      <c r="O15" s="10">
        <f t="shared" si="2"/>
        <v>0.19155842487312894</v>
      </c>
      <c r="Q15" s="9" t="s">
        <v>65</v>
      </c>
      <c r="R15" s="7">
        <v>3975</v>
      </c>
      <c r="S15" s="7">
        <v>53</v>
      </c>
      <c r="U15">
        <f ca="1"/>
        <v>69</v>
      </c>
      <c r="V15" t="str">
        <f ca="1"/>
        <v>Kg</v>
      </c>
      <c r="W15">
        <f ca="1"/>
        <v>3975</v>
      </c>
      <c r="X15">
        <f ca="1"/>
        <v>53</v>
      </c>
    </row>
    <row r="16" spans="1:43" x14ac:dyDescent="0.3">
      <c r="A16" s="1">
        <v>13</v>
      </c>
      <c r="B16" s="29">
        <v>8084.26</v>
      </c>
      <c r="Q16" s="8" t="s">
        <v>73</v>
      </c>
      <c r="R16" s="7">
        <v>2064</v>
      </c>
      <c r="S16" s="7">
        <v>48</v>
      </c>
      <c r="U16">
        <f ca="1"/>
        <v>75</v>
      </c>
      <c r="V16" t="str">
        <f ca="1"/>
        <v>Product07</v>
      </c>
      <c r="W16">
        <f ca="1"/>
        <v>2064</v>
      </c>
      <c r="X16">
        <f ca="1"/>
        <v>48</v>
      </c>
    </row>
    <row r="17" spans="1:24" x14ac:dyDescent="0.3">
      <c r="A17" s="1">
        <v>14</v>
      </c>
      <c r="B17" s="29">
        <v>9461.1400000000012</v>
      </c>
      <c r="Q17" s="9" t="s">
        <v>69</v>
      </c>
      <c r="R17" s="7">
        <v>2064</v>
      </c>
      <c r="S17" s="7">
        <v>48</v>
      </c>
      <c r="U17">
        <f ca="1"/>
        <v>75</v>
      </c>
      <c r="V17" t="str">
        <f ca="1"/>
        <v>Lt</v>
      </c>
      <c r="W17">
        <f ca="1"/>
        <v>2064</v>
      </c>
      <c r="X17">
        <f ca="1"/>
        <v>48</v>
      </c>
    </row>
    <row r="18" spans="1:24" x14ac:dyDescent="0.3">
      <c r="A18" s="1">
        <v>15</v>
      </c>
      <c r="B18" s="29">
        <v>12189.7</v>
      </c>
      <c r="Q18" s="8" t="s">
        <v>74</v>
      </c>
      <c r="R18" s="7">
        <v>9213</v>
      </c>
      <c r="S18" s="7">
        <v>111</v>
      </c>
      <c r="U18">
        <f ca="1"/>
        <v>27</v>
      </c>
      <c r="V18" t="str">
        <f ca="1"/>
        <v>Product08</v>
      </c>
      <c r="W18">
        <f ca="1"/>
        <v>9213</v>
      </c>
      <c r="X18">
        <f ca="1"/>
        <v>111</v>
      </c>
    </row>
    <row r="19" spans="1:24" x14ac:dyDescent="0.3">
      <c r="A19" s="1">
        <v>16</v>
      </c>
      <c r="B19" s="29">
        <v>12762.63</v>
      </c>
      <c r="Q19" s="9" t="s">
        <v>65</v>
      </c>
      <c r="R19" s="7">
        <v>9213</v>
      </c>
      <c r="S19" s="7">
        <v>111</v>
      </c>
      <c r="U19">
        <f ca="1"/>
        <v>27</v>
      </c>
      <c r="V19" t="str">
        <f ca="1"/>
        <v>Kg</v>
      </c>
      <c r="W19">
        <f ca="1"/>
        <v>9213</v>
      </c>
      <c r="X19">
        <f ca="1"/>
        <v>111</v>
      </c>
    </row>
    <row r="20" spans="1:24" x14ac:dyDescent="0.3">
      <c r="A20" s="1">
        <v>17</v>
      </c>
      <c r="B20" s="29">
        <v>3659.24</v>
      </c>
      <c r="Q20" s="8" t="s">
        <v>75</v>
      </c>
      <c r="R20" s="7">
        <v>444</v>
      </c>
      <c r="S20" s="7">
        <v>74</v>
      </c>
      <c r="U20">
        <f ca="1"/>
        <v>87</v>
      </c>
      <c r="V20" t="str">
        <f ca="1"/>
        <v>Product09</v>
      </c>
      <c r="W20">
        <f ca="1"/>
        <v>444</v>
      </c>
      <c r="X20">
        <f ca="1"/>
        <v>74</v>
      </c>
    </row>
    <row r="21" spans="1:24" x14ac:dyDescent="0.3">
      <c r="A21" s="1">
        <v>18</v>
      </c>
      <c r="B21" s="29">
        <v>18582.390000000003</v>
      </c>
      <c r="Q21" s="9" t="s">
        <v>77</v>
      </c>
      <c r="R21" s="7">
        <v>444</v>
      </c>
      <c r="S21" s="7">
        <v>74</v>
      </c>
      <c r="U21">
        <f ca="1"/>
        <v>87</v>
      </c>
      <c r="V21" t="str">
        <f ca="1"/>
        <v>No.</v>
      </c>
      <c r="W21">
        <f ca="1"/>
        <v>444</v>
      </c>
      <c r="X21">
        <f ca="1"/>
        <v>74</v>
      </c>
    </row>
    <row r="22" spans="1:24" x14ac:dyDescent="0.3">
      <c r="A22" s="1">
        <v>19</v>
      </c>
      <c r="B22" s="29">
        <v>10204.229999999998</v>
      </c>
      <c r="Q22" s="8" t="s">
        <v>78</v>
      </c>
      <c r="R22" s="7">
        <v>14800</v>
      </c>
      <c r="S22" s="7">
        <v>100</v>
      </c>
      <c r="U22">
        <f ca="1"/>
        <v>9</v>
      </c>
      <c r="V22" t="str">
        <f ca="1"/>
        <v>Product10</v>
      </c>
      <c r="W22">
        <f ca="1"/>
        <v>14800</v>
      </c>
      <c r="X22">
        <f ca="1"/>
        <v>100</v>
      </c>
    </row>
    <row r="23" spans="1:24" x14ac:dyDescent="0.3">
      <c r="A23" s="1">
        <v>20</v>
      </c>
      <c r="B23" s="29">
        <v>20482.78</v>
      </c>
      <c r="Q23" s="9" t="s">
        <v>71</v>
      </c>
      <c r="R23" s="7">
        <v>14800</v>
      </c>
      <c r="S23" s="7">
        <v>100</v>
      </c>
      <c r="U23">
        <f ca="1"/>
        <v>9</v>
      </c>
      <c r="V23" t="str">
        <f ca="1"/>
        <v>Ft</v>
      </c>
      <c r="W23">
        <f ca="1"/>
        <v>14800</v>
      </c>
      <c r="X23">
        <f ca="1"/>
        <v>100</v>
      </c>
    </row>
    <row r="24" spans="1:24" x14ac:dyDescent="0.3">
      <c r="A24" s="1">
        <v>21</v>
      </c>
      <c r="B24" s="29">
        <v>10665.4</v>
      </c>
      <c r="D24" t="s">
        <v>120</v>
      </c>
      <c r="E24" s="30">
        <f>GETPIVOTDATA("Sum of Total Selling",$E$3)</f>
        <v>401411.91999999969</v>
      </c>
      <c r="Q24" s="8" t="s">
        <v>80</v>
      </c>
      <c r="R24" s="7">
        <v>5324</v>
      </c>
      <c r="S24" s="7">
        <v>121</v>
      </c>
      <c r="U24">
        <f ca="1"/>
        <v>57</v>
      </c>
      <c r="V24" t="str">
        <f ca="1"/>
        <v>Product11</v>
      </c>
      <c r="W24">
        <f ca="1"/>
        <v>5324</v>
      </c>
      <c r="X24">
        <f ca="1"/>
        <v>121</v>
      </c>
    </row>
    <row r="25" spans="1:24" x14ac:dyDescent="0.3">
      <c r="A25" s="1">
        <v>22</v>
      </c>
      <c r="B25" s="29">
        <v>11315.839999999997</v>
      </c>
      <c r="D25" t="s">
        <v>118</v>
      </c>
      <c r="E25" s="30">
        <f>GETPIVOTDATA("Sum of Total Selling",$E$3)-GETPIVOTDATA("Sum of Total Buying ",$E$3)</f>
        <v>68907.919999999693</v>
      </c>
      <c r="Q25" s="9" t="s">
        <v>69</v>
      </c>
      <c r="R25" s="7">
        <v>5324</v>
      </c>
      <c r="S25" s="7">
        <v>121</v>
      </c>
      <c r="U25">
        <f ca="1"/>
        <v>57</v>
      </c>
      <c r="V25" t="str">
        <f ca="1"/>
        <v>Lt</v>
      </c>
      <c r="W25">
        <f ca="1"/>
        <v>5324</v>
      </c>
      <c r="X25">
        <f ca="1"/>
        <v>121</v>
      </c>
    </row>
    <row r="26" spans="1:24" x14ac:dyDescent="0.3">
      <c r="A26" s="1">
        <v>23</v>
      </c>
      <c r="B26" s="29">
        <v>18818.189999999999</v>
      </c>
      <c r="D26" t="s">
        <v>121</v>
      </c>
      <c r="E26" s="10">
        <f>E25/GETPIVOTDATA("Sum of Total Buying ",$E$3)</f>
        <v>0.20723937155643149</v>
      </c>
      <c r="Q26" s="8" t="s">
        <v>81</v>
      </c>
      <c r="R26" s="7">
        <v>8979</v>
      </c>
      <c r="S26" s="7">
        <v>123</v>
      </c>
      <c r="U26">
        <f ca="1"/>
        <v>31</v>
      </c>
      <c r="V26" t="str">
        <f ca="1"/>
        <v>Product12</v>
      </c>
      <c r="W26">
        <f ca="1"/>
        <v>8979</v>
      </c>
      <c r="X26">
        <f ca="1"/>
        <v>123</v>
      </c>
    </row>
    <row r="27" spans="1:24" x14ac:dyDescent="0.3">
      <c r="A27" s="1">
        <v>24</v>
      </c>
      <c r="B27" s="29">
        <v>11488.4</v>
      </c>
      <c r="Q27" s="9" t="s">
        <v>65</v>
      </c>
      <c r="R27" s="7">
        <v>8979</v>
      </c>
      <c r="S27" s="7">
        <v>123</v>
      </c>
      <c r="U27">
        <f ca="1"/>
        <v>31</v>
      </c>
      <c r="V27" t="str">
        <f ca="1"/>
        <v>Kg</v>
      </c>
      <c r="W27">
        <f ca="1"/>
        <v>8979</v>
      </c>
      <c r="X27">
        <f ca="1"/>
        <v>123</v>
      </c>
    </row>
    <row r="28" spans="1:24" x14ac:dyDescent="0.3">
      <c r="A28" s="1">
        <v>25</v>
      </c>
      <c r="B28" s="29">
        <v>18688.430000000004</v>
      </c>
      <c r="Q28" s="8" t="s">
        <v>82</v>
      </c>
      <c r="R28" s="7">
        <v>7728</v>
      </c>
      <c r="S28" s="7">
        <v>69</v>
      </c>
      <c r="U28">
        <f ca="1"/>
        <v>43</v>
      </c>
      <c r="V28" t="str">
        <f ca="1"/>
        <v>Product13</v>
      </c>
      <c r="W28">
        <f ca="1"/>
        <v>7728</v>
      </c>
      <c r="X28">
        <f ca="1"/>
        <v>69</v>
      </c>
    </row>
    <row r="29" spans="1:24" x14ac:dyDescent="0.3">
      <c r="A29" s="1">
        <v>26</v>
      </c>
      <c r="B29" s="29">
        <v>13710.079999999998</v>
      </c>
      <c r="Q29" s="9" t="s">
        <v>65</v>
      </c>
      <c r="R29" s="7">
        <v>7728</v>
      </c>
      <c r="S29" s="7">
        <v>69</v>
      </c>
      <c r="U29">
        <f ca="1"/>
        <v>43</v>
      </c>
      <c r="V29" t="str">
        <f ca="1"/>
        <v>Kg</v>
      </c>
      <c r="W29">
        <f ca="1"/>
        <v>7728</v>
      </c>
      <c r="X29">
        <f ca="1"/>
        <v>69</v>
      </c>
    </row>
    <row r="30" spans="1:24" x14ac:dyDescent="0.3">
      <c r="A30" s="1">
        <v>27</v>
      </c>
      <c r="B30" s="29">
        <v>11440.67</v>
      </c>
      <c r="Q30" s="8" t="s">
        <v>83</v>
      </c>
      <c r="R30" s="7">
        <v>9744</v>
      </c>
      <c r="S30" s="7">
        <v>87</v>
      </c>
      <c r="U30">
        <f ca="1"/>
        <v>23</v>
      </c>
      <c r="V30" t="str">
        <f ca="1"/>
        <v>Product14</v>
      </c>
      <c r="W30">
        <f ca="1"/>
        <v>9744</v>
      </c>
      <c r="X30">
        <f ca="1"/>
        <v>87</v>
      </c>
    </row>
    <row r="31" spans="1:24" x14ac:dyDescent="0.3">
      <c r="A31" s="1">
        <v>28</v>
      </c>
      <c r="B31" s="29">
        <v>13306.16</v>
      </c>
      <c r="Q31" s="9" t="s">
        <v>65</v>
      </c>
      <c r="R31" s="7">
        <v>9744</v>
      </c>
      <c r="S31" s="7">
        <v>87</v>
      </c>
      <c r="U31">
        <f ca="1"/>
        <v>23</v>
      </c>
      <c r="V31" t="str">
        <f ca="1"/>
        <v>Kg</v>
      </c>
      <c r="W31">
        <f ca="1"/>
        <v>9744</v>
      </c>
      <c r="X31">
        <f ca="1"/>
        <v>87</v>
      </c>
    </row>
    <row r="32" spans="1:24" x14ac:dyDescent="0.3">
      <c r="A32" s="1">
        <v>29</v>
      </c>
      <c r="B32" s="29">
        <v>8794.48</v>
      </c>
      <c r="Q32" s="8" t="s">
        <v>84</v>
      </c>
      <c r="R32" s="7">
        <v>1404</v>
      </c>
      <c r="S32" s="7">
        <v>117</v>
      </c>
      <c r="U32">
        <f ca="1"/>
        <v>81</v>
      </c>
      <c r="V32" t="str">
        <f ca="1"/>
        <v>Product15</v>
      </c>
      <c r="W32">
        <f ca="1"/>
        <v>1404</v>
      </c>
      <c r="X32">
        <f ca="1"/>
        <v>117</v>
      </c>
    </row>
    <row r="33" spans="1:24" x14ac:dyDescent="0.3">
      <c r="A33" s="1">
        <v>30</v>
      </c>
      <c r="B33" s="29">
        <v>16666.269999999997</v>
      </c>
      <c r="Q33" s="9" t="s">
        <v>77</v>
      </c>
      <c r="R33" s="7">
        <v>1404</v>
      </c>
      <c r="S33" s="7">
        <v>117</v>
      </c>
      <c r="U33">
        <f ca="1"/>
        <v>81</v>
      </c>
      <c r="V33" t="str">
        <f ca="1"/>
        <v>No.</v>
      </c>
      <c r="W33">
        <f ca="1"/>
        <v>1404</v>
      </c>
      <c r="X33">
        <f ca="1"/>
        <v>117</v>
      </c>
    </row>
    <row r="34" spans="1:24" x14ac:dyDescent="0.3">
      <c r="A34" s="1">
        <v>31</v>
      </c>
      <c r="B34" s="29">
        <v>6920.0999999999995</v>
      </c>
      <c r="Q34" s="8" t="s">
        <v>85</v>
      </c>
      <c r="R34" s="7">
        <v>1560</v>
      </c>
      <c r="S34" s="7">
        <v>120</v>
      </c>
      <c r="U34">
        <f ca="1"/>
        <v>79</v>
      </c>
      <c r="V34" t="str">
        <f ca="1"/>
        <v>Product16</v>
      </c>
      <c r="W34">
        <f ca="1"/>
        <v>1560</v>
      </c>
      <c r="X34">
        <f ca="1"/>
        <v>120</v>
      </c>
    </row>
    <row r="35" spans="1:24" x14ac:dyDescent="0.3">
      <c r="A35" s="1" t="s">
        <v>132</v>
      </c>
      <c r="B35" s="29">
        <v>401411.92</v>
      </c>
      <c r="Q35" s="9" t="s">
        <v>77</v>
      </c>
      <c r="R35" s="7">
        <v>1560</v>
      </c>
      <c r="S35" s="7">
        <v>120</v>
      </c>
      <c r="U35">
        <f ca="1"/>
        <v>79</v>
      </c>
      <c r="V35" t="str">
        <f ca="1"/>
        <v>No.</v>
      </c>
      <c r="W35">
        <f ca="1"/>
        <v>1560</v>
      </c>
      <c r="X35">
        <f ca="1"/>
        <v>120</v>
      </c>
    </row>
    <row r="36" spans="1:24" x14ac:dyDescent="0.3">
      <c r="Q36" s="8" t="s">
        <v>86</v>
      </c>
      <c r="R36" s="7">
        <v>8442</v>
      </c>
      <c r="S36" s="7">
        <v>63</v>
      </c>
      <c r="U36">
        <f ca="1"/>
        <v>37</v>
      </c>
      <c r="V36" t="str">
        <f ca="1"/>
        <v>Product17</v>
      </c>
      <c r="W36">
        <f ca="1"/>
        <v>8442</v>
      </c>
      <c r="X36">
        <f ca="1"/>
        <v>63</v>
      </c>
    </row>
    <row r="37" spans="1:24" x14ac:dyDescent="0.3">
      <c r="Q37" s="9" t="s">
        <v>71</v>
      </c>
      <c r="R37" s="7">
        <v>8442</v>
      </c>
      <c r="S37" s="7">
        <v>63</v>
      </c>
      <c r="U37">
        <f ca="1"/>
        <v>37</v>
      </c>
      <c r="V37" t="str">
        <f ca="1"/>
        <v>Ft</v>
      </c>
      <c r="W37">
        <f ca="1"/>
        <v>8442</v>
      </c>
      <c r="X37">
        <f ca="1"/>
        <v>63</v>
      </c>
    </row>
    <row r="38" spans="1:24" x14ac:dyDescent="0.3">
      <c r="Q38" s="8" t="s">
        <v>87</v>
      </c>
      <c r="R38" s="7">
        <v>3034</v>
      </c>
      <c r="S38" s="7">
        <v>82</v>
      </c>
      <c r="U38">
        <f ca="1"/>
        <v>73</v>
      </c>
      <c r="V38" t="str">
        <f ca="1"/>
        <v>Product18</v>
      </c>
      <c r="W38">
        <f ca="1"/>
        <v>3034</v>
      </c>
      <c r="X38">
        <f ca="1"/>
        <v>82</v>
      </c>
    </row>
    <row r="39" spans="1:24" x14ac:dyDescent="0.3">
      <c r="Q39" s="9" t="s">
        <v>77</v>
      </c>
      <c r="R39" s="7">
        <v>3034</v>
      </c>
      <c r="S39" s="7">
        <v>82</v>
      </c>
      <c r="U39">
        <f ca="1"/>
        <v>73</v>
      </c>
      <c r="V39" t="str">
        <f ca="1"/>
        <v>No.</v>
      </c>
      <c r="W39">
        <f ca="1"/>
        <v>3034</v>
      </c>
      <c r="X39">
        <f ca="1"/>
        <v>82</v>
      </c>
    </row>
    <row r="40" spans="1:24" x14ac:dyDescent="0.3">
      <c r="Q40" s="8" t="s">
        <v>88</v>
      </c>
      <c r="R40" s="7">
        <v>14400</v>
      </c>
      <c r="S40" s="7">
        <v>96</v>
      </c>
      <c r="U40">
        <f ca="1"/>
        <v>11</v>
      </c>
      <c r="V40" t="str">
        <f ca="1"/>
        <v>Product19</v>
      </c>
      <c r="W40">
        <f ca="1"/>
        <v>14400</v>
      </c>
      <c r="X40">
        <f ca="1"/>
        <v>96</v>
      </c>
    </row>
    <row r="41" spans="1:24" x14ac:dyDescent="0.3">
      <c r="Q41" s="9" t="s">
        <v>71</v>
      </c>
      <c r="R41" s="7">
        <v>14400</v>
      </c>
      <c r="S41" s="7">
        <v>96</v>
      </c>
      <c r="U41">
        <f ca="1"/>
        <v>11</v>
      </c>
      <c r="V41" t="str">
        <f ca="1"/>
        <v>Ft</v>
      </c>
      <c r="W41">
        <f ca="1"/>
        <v>14400</v>
      </c>
      <c r="X41">
        <f ca="1"/>
        <v>96</v>
      </c>
    </row>
    <row r="42" spans="1:24" x14ac:dyDescent="0.3">
      <c r="Q42" s="8" t="s">
        <v>89</v>
      </c>
      <c r="R42" s="7">
        <v>6405</v>
      </c>
      <c r="S42" s="7">
        <v>105</v>
      </c>
      <c r="U42">
        <f ca="1"/>
        <v>47</v>
      </c>
      <c r="V42" t="str">
        <f ca="1"/>
        <v>Product20</v>
      </c>
      <c r="W42">
        <f ca="1"/>
        <v>6405</v>
      </c>
      <c r="X42">
        <f ca="1"/>
        <v>105</v>
      </c>
    </row>
    <row r="43" spans="1:24" x14ac:dyDescent="0.3">
      <c r="Q43" s="9" t="s">
        <v>69</v>
      </c>
      <c r="R43" s="7">
        <v>6405</v>
      </c>
      <c r="S43" s="7">
        <v>105</v>
      </c>
      <c r="U43">
        <f ca="1"/>
        <v>47</v>
      </c>
      <c r="V43" t="str">
        <f ca="1"/>
        <v>Lt</v>
      </c>
      <c r="W43">
        <f ca="1"/>
        <v>6405</v>
      </c>
      <c r="X43">
        <f ca="1"/>
        <v>105</v>
      </c>
    </row>
    <row r="44" spans="1:24" x14ac:dyDescent="0.3">
      <c r="Q44" s="8" t="s">
        <v>90</v>
      </c>
      <c r="R44" s="7">
        <v>8316</v>
      </c>
      <c r="S44" s="7">
        <v>66</v>
      </c>
      <c r="U44">
        <f ca="1"/>
        <v>39</v>
      </c>
      <c r="V44" t="str">
        <f ca="1"/>
        <v>Product21</v>
      </c>
      <c r="W44">
        <f ca="1"/>
        <v>8316</v>
      </c>
      <c r="X44">
        <f ca="1"/>
        <v>66</v>
      </c>
    </row>
    <row r="45" spans="1:24" x14ac:dyDescent="0.3">
      <c r="Q45" s="9" t="s">
        <v>71</v>
      </c>
      <c r="R45" s="7">
        <v>8316</v>
      </c>
      <c r="S45" s="7">
        <v>66</v>
      </c>
      <c r="U45">
        <f ca="1"/>
        <v>39</v>
      </c>
      <c r="V45" t="str">
        <f ca="1"/>
        <v>Ft</v>
      </c>
      <c r="W45">
        <f ca="1"/>
        <v>8316</v>
      </c>
      <c r="X45">
        <f ca="1"/>
        <v>66</v>
      </c>
    </row>
    <row r="46" spans="1:24" x14ac:dyDescent="0.3">
      <c r="Q46" s="8" t="s">
        <v>91</v>
      </c>
      <c r="R46" s="7">
        <v>8470</v>
      </c>
      <c r="S46" s="7">
        <v>70</v>
      </c>
      <c r="U46">
        <f ca="1"/>
        <v>33</v>
      </c>
      <c r="V46" t="str">
        <f ca="1"/>
        <v>Product22</v>
      </c>
      <c r="W46">
        <f ca="1"/>
        <v>8470</v>
      </c>
      <c r="X46">
        <f ca="1"/>
        <v>70</v>
      </c>
    </row>
    <row r="47" spans="1:24" x14ac:dyDescent="0.3">
      <c r="Q47" s="9" t="s">
        <v>71</v>
      </c>
      <c r="R47" s="7">
        <v>8470</v>
      </c>
      <c r="S47" s="7">
        <v>70</v>
      </c>
      <c r="U47">
        <f ca="1"/>
        <v>33</v>
      </c>
      <c r="V47" t="str">
        <f ca="1"/>
        <v>Ft</v>
      </c>
      <c r="W47">
        <f ca="1"/>
        <v>8470</v>
      </c>
      <c r="X47">
        <f ca="1"/>
        <v>70</v>
      </c>
    </row>
    <row r="48" spans="1:24" x14ac:dyDescent="0.3">
      <c r="Q48" s="8" t="s">
        <v>92</v>
      </c>
      <c r="R48" s="7">
        <v>12126</v>
      </c>
      <c r="S48" s="7">
        <v>86</v>
      </c>
      <c r="U48">
        <f ca="1"/>
        <v>17</v>
      </c>
      <c r="V48" t="str">
        <f ca="1"/>
        <v>Product23</v>
      </c>
      <c r="W48">
        <f ca="1"/>
        <v>12126</v>
      </c>
      <c r="X48">
        <f ca="1"/>
        <v>86</v>
      </c>
    </row>
    <row r="49" spans="17:24" x14ac:dyDescent="0.3">
      <c r="Q49" s="9" t="s">
        <v>71</v>
      </c>
      <c r="R49" s="7">
        <v>12126</v>
      </c>
      <c r="S49" s="7">
        <v>86</v>
      </c>
      <c r="U49">
        <f ca="1"/>
        <v>17</v>
      </c>
      <c r="V49" t="str">
        <f ca="1"/>
        <v>Ft</v>
      </c>
      <c r="W49">
        <f ca="1"/>
        <v>12126</v>
      </c>
      <c r="X49">
        <f ca="1"/>
        <v>86</v>
      </c>
    </row>
    <row r="50" spans="17:24" x14ac:dyDescent="0.3">
      <c r="Q50" s="8" t="s">
        <v>93</v>
      </c>
      <c r="R50" s="7">
        <v>9360</v>
      </c>
      <c r="S50" s="7">
        <v>65</v>
      </c>
      <c r="U50">
        <f ca="1"/>
        <v>25</v>
      </c>
      <c r="V50" t="str">
        <f ca="1"/>
        <v>Product24</v>
      </c>
      <c r="W50">
        <f ca="1"/>
        <v>9360</v>
      </c>
      <c r="X50">
        <f ca="1"/>
        <v>65</v>
      </c>
    </row>
    <row r="51" spans="17:24" x14ac:dyDescent="0.3">
      <c r="Q51" s="9" t="s">
        <v>71</v>
      </c>
      <c r="R51" s="7">
        <v>9360</v>
      </c>
      <c r="S51" s="7">
        <v>65</v>
      </c>
      <c r="U51">
        <f ca="1"/>
        <v>25</v>
      </c>
      <c r="V51" t="str">
        <f ca="1"/>
        <v>Ft</v>
      </c>
      <c r="W51">
        <f ca="1"/>
        <v>9360</v>
      </c>
      <c r="X51">
        <f ca="1"/>
        <v>65</v>
      </c>
    </row>
    <row r="52" spans="17:24" x14ac:dyDescent="0.3">
      <c r="Q52" s="8" t="s">
        <v>94</v>
      </c>
      <c r="R52" s="7">
        <v>504</v>
      </c>
      <c r="S52" s="7">
        <v>72</v>
      </c>
      <c r="U52">
        <f ca="1"/>
        <v>85</v>
      </c>
      <c r="V52" t="str">
        <f ca="1"/>
        <v>Product25</v>
      </c>
      <c r="W52">
        <f ca="1"/>
        <v>504</v>
      </c>
      <c r="X52">
        <f ca="1"/>
        <v>72</v>
      </c>
    </row>
    <row r="53" spans="17:24" x14ac:dyDescent="0.3">
      <c r="Q53" s="9" t="s">
        <v>77</v>
      </c>
      <c r="R53" s="7">
        <v>504</v>
      </c>
      <c r="S53" s="7">
        <v>72</v>
      </c>
      <c r="U53">
        <f ca="1"/>
        <v>85</v>
      </c>
      <c r="V53" t="str">
        <f ca="1"/>
        <v>No.</v>
      </c>
      <c r="W53">
        <f ca="1"/>
        <v>504</v>
      </c>
      <c r="X53">
        <f ca="1"/>
        <v>72</v>
      </c>
    </row>
    <row r="54" spans="17:24" x14ac:dyDescent="0.3">
      <c r="Q54" s="8" t="s">
        <v>95</v>
      </c>
      <c r="R54" s="7">
        <v>2016</v>
      </c>
      <c r="S54" s="7">
        <v>112</v>
      </c>
      <c r="U54">
        <f ca="1"/>
        <v>77</v>
      </c>
      <c r="V54" t="str">
        <f ca="1"/>
        <v>Product26</v>
      </c>
      <c r="W54">
        <f ca="1"/>
        <v>2016</v>
      </c>
      <c r="X54">
        <f ca="1"/>
        <v>112</v>
      </c>
    </row>
    <row r="55" spans="17:24" x14ac:dyDescent="0.3">
      <c r="Q55" s="9" t="s">
        <v>77</v>
      </c>
      <c r="R55" s="7">
        <v>2016</v>
      </c>
      <c r="S55" s="7">
        <v>112</v>
      </c>
      <c r="U55">
        <f ca="1"/>
        <v>77</v>
      </c>
      <c r="V55" t="str">
        <f ca="1"/>
        <v>No.</v>
      </c>
      <c r="W55">
        <f ca="1"/>
        <v>2016</v>
      </c>
      <c r="X55">
        <f ca="1"/>
        <v>112</v>
      </c>
    </row>
    <row r="56" spans="17:24" x14ac:dyDescent="0.3">
      <c r="Q56" s="8" t="s">
        <v>97</v>
      </c>
      <c r="R56" s="7">
        <v>5232</v>
      </c>
      <c r="S56" s="7">
        <v>109</v>
      </c>
      <c r="U56">
        <f ca="1"/>
        <v>59</v>
      </c>
      <c r="V56" t="str">
        <f ca="1"/>
        <v>Product27</v>
      </c>
      <c r="W56">
        <f ca="1"/>
        <v>5232</v>
      </c>
      <c r="X56">
        <f ca="1"/>
        <v>109</v>
      </c>
    </row>
    <row r="57" spans="17:24" x14ac:dyDescent="0.3">
      <c r="Q57" s="9" t="s">
        <v>69</v>
      </c>
      <c r="R57" s="7">
        <v>5232</v>
      </c>
      <c r="S57" s="7">
        <v>109</v>
      </c>
      <c r="U57">
        <f ca="1"/>
        <v>59</v>
      </c>
      <c r="V57" t="str">
        <f ca="1"/>
        <v>Lt</v>
      </c>
      <c r="W57">
        <f ca="1"/>
        <v>5232</v>
      </c>
      <c r="X57">
        <f ca="1"/>
        <v>109</v>
      </c>
    </row>
    <row r="58" spans="17:24" x14ac:dyDescent="0.3">
      <c r="Q58" s="8" t="s">
        <v>98</v>
      </c>
      <c r="R58" s="7">
        <v>4144</v>
      </c>
      <c r="S58" s="7">
        <v>112</v>
      </c>
      <c r="U58">
        <f ca="1"/>
        <v>65</v>
      </c>
      <c r="V58" t="str">
        <f ca="1"/>
        <v>Product28</v>
      </c>
      <c r="W58">
        <f ca="1"/>
        <v>4144</v>
      </c>
      <c r="X58">
        <f ca="1"/>
        <v>112</v>
      </c>
    </row>
    <row r="59" spans="17:24" x14ac:dyDescent="0.3">
      <c r="Q59" s="9" t="s">
        <v>77</v>
      </c>
      <c r="R59" s="7">
        <v>4144</v>
      </c>
      <c r="S59" s="7">
        <v>112</v>
      </c>
      <c r="U59">
        <f ca="1"/>
        <v>65</v>
      </c>
      <c r="V59" t="str">
        <f ca="1"/>
        <v>No.</v>
      </c>
      <c r="W59">
        <f ca="1"/>
        <v>4144</v>
      </c>
      <c r="X59">
        <f ca="1"/>
        <v>112</v>
      </c>
    </row>
    <row r="60" spans="17:24" x14ac:dyDescent="0.3">
      <c r="Q60" s="8" t="s">
        <v>99</v>
      </c>
      <c r="R60" s="7">
        <v>4888</v>
      </c>
      <c r="S60" s="7">
        <v>104</v>
      </c>
      <c r="U60">
        <f ca="1"/>
        <v>63</v>
      </c>
      <c r="V60" t="str">
        <f ca="1"/>
        <v>Product29</v>
      </c>
      <c r="W60">
        <f ca="1"/>
        <v>4888</v>
      </c>
      <c r="X60">
        <f ca="1"/>
        <v>104</v>
      </c>
    </row>
    <row r="61" spans="17:24" x14ac:dyDescent="0.3">
      <c r="Q61" s="9" t="s">
        <v>69</v>
      </c>
      <c r="R61" s="7">
        <v>4888</v>
      </c>
      <c r="S61" s="7">
        <v>104</v>
      </c>
      <c r="U61">
        <f ca="1"/>
        <v>63</v>
      </c>
      <c r="V61" t="str">
        <f ca="1"/>
        <v>Lt</v>
      </c>
      <c r="W61">
        <f ca="1"/>
        <v>4888</v>
      </c>
      <c r="X61">
        <f ca="1"/>
        <v>104</v>
      </c>
    </row>
    <row r="62" spans="17:24" x14ac:dyDescent="0.3">
      <c r="Q62" s="8" t="s">
        <v>100</v>
      </c>
      <c r="R62" s="7">
        <v>16872</v>
      </c>
      <c r="S62" s="7">
        <v>114</v>
      </c>
      <c r="U62">
        <f ca="1"/>
        <v>3</v>
      </c>
      <c r="V62" t="str">
        <f ca="1"/>
        <v>Product30</v>
      </c>
      <c r="W62">
        <f ca="1"/>
        <v>16872</v>
      </c>
      <c r="X62">
        <f ca="1"/>
        <v>114</v>
      </c>
    </row>
    <row r="63" spans="17:24" x14ac:dyDescent="0.3">
      <c r="Q63" s="9" t="s">
        <v>71</v>
      </c>
      <c r="R63" s="7">
        <v>16872</v>
      </c>
      <c r="S63" s="7">
        <v>114</v>
      </c>
      <c r="U63">
        <f ca="1"/>
        <v>3</v>
      </c>
      <c r="V63" t="str">
        <f ca="1"/>
        <v>Ft</v>
      </c>
      <c r="W63">
        <f ca="1"/>
        <v>16872</v>
      </c>
      <c r="X63">
        <f ca="1"/>
        <v>114</v>
      </c>
    </row>
    <row r="64" spans="17:24" x14ac:dyDescent="0.3">
      <c r="Q64" s="8" t="s">
        <v>101</v>
      </c>
      <c r="R64" s="7">
        <v>5580</v>
      </c>
      <c r="S64" s="7">
        <v>60</v>
      </c>
      <c r="U64">
        <f ca="1"/>
        <v>53</v>
      </c>
      <c r="V64" t="str">
        <f ca="1"/>
        <v>Product31</v>
      </c>
      <c r="W64">
        <f ca="1"/>
        <v>5580</v>
      </c>
      <c r="X64">
        <f ca="1"/>
        <v>60</v>
      </c>
    </row>
    <row r="65" spans="17:24" x14ac:dyDescent="0.3">
      <c r="Q65" s="9" t="s">
        <v>65</v>
      </c>
      <c r="R65" s="7">
        <v>5580</v>
      </c>
      <c r="S65" s="7">
        <v>60</v>
      </c>
      <c r="U65">
        <f ca="1"/>
        <v>53</v>
      </c>
      <c r="V65" t="str">
        <f ca="1"/>
        <v>Kg</v>
      </c>
      <c r="W65">
        <f ca="1"/>
        <v>5580</v>
      </c>
      <c r="X65">
        <f ca="1"/>
        <v>60</v>
      </c>
    </row>
    <row r="66" spans="17:24" x14ac:dyDescent="0.3">
      <c r="Q66" s="8" t="s">
        <v>102</v>
      </c>
      <c r="R66" s="7">
        <v>12371</v>
      </c>
      <c r="S66" s="7">
        <v>139</v>
      </c>
      <c r="U66">
        <f ca="1"/>
        <v>15</v>
      </c>
      <c r="V66" t="str">
        <f ca="1"/>
        <v>Product32</v>
      </c>
      <c r="W66">
        <f ca="1"/>
        <v>12371</v>
      </c>
      <c r="X66">
        <f ca="1"/>
        <v>139</v>
      </c>
    </row>
    <row r="67" spans="17:24" x14ac:dyDescent="0.3">
      <c r="Q67" s="9" t="s">
        <v>65</v>
      </c>
      <c r="R67" s="7">
        <v>12371</v>
      </c>
      <c r="S67" s="7">
        <v>139</v>
      </c>
      <c r="U67">
        <f ca="1"/>
        <v>15</v>
      </c>
      <c r="V67" t="str">
        <f ca="1"/>
        <v>Kg</v>
      </c>
      <c r="W67">
        <f ca="1"/>
        <v>12371</v>
      </c>
      <c r="X67">
        <f ca="1"/>
        <v>139</v>
      </c>
    </row>
    <row r="68" spans="17:24" x14ac:dyDescent="0.3">
      <c r="Q68" s="8" t="s">
        <v>103</v>
      </c>
      <c r="R68" s="7">
        <v>10830</v>
      </c>
      <c r="S68" s="7">
        <v>114</v>
      </c>
      <c r="U68">
        <f ca="1"/>
        <v>19</v>
      </c>
      <c r="V68" t="str">
        <f ca="1"/>
        <v>Product33</v>
      </c>
      <c r="W68">
        <f ca="1"/>
        <v>10830</v>
      </c>
      <c r="X68">
        <f ca="1"/>
        <v>114</v>
      </c>
    </row>
    <row r="69" spans="17:24" x14ac:dyDescent="0.3">
      <c r="Q69" s="9" t="s">
        <v>65</v>
      </c>
      <c r="R69" s="7">
        <v>10830</v>
      </c>
      <c r="S69" s="7">
        <v>114</v>
      </c>
      <c r="U69">
        <f ca="1"/>
        <v>19</v>
      </c>
      <c r="V69" t="str">
        <f ca="1"/>
        <v>Kg</v>
      </c>
      <c r="W69">
        <f ca="1"/>
        <v>10830</v>
      </c>
      <c r="X69">
        <f ca="1"/>
        <v>114</v>
      </c>
    </row>
    <row r="70" spans="17:24" x14ac:dyDescent="0.3">
      <c r="Q70" s="8" t="s">
        <v>104</v>
      </c>
      <c r="R70" s="7">
        <v>8470</v>
      </c>
      <c r="S70" s="7">
        <v>154</v>
      </c>
      <c r="U70">
        <f ca="1"/>
        <v>33</v>
      </c>
      <c r="V70" t="str">
        <f ca="1"/>
        <v>Product34</v>
      </c>
      <c r="W70">
        <f ca="1"/>
        <v>8470</v>
      </c>
      <c r="X70">
        <f ca="1"/>
        <v>154</v>
      </c>
    </row>
    <row r="71" spans="17:24" x14ac:dyDescent="0.3">
      <c r="Q71" s="9" t="s">
        <v>69</v>
      </c>
      <c r="R71" s="7">
        <v>8470</v>
      </c>
      <c r="S71" s="7">
        <v>154</v>
      </c>
      <c r="U71">
        <f ca="1"/>
        <v>33</v>
      </c>
      <c r="V71" t="str">
        <f ca="1"/>
        <v>Lt</v>
      </c>
      <c r="W71">
        <f ca="1"/>
        <v>8470</v>
      </c>
      <c r="X71">
        <f ca="1"/>
        <v>154</v>
      </c>
    </row>
    <row r="72" spans="17:24" x14ac:dyDescent="0.3">
      <c r="Q72" s="8" t="s">
        <v>105</v>
      </c>
      <c r="R72" s="7">
        <v>525</v>
      </c>
      <c r="S72" s="7">
        <v>105</v>
      </c>
      <c r="U72">
        <f ca="1"/>
        <v>83</v>
      </c>
      <c r="V72" t="str">
        <f ca="1"/>
        <v>Product35</v>
      </c>
      <c r="W72">
        <f ca="1"/>
        <v>525</v>
      </c>
      <c r="X72">
        <f ca="1"/>
        <v>105</v>
      </c>
    </row>
    <row r="73" spans="17:24" x14ac:dyDescent="0.3">
      <c r="Q73" s="9" t="s">
        <v>77</v>
      </c>
      <c r="R73" s="7">
        <v>525</v>
      </c>
      <c r="S73" s="7">
        <v>105</v>
      </c>
      <c r="U73">
        <f ca="1"/>
        <v>83</v>
      </c>
      <c r="V73" t="str">
        <f ca="1"/>
        <v>No.</v>
      </c>
      <c r="W73">
        <f ca="1"/>
        <v>525</v>
      </c>
      <c r="X73">
        <f ca="1"/>
        <v>105</v>
      </c>
    </row>
    <row r="74" spans="17:24" x14ac:dyDescent="0.3">
      <c r="Q74" s="8" t="s">
        <v>106</v>
      </c>
      <c r="R74" s="7">
        <v>6750</v>
      </c>
      <c r="S74" s="7">
        <v>75</v>
      </c>
      <c r="U74">
        <f ca="1"/>
        <v>45</v>
      </c>
      <c r="V74" t="str">
        <f ca="1"/>
        <v>Product36</v>
      </c>
      <c r="W74">
        <f ca="1"/>
        <v>6750</v>
      </c>
      <c r="X74">
        <f ca="1"/>
        <v>75</v>
      </c>
    </row>
    <row r="75" spans="17:24" x14ac:dyDescent="0.3">
      <c r="Q75" s="9" t="s">
        <v>65</v>
      </c>
      <c r="R75" s="7">
        <v>6750</v>
      </c>
      <c r="S75" s="7">
        <v>75</v>
      </c>
      <c r="U75">
        <f ca="1"/>
        <v>45</v>
      </c>
      <c r="V75" t="str">
        <f ca="1"/>
        <v>Kg</v>
      </c>
      <c r="W75">
        <f ca="1"/>
        <v>6750</v>
      </c>
      <c r="X75">
        <f ca="1"/>
        <v>75</v>
      </c>
    </row>
    <row r="76" spans="17:24" x14ac:dyDescent="0.3">
      <c r="Q76" s="8" t="s">
        <v>107</v>
      </c>
      <c r="R76" s="7">
        <v>4020</v>
      </c>
      <c r="S76" s="7">
        <v>60</v>
      </c>
      <c r="U76">
        <f ca="1"/>
        <v>67</v>
      </c>
      <c r="V76" t="str">
        <f ca="1"/>
        <v>Product37</v>
      </c>
      <c r="W76">
        <f ca="1"/>
        <v>4020</v>
      </c>
      <c r="X76">
        <f ca="1"/>
        <v>60</v>
      </c>
    </row>
    <row r="77" spans="17:24" x14ac:dyDescent="0.3">
      <c r="Q77" s="9" t="s">
        <v>65</v>
      </c>
      <c r="R77" s="7">
        <v>4020</v>
      </c>
      <c r="S77" s="7">
        <v>60</v>
      </c>
      <c r="U77">
        <f ca="1"/>
        <v>67</v>
      </c>
      <c r="V77" t="str">
        <f ca="1"/>
        <v>Kg</v>
      </c>
      <c r="W77">
        <f ca="1"/>
        <v>4020</v>
      </c>
      <c r="X77">
        <f ca="1"/>
        <v>60</v>
      </c>
    </row>
    <row r="78" spans="17:24" x14ac:dyDescent="0.3">
      <c r="Q78" s="8" t="s">
        <v>109</v>
      </c>
      <c r="R78" s="7">
        <v>7992</v>
      </c>
      <c r="S78" s="7">
        <v>111</v>
      </c>
      <c r="U78">
        <f ca="1"/>
        <v>41</v>
      </c>
      <c r="V78" t="str">
        <f ca="1"/>
        <v>Product38</v>
      </c>
      <c r="W78">
        <f ca="1"/>
        <v>7992</v>
      </c>
      <c r="X78">
        <f ca="1"/>
        <v>111</v>
      </c>
    </row>
    <row r="79" spans="17:24" x14ac:dyDescent="0.3">
      <c r="Q79" s="9" t="s">
        <v>65</v>
      </c>
      <c r="R79" s="7">
        <v>7992</v>
      </c>
      <c r="S79" s="7">
        <v>111</v>
      </c>
      <c r="U79">
        <f ca="1"/>
        <v>41</v>
      </c>
      <c r="V79" t="str">
        <f ca="1"/>
        <v>Kg</v>
      </c>
      <c r="W79">
        <f ca="1"/>
        <v>7992</v>
      </c>
      <c r="X79">
        <f ca="1"/>
        <v>111</v>
      </c>
    </row>
    <row r="80" spans="17:24" x14ac:dyDescent="0.3">
      <c r="Q80" s="8" t="s">
        <v>110</v>
      </c>
      <c r="R80" s="7">
        <v>3441</v>
      </c>
      <c r="S80" s="7">
        <v>93</v>
      </c>
      <c r="U80">
        <f ca="1"/>
        <v>71</v>
      </c>
      <c r="V80" t="str">
        <f ca="1"/>
        <v>Product39</v>
      </c>
      <c r="W80">
        <f ca="1"/>
        <v>3441</v>
      </c>
      <c r="X80">
        <f ca="1"/>
        <v>93</v>
      </c>
    </row>
    <row r="81" spans="17:24" x14ac:dyDescent="0.3">
      <c r="Q81" s="9" t="s">
        <v>77</v>
      </c>
      <c r="R81" s="7">
        <v>3441</v>
      </c>
      <c r="S81" s="7">
        <v>93</v>
      </c>
      <c r="U81">
        <f ca="1"/>
        <v>71</v>
      </c>
      <c r="V81" t="str">
        <f ca="1"/>
        <v>No.</v>
      </c>
      <c r="W81">
        <f ca="1"/>
        <v>3441</v>
      </c>
      <c r="X81">
        <f ca="1"/>
        <v>93</v>
      </c>
    </row>
    <row r="82" spans="17:24" x14ac:dyDescent="0.3">
      <c r="Q82" s="8" t="s">
        <v>111</v>
      </c>
      <c r="R82" s="7">
        <v>6030</v>
      </c>
      <c r="S82" s="7">
        <v>67</v>
      </c>
      <c r="U82">
        <f ca="1"/>
        <v>49</v>
      </c>
      <c r="V82" t="str">
        <f ca="1"/>
        <v>Product40</v>
      </c>
      <c r="W82">
        <f ca="1"/>
        <v>6030</v>
      </c>
      <c r="X82">
        <f ca="1"/>
        <v>67</v>
      </c>
    </row>
    <row r="83" spans="17:24" x14ac:dyDescent="0.3">
      <c r="Q83" s="9" t="s">
        <v>65</v>
      </c>
      <c r="R83" s="7">
        <v>6030</v>
      </c>
      <c r="S83" s="7">
        <v>67</v>
      </c>
      <c r="U83">
        <f ca="1"/>
        <v>49</v>
      </c>
      <c r="V83" t="str">
        <f ca="1"/>
        <v>Kg</v>
      </c>
      <c r="W83">
        <f ca="1"/>
        <v>6030</v>
      </c>
      <c r="X83">
        <f ca="1"/>
        <v>67</v>
      </c>
    </row>
    <row r="84" spans="17:24" x14ac:dyDescent="0.3">
      <c r="Q84" s="8" t="s">
        <v>112</v>
      </c>
      <c r="R84" s="7">
        <v>18216</v>
      </c>
      <c r="S84" s="7">
        <v>132</v>
      </c>
      <c r="U84">
        <f ca="1"/>
        <v>1</v>
      </c>
      <c r="V84" t="str">
        <f ca="1"/>
        <v>Product41</v>
      </c>
      <c r="W84">
        <f ca="1"/>
        <v>18216</v>
      </c>
      <c r="X84">
        <f ca="1"/>
        <v>132</v>
      </c>
    </row>
    <row r="85" spans="17:24" x14ac:dyDescent="0.3">
      <c r="Q85" s="9" t="s">
        <v>71</v>
      </c>
      <c r="R85" s="7">
        <v>18216</v>
      </c>
      <c r="S85" s="7">
        <v>132</v>
      </c>
      <c r="U85">
        <f ca="1"/>
        <v>1</v>
      </c>
      <c r="V85" t="str">
        <f ca="1"/>
        <v>Ft</v>
      </c>
      <c r="W85">
        <f ca="1"/>
        <v>18216</v>
      </c>
      <c r="X85">
        <f ca="1"/>
        <v>132</v>
      </c>
    </row>
    <row r="86" spans="17:24" x14ac:dyDescent="0.3">
      <c r="Q86" s="8" t="s">
        <v>113</v>
      </c>
      <c r="R86" s="7">
        <v>15240</v>
      </c>
      <c r="S86" s="7">
        <v>127</v>
      </c>
      <c r="U86">
        <f ca="1"/>
        <v>5</v>
      </c>
      <c r="V86" t="str">
        <f ca="1"/>
        <v>Product42</v>
      </c>
      <c r="W86">
        <f ca="1"/>
        <v>15240</v>
      </c>
      <c r="X86">
        <f ca="1"/>
        <v>127</v>
      </c>
    </row>
    <row r="87" spans="17:24" x14ac:dyDescent="0.3">
      <c r="Q87" s="9" t="s">
        <v>71</v>
      </c>
      <c r="R87" s="7">
        <v>15240</v>
      </c>
      <c r="S87" s="7">
        <v>127</v>
      </c>
      <c r="U87">
        <f ca="1"/>
        <v>5</v>
      </c>
      <c r="V87" t="str">
        <f ca="1"/>
        <v>Ft</v>
      </c>
      <c r="W87">
        <f ca="1"/>
        <v>15240</v>
      </c>
      <c r="X87">
        <f ca="1"/>
        <v>127</v>
      </c>
    </row>
    <row r="88" spans="17:24" x14ac:dyDescent="0.3">
      <c r="Q88" s="8" t="s">
        <v>114</v>
      </c>
      <c r="R88" s="7">
        <v>4891</v>
      </c>
      <c r="S88" s="7">
        <v>73</v>
      </c>
      <c r="U88">
        <f ca="1"/>
        <v>61</v>
      </c>
      <c r="V88" t="str">
        <f ca="1"/>
        <v>Product43</v>
      </c>
      <c r="W88">
        <f ca="1"/>
        <v>4891</v>
      </c>
      <c r="X88">
        <f ca="1"/>
        <v>73</v>
      </c>
    </row>
    <row r="89" spans="17:24" x14ac:dyDescent="0.3">
      <c r="Q89" s="9" t="s">
        <v>65</v>
      </c>
      <c r="R89" s="7">
        <v>4891</v>
      </c>
      <c r="S89" s="7">
        <v>73</v>
      </c>
      <c r="U89">
        <f ca="1"/>
        <v>61</v>
      </c>
      <c r="V89" t="str">
        <f ca="1"/>
        <v>Kg</v>
      </c>
      <c r="W89">
        <f ca="1"/>
        <v>4891</v>
      </c>
      <c r="X89">
        <f ca="1"/>
        <v>73</v>
      </c>
    </row>
    <row r="90" spans="17:24" x14ac:dyDescent="0.3">
      <c r="Q90" s="8" t="s">
        <v>115</v>
      </c>
      <c r="R90" s="7">
        <v>15124</v>
      </c>
      <c r="S90" s="7">
        <v>199</v>
      </c>
      <c r="U90">
        <f ca="1"/>
        <v>7</v>
      </c>
      <c r="V90" t="str">
        <f ca="1"/>
        <v>Product44</v>
      </c>
      <c r="W90">
        <f ca="1"/>
        <v>15124</v>
      </c>
      <c r="X90">
        <f ca="1"/>
        <v>199</v>
      </c>
    </row>
    <row r="91" spans="17:24" x14ac:dyDescent="0.3">
      <c r="Q91" s="9" t="s">
        <v>65</v>
      </c>
      <c r="R91" s="7">
        <v>15124</v>
      </c>
      <c r="S91" s="7">
        <v>199</v>
      </c>
      <c r="U91">
        <f ca="1"/>
        <v>7</v>
      </c>
      <c r="V91" t="str">
        <f ca="1"/>
        <v>Kg</v>
      </c>
      <c r="W91">
        <f ca="1"/>
        <v>15124</v>
      </c>
      <c r="X91">
        <f ca="1"/>
        <v>199</v>
      </c>
    </row>
  </sheetData>
  <pageMargins left="0.7" right="0.7" top="0.75" bottom="0.75" header="0.3" footer="0.3"/>
  <drawing r:id="rId8"/>
  <legacyDrawing r:id="rId9"/>
  <mc:AlternateContent xmlns:mc="http://schemas.openxmlformats.org/markup-compatibility/2006">
    <mc:Choice Requires="x14">
      <controls>
        <mc:AlternateContent xmlns:mc="http://schemas.openxmlformats.org/markup-compatibility/2006">
          <mc:Choice Requires="x14">
            <control shapeId="3074" r:id="rId10" name="Check Box 2">
              <controlPr defaultSize="0" autoFill="0" autoLine="0" autoPict="0">
                <anchor moveWithCells="1">
                  <from>
                    <xdr:col>8</xdr:col>
                    <xdr:colOff>586740</xdr:colOff>
                    <xdr:row>19</xdr:row>
                    <xdr:rowOff>167640</xdr:rowOff>
                  </from>
                  <to>
                    <xdr:col>8</xdr:col>
                    <xdr:colOff>1173480</xdr:colOff>
                    <xdr:row>21</xdr:row>
                    <xdr:rowOff>83820</xdr:rowOff>
                  </to>
                </anchor>
              </controlPr>
            </control>
          </mc:Choice>
        </mc:AlternateContent>
        <mc:AlternateContent xmlns:mc="http://schemas.openxmlformats.org/markup-compatibility/2006">
          <mc:Choice Requires="x14">
            <control shapeId="3075" r:id="rId11" name="Check Box 3">
              <controlPr defaultSize="0" autoFill="0" autoLine="0" autoPict="0">
                <anchor moveWithCells="1">
                  <from>
                    <xdr:col>10</xdr:col>
                    <xdr:colOff>45720</xdr:colOff>
                    <xdr:row>19</xdr:row>
                    <xdr:rowOff>144780</xdr:rowOff>
                  </from>
                  <to>
                    <xdr:col>11</xdr:col>
                    <xdr:colOff>22860</xdr:colOff>
                    <xdr:row>21</xdr:row>
                    <xdr:rowOff>60960</xdr:rowOff>
                  </to>
                </anchor>
              </controlPr>
            </control>
          </mc:Choice>
        </mc:AlternateContent>
        <mc:AlternateContent xmlns:mc="http://schemas.openxmlformats.org/markup-compatibility/2006">
          <mc:Choice Requires="x14">
            <control shapeId="3076" r:id="rId12" name="Check Box 4">
              <controlPr defaultSize="0" autoFill="0" autoLine="0" autoPict="0">
                <anchor moveWithCells="1">
                  <from>
                    <xdr:col>9</xdr:col>
                    <xdr:colOff>373380</xdr:colOff>
                    <xdr:row>19</xdr:row>
                    <xdr:rowOff>160020</xdr:rowOff>
                  </from>
                  <to>
                    <xdr:col>9</xdr:col>
                    <xdr:colOff>967740</xdr:colOff>
                    <xdr:row>21</xdr:row>
                    <xdr:rowOff>76200</xdr:rowOff>
                  </to>
                </anchor>
              </controlPr>
            </control>
          </mc:Choice>
        </mc:AlternateContent>
        <mc:AlternateContent xmlns:mc="http://schemas.openxmlformats.org/markup-compatibility/2006">
          <mc:Choice Requires="x14">
            <control shapeId="3077" r:id="rId13" name="Scroll Bar 5">
              <controlPr defaultSize="0" autoPict="0">
                <anchor moveWithCells="1">
                  <from>
                    <xdr:col>24</xdr:col>
                    <xdr:colOff>304800</xdr:colOff>
                    <xdr:row>15</xdr:row>
                    <xdr:rowOff>106680</xdr:rowOff>
                  </from>
                  <to>
                    <xdr:col>24</xdr:col>
                    <xdr:colOff>571500</xdr:colOff>
                    <xdr:row>30</xdr:row>
                    <xdr:rowOff>129540</xdr:rowOff>
                  </to>
                </anchor>
              </controlPr>
            </control>
          </mc:Choice>
        </mc:AlternateContent>
      </controls>
    </mc:Choice>
  </mc:AlternateContent>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6CD4-979E-4846-AFD3-C3B5E930D06D}">
  <sheetPr>
    <tabColor rgb="FFFF0000"/>
  </sheetPr>
  <dimension ref="A1:Q529"/>
  <sheetViews>
    <sheetView workbookViewId="0">
      <selection activeCell="M20" sqref="M20"/>
    </sheetView>
  </sheetViews>
  <sheetFormatPr defaultRowHeight="14.4" x14ac:dyDescent="0.3"/>
  <cols>
    <col min="1" max="1" width="15" style="2" customWidth="1"/>
    <col min="2" max="2" width="13.33203125" style="2" customWidth="1"/>
    <col min="3" max="3" width="11.6640625" style="2" customWidth="1"/>
    <col min="4" max="4" width="15.33203125" style="2" bestFit="1" customWidth="1"/>
    <col min="5" max="5" width="17.109375" style="2" customWidth="1"/>
    <col min="6" max="6" width="13.6640625" style="2" customWidth="1"/>
    <col min="7" max="7" width="23.77734375" style="2" customWidth="1"/>
    <col min="8" max="8" width="11.88671875" style="2" customWidth="1"/>
    <col min="9" max="9" width="12.77734375" style="2" bestFit="1" customWidth="1"/>
    <col min="10" max="10" width="14.6640625" style="2" customWidth="1"/>
    <col min="11" max="11" width="15.109375" style="2" customWidth="1"/>
    <col min="12" max="12" width="17" style="2" customWidth="1"/>
    <col min="13" max="13" width="14.109375" style="2" customWidth="1"/>
    <col min="14" max="14" width="16.88671875" style="2" customWidth="1"/>
    <col min="15" max="15" width="11.21875" style="2" customWidth="1"/>
    <col min="16" max="16" width="9.5546875" style="2" customWidth="1"/>
    <col min="17" max="16384" width="8.88671875" style="2"/>
  </cols>
  <sheetData>
    <row r="1" spans="1:17" x14ac:dyDescent="0.3">
      <c r="A1" s="33" t="s">
        <v>130</v>
      </c>
      <c r="B1" s="33" t="s">
        <v>0</v>
      </c>
      <c r="C1" s="33" t="s">
        <v>1</v>
      </c>
      <c r="D1" s="33" t="s">
        <v>2</v>
      </c>
      <c r="E1" s="33" t="s">
        <v>3</v>
      </c>
      <c r="F1" s="33" t="s">
        <v>4</v>
      </c>
      <c r="G1" s="33" t="s">
        <v>5</v>
      </c>
      <c r="H1" s="33" t="s">
        <v>6</v>
      </c>
      <c r="I1" s="33" t="s">
        <v>7</v>
      </c>
      <c r="J1" s="33" t="s">
        <v>8</v>
      </c>
      <c r="K1" s="33" t="s">
        <v>9</v>
      </c>
      <c r="L1" s="33" t="s">
        <v>10</v>
      </c>
      <c r="M1" s="33" t="s">
        <v>11</v>
      </c>
      <c r="N1" s="33" t="s">
        <v>118</v>
      </c>
      <c r="O1" s="33" t="s">
        <v>12</v>
      </c>
      <c r="P1" s="33" t="s">
        <v>13</v>
      </c>
      <c r="Q1" s="34" t="s">
        <v>14</v>
      </c>
    </row>
    <row r="2" spans="1:17" x14ac:dyDescent="0.3">
      <c r="A2" s="35">
        <v>44197</v>
      </c>
      <c r="B2" s="36" t="s">
        <v>15</v>
      </c>
      <c r="C2" s="37">
        <v>9</v>
      </c>
      <c r="D2" s="37" t="s">
        <v>16</v>
      </c>
      <c r="E2" s="37" t="s">
        <v>17</v>
      </c>
      <c r="F2" s="38">
        <v>0</v>
      </c>
      <c r="G2" s="39" t="str">
        <f>VLOOKUP('Data 1'!$B2,'Data 2'!$A$1:$F$46,MATCH('Data 1'!G$1,'Data 2'!$A$1:$F$1,0),0)</f>
        <v>Product24</v>
      </c>
      <c r="H2" s="39" t="str">
        <f>VLOOKUP('Data 1'!$B2,'Data 2'!$A$1:$F$46,MATCH('Data 1'!H$1,'Data 2'!$A$1:$F$1,0),0)</f>
        <v>Category03</v>
      </c>
      <c r="I2" s="39" t="str">
        <f>VLOOKUP('Data 1'!$B2,'Data 2'!$A$1:$F$46,MATCH('Data 1'!I$1,'Data 2'!$A$1:$F$1,0),0)</f>
        <v>Ft</v>
      </c>
      <c r="J2" s="39">
        <f>VLOOKUP('Data 1'!$B2,'Data 2'!$A$1:$F$46,MATCH('Data 1'!J$1,'Data 2'!$A$1:$F$1,0),0)</f>
        <v>144</v>
      </c>
      <c r="K2" s="39">
        <f>VLOOKUP('Data 1'!$B2,'Data 2'!$A$1:$F$46,MATCH('Data 1'!K$1,'Data 2'!$A$1:$F$1,0),0)</f>
        <v>156.96</v>
      </c>
      <c r="L2" s="40">
        <f>SUM('Data 1'!$J2*'Data 1'!$C2)</f>
        <v>1296</v>
      </c>
      <c r="M2" s="40">
        <f>'Data 1'!$C2*'Data 1'!$K2</f>
        <v>1412.64</v>
      </c>
      <c r="N2" s="40">
        <f>'Data 1'!$M2-'Data 1'!$L2</f>
        <v>116.6400000000001</v>
      </c>
      <c r="O2" s="37">
        <f>DAY('Data 1'!$A2)</f>
        <v>1</v>
      </c>
      <c r="P2" s="37" t="str">
        <f>TEXT('Data 1'!$A2,"mmm")</f>
        <v>Jan</v>
      </c>
      <c r="Q2" s="41">
        <f>YEAR('Data 1'!$A2)</f>
        <v>2021</v>
      </c>
    </row>
    <row r="3" spans="1:17" x14ac:dyDescent="0.3">
      <c r="A3" s="35">
        <v>44198</v>
      </c>
      <c r="B3" s="36" t="s">
        <v>18</v>
      </c>
      <c r="C3" s="37">
        <v>15</v>
      </c>
      <c r="D3" s="37" t="s">
        <v>17</v>
      </c>
      <c r="E3" s="37" t="s">
        <v>19</v>
      </c>
      <c r="F3" s="38">
        <v>0</v>
      </c>
      <c r="G3" s="42" t="str">
        <f>VLOOKUP('Data 1'!$B3,'Data 2'!$A$1:$F$46,MATCH('Data 1'!G$1,'Data 2'!$A$1:$F$1,0),0)</f>
        <v>Product38</v>
      </c>
      <c r="H3" s="42" t="str">
        <f>VLOOKUP('Data 1'!$B3,'Data 2'!$A$1:$F$46,MATCH('Data 1'!H$1,'Data 2'!$A$1:$F$1,0),0)</f>
        <v>Category05</v>
      </c>
      <c r="I3" s="42" t="str">
        <f>VLOOKUP('Data 1'!$B3,'Data 2'!$A$1:$F$46,MATCH('Data 1'!I$1,'Data 2'!$A$1:$F$1,0),0)</f>
        <v>Kg</v>
      </c>
      <c r="J3" s="42">
        <f>VLOOKUP('Data 1'!$B3,'Data 2'!$A$1:$F$46,MATCH('Data 1'!J$1,'Data 2'!$A$1:$F$1,0),0)</f>
        <v>72</v>
      </c>
      <c r="K3" s="42">
        <f>VLOOKUP('Data 1'!$B3,'Data 2'!$A$1:$F$46,MATCH('Data 1'!K$1,'Data 2'!$A$1:$F$1,0),0)</f>
        <v>79.92</v>
      </c>
      <c r="L3" s="40">
        <f>SUM('Data 1'!$J3*'Data 1'!$C3)</f>
        <v>1080</v>
      </c>
      <c r="M3" s="40">
        <f>'Data 1'!$C3*'Data 1'!$K3</f>
        <v>1198.8</v>
      </c>
      <c r="N3" s="40">
        <f>'Data 1'!$M3-'Data 1'!$L3</f>
        <v>118.79999999999995</v>
      </c>
      <c r="O3" s="37">
        <f>DAY('Data 1'!$A3)</f>
        <v>2</v>
      </c>
      <c r="P3" s="37" t="str">
        <f>TEXT('Data 1'!$A3,"mmm")</f>
        <v>Jan</v>
      </c>
      <c r="Q3" s="41">
        <f>YEAR('Data 1'!$A3)</f>
        <v>2021</v>
      </c>
    </row>
    <row r="4" spans="1:17" x14ac:dyDescent="0.3">
      <c r="A4" s="35">
        <v>44198</v>
      </c>
      <c r="B4" s="36" t="s">
        <v>20</v>
      </c>
      <c r="C4" s="37">
        <v>6</v>
      </c>
      <c r="D4" s="37" t="s">
        <v>21</v>
      </c>
      <c r="E4" s="37" t="s">
        <v>19</v>
      </c>
      <c r="F4" s="38">
        <v>0</v>
      </c>
      <c r="G4" s="39" t="str">
        <f>VLOOKUP('Data 1'!$B4,'Data 2'!$A$1:$F$46,MATCH('Data 1'!G$1,'Data 2'!$A$1:$F$1,0),0)</f>
        <v>Product13</v>
      </c>
      <c r="H4" s="39" t="str">
        <f>VLOOKUP('Data 1'!$B4,'Data 2'!$A$1:$F$46,MATCH('Data 1'!H$1,'Data 2'!$A$1:$F$1,0),0)</f>
        <v>Category02</v>
      </c>
      <c r="I4" s="39" t="str">
        <f>VLOOKUP('Data 1'!$B4,'Data 2'!$A$1:$F$46,MATCH('Data 1'!I$1,'Data 2'!$A$1:$F$1,0),0)</f>
        <v>Kg</v>
      </c>
      <c r="J4" s="39">
        <f>VLOOKUP('Data 1'!$B4,'Data 2'!$A$1:$F$46,MATCH('Data 1'!J$1,'Data 2'!$A$1:$F$1,0),0)</f>
        <v>112</v>
      </c>
      <c r="K4" s="39">
        <f>VLOOKUP('Data 1'!$B4,'Data 2'!$A$1:$F$46,MATCH('Data 1'!K$1,'Data 2'!$A$1:$F$1,0),0)</f>
        <v>122.08</v>
      </c>
      <c r="L4" s="40">
        <f>SUM('Data 1'!$J4*'Data 1'!$C4)</f>
        <v>672</v>
      </c>
      <c r="M4" s="40">
        <f>'Data 1'!$C4*'Data 1'!$K4</f>
        <v>732.48</v>
      </c>
      <c r="N4" s="40">
        <f>'Data 1'!$M4-'Data 1'!$L4</f>
        <v>60.480000000000018</v>
      </c>
      <c r="O4" s="37">
        <f>DAY('Data 1'!$A4)</f>
        <v>2</v>
      </c>
      <c r="P4" s="37" t="str">
        <f>TEXT('Data 1'!$A4,"mmm")</f>
        <v>Jan</v>
      </c>
      <c r="Q4" s="41">
        <f>YEAR('Data 1'!$A4)</f>
        <v>2021</v>
      </c>
    </row>
    <row r="5" spans="1:17" x14ac:dyDescent="0.3">
      <c r="A5" s="35">
        <v>44199</v>
      </c>
      <c r="B5" s="36" t="s">
        <v>22</v>
      </c>
      <c r="C5" s="37">
        <v>5</v>
      </c>
      <c r="D5" s="37" t="s">
        <v>21</v>
      </c>
      <c r="E5" s="37" t="s">
        <v>17</v>
      </c>
      <c r="F5" s="38">
        <v>0</v>
      </c>
      <c r="G5" s="42" t="str">
        <f>VLOOKUP('Data 1'!$B5,'Data 2'!$A$1:$F$46,MATCH('Data 1'!G$1,'Data 2'!$A$1:$F$1,0),0)</f>
        <v>Product04</v>
      </c>
      <c r="H5" s="42" t="str">
        <f>VLOOKUP('Data 1'!$B5,'Data 2'!$A$1:$F$46,MATCH('Data 1'!H$1,'Data 2'!$A$1:$F$1,0),0)</f>
        <v>Category01</v>
      </c>
      <c r="I5" s="42" t="str">
        <f>VLOOKUP('Data 1'!$B5,'Data 2'!$A$1:$F$46,MATCH('Data 1'!I$1,'Data 2'!$A$1:$F$1,0),0)</f>
        <v>Lt</v>
      </c>
      <c r="J5" s="42">
        <f>VLOOKUP('Data 1'!$B5,'Data 2'!$A$1:$F$46,MATCH('Data 1'!J$1,'Data 2'!$A$1:$F$1,0),0)</f>
        <v>44</v>
      </c>
      <c r="K5" s="42">
        <f>VLOOKUP('Data 1'!$B5,'Data 2'!$A$1:$F$46,MATCH('Data 1'!K$1,'Data 2'!$A$1:$F$1,0),0)</f>
        <v>48.84</v>
      </c>
      <c r="L5" s="40">
        <f>SUM('Data 1'!$J5*'Data 1'!$C5)</f>
        <v>220</v>
      </c>
      <c r="M5" s="40">
        <f>'Data 1'!$C5*'Data 1'!$K5</f>
        <v>244.20000000000002</v>
      </c>
      <c r="N5" s="40">
        <f>'Data 1'!$M5-'Data 1'!$L5</f>
        <v>24.200000000000017</v>
      </c>
      <c r="O5" s="37">
        <f>DAY('Data 1'!$A5)</f>
        <v>3</v>
      </c>
      <c r="P5" s="37" t="str">
        <f>TEXT('Data 1'!$A5,"mmm")</f>
        <v>Jan</v>
      </c>
      <c r="Q5" s="41">
        <f>YEAR('Data 1'!$A5)</f>
        <v>2021</v>
      </c>
    </row>
    <row r="6" spans="1:17" x14ac:dyDescent="0.3">
      <c r="A6" s="35">
        <v>44200</v>
      </c>
      <c r="B6" s="36" t="s">
        <v>23</v>
      </c>
      <c r="C6" s="37">
        <v>12</v>
      </c>
      <c r="D6" s="37" t="s">
        <v>17</v>
      </c>
      <c r="E6" s="37" t="s">
        <v>17</v>
      </c>
      <c r="F6" s="38">
        <v>0</v>
      </c>
      <c r="G6" s="39" t="str">
        <f>VLOOKUP('Data 1'!$B6,'Data 2'!$A$1:$F$46,MATCH('Data 1'!G$1,'Data 2'!$A$1:$F$1,0),0)</f>
        <v>Product35</v>
      </c>
      <c r="H6" s="39" t="str">
        <f>VLOOKUP('Data 1'!$B6,'Data 2'!$A$1:$F$46,MATCH('Data 1'!H$1,'Data 2'!$A$1:$F$1,0),0)</f>
        <v>Category04</v>
      </c>
      <c r="I6" s="39" t="str">
        <f>VLOOKUP('Data 1'!$B6,'Data 2'!$A$1:$F$46,MATCH('Data 1'!I$1,'Data 2'!$A$1:$F$1,0),0)</f>
        <v>No.</v>
      </c>
      <c r="J6" s="39">
        <f>VLOOKUP('Data 1'!$B6,'Data 2'!$A$1:$F$46,MATCH('Data 1'!J$1,'Data 2'!$A$1:$F$1,0),0)</f>
        <v>5</v>
      </c>
      <c r="K6" s="39">
        <f>VLOOKUP('Data 1'!$B6,'Data 2'!$A$1:$F$46,MATCH('Data 1'!K$1,'Data 2'!$A$1:$F$1,0),0)</f>
        <v>6.7</v>
      </c>
      <c r="L6" s="40">
        <f>SUM('Data 1'!$J6*'Data 1'!$C6)</f>
        <v>60</v>
      </c>
      <c r="M6" s="40">
        <f>'Data 1'!$C6*'Data 1'!$K6</f>
        <v>80.400000000000006</v>
      </c>
      <c r="N6" s="40">
        <f>'Data 1'!$M6-'Data 1'!$L6</f>
        <v>20.400000000000006</v>
      </c>
      <c r="O6" s="37">
        <f>DAY('Data 1'!$A6)</f>
        <v>4</v>
      </c>
      <c r="P6" s="37" t="str">
        <f>TEXT('Data 1'!$A6,"mmm")</f>
        <v>Jan</v>
      </c>
      <c r="Q6" s="41">
        <f>YEAR('Data 1'!$A6)</f>
        <v>2021</v>
      </c>
    </row>
    <row r="7" spans="1:17" x14ac:dyDescent="0.3">
      <c r="A7" s="35">
        <v>44205</v>
      </c>
      <c r="B7" s="36" t="s">
        <v>24</v>
      </c>
      <c r="C7" s="37">
        <v>1</v>
      </c>
      <c r="D7" s="37" t="s">
        <v>21</v>
      </c>
      <c r="E7" s="37" t="s">
        <v>19</v>
      </c>
      <c r="F7" s="38">
        <v>0</v>
      </c>
      <c r="G7" s="42" t="str">
        <f>VLOOKUP('Data 1'!$B7,'Data 2'!$A$1:$F$46,MATCH('Data 1'!G$1,'Data 2'!$A$1:$F$1,0),0)</f>
        <v>Product31</v>
      </c>
      <c r="H7" s="42" t="str">
        <f>VLOOKUP('Data 1'!$B7,'Data 2'!$A$1:$F$46,MATCH('Data 1'!H$1,'Data 2'!$A$1:$F$1,0),0)</f>
        <v>Category04</v>
      </c>
      <c r="I7" s="42" t="str">
        <f>VLOOKUP('Data 1'!$B7,'Data 2'!$A$1:$F$46,MATCH('Data 1'!I$1,'Data 2'!$A$1:$F$1,0),0)</f>
        <v>Kg</v>
      </c>
      <c r="J7" s="42">
        <f>VLOOKUP('Data 1'!$B7,'Data 2'!$A$1:$F$46,MATCH('Data 1'!J$1,'Data 2'!$A$1:$F$1,0),0)</f>
        <v>93</v>
      </c>
      <c r="K7" s="42">
        <f>VLOOKUP('Data 1'!$B7,'Data 2'!$A$1:$F$46,MATCH('Data 1'!K$1,'Data 2'!$A$1:$F$1,0),0)</f>
        <v>104.16</v>
      </c>
      <c r="L7" s="40">
        <f>SUM('Data 1'!$J7*'Data 1'!$C7)</f>
        <v>93</v>
      </c>
      <c r="M7" s="40">
        <f>'Data 1'!$C7*'Data 1'!$K7</f>
        <v>104.16</v>
      </c>
      <c r="N7" s="40">
        <f>'Data 1'!$M7-'Data 1'!$L7</f>
        <v>11.159999999999997</v>
      </c>
      <c r="O7" s="37">
        <f>DAY('Data 1'!$A7)</f>
        <v>9</v>
      </c>
      <c r="P7" s="37" t="str">
        <f>TEXT('Data 1'!$A7,"mmm")</f>
        <v>Jan</v>
      </c>
      <c r="Q7" s="41">
        <f>YEAR('Data 1'!$A7)</f>
        <v>2021</v>
      </c>
    </row>
    <row r="8" spans="1:17" x14ac:dyDescent="0.3">
      <c r="A8" s="35">
        <v>44205</v>
      </c>
      <c r="B8" s="36" t="s">
        <v>25</v>
      </c>
      <c r="C8" s="37">
        <v>8</v>
      </c>
      <c r="D8" s="37" t="s">
        <v>21</v>
      </c>
      <c r="E8" s="37" t="s">
        <v>19</v>
      </c>
      <c r="F8" s="38">
        <v>0</v>
      </c>
      <c r="G8" s="39" t="str">
        <f>VLOOKUP('Data 1'!$B8,'Data 2'!$A$1:$F$46,MATCH('Data 1'!G$1,'Data 2'!$A$1:$F$1,0),0)</f>
        <v>Product03</v>
      </c>
      <c r="H8" s="39" t="str">
        <f>VLOOKUP('Data 1'!$B8,'Data 2'!$A$1:$F$46,MATCH('Data 1'!H$1,'Data 2'!$A$1:$F$1,0),0)</f>
        <v>Category01</v>
      </c>
      <c r="I8" s="39" t="str">
        <f>VLOOKUP('Data 1'!$B8,'Data 2'!$A$1:$F$46,MATCH('Data 1'!I$1,'Data 2'!$A$1:$F$1,0),0)</f>
        <v>Kg</v>
      </c>
      <c r="J8" s="39">
        <f>VLOOKUP('Data 1'!$B8,'Data 2'!$A$1:$F$46,MATCH('Data 1'!J$1,'Data 2'!$A$1:$F$1,0),0)</f>
        <v>71</v>
      </c>
      <c r="K8" s="39">
        <f>VLOOKUP('Data 1'!$B8,'Data 2'!$A$1:$F$46,MATCH('Data 1'!K$1,'Data 2'!$A$1:$F$1,0),0)</f>
        <v>80.94</v>
      </c>
      <c r="L8" s="40">
        <f>SUM('Data 1'!$J8*'Data 1'!$C8)</f>
        <v>568</v>
      </c>
      <c r="M8" s="40">
        <f>'Data 1'!$C8*'Data 1'!$K8</f>
        <v>647.52</v>
      </c>
      <c r="N8" s="40">
        <f>'Data 1'!$M8-'Data 1'!$L8</f>
        <v>79.519999999999982</v>
      </c>
      <c r="O8" s="37">
        <f>DAY('Data 1'!$A8)</f>
        <v>9</v>
      </c>
      <c r="P8" s="37" t="str">
        <f>TEXT('Data 1'!$A8,"mmm")</f>
        <v>Jan</v>
      </c>
      <c r="Q8" s="41">
        <f>YEAR('Data 1'!$A8)</f>
        <v>2021</v>
      </c>
    </row>
    <row r="9" spans="1:17" x14ac:dyDescent="0.3">
      <c r="A9" s="35">
        <v>44205</v>
      </c>
      <c r="B9" s="36" t="s">
        <v>26</v>
      </c>
      <c r="C9" s="37">
        <v>4</v>
      </c>
      <c r="D9" s="37" t="s">
        <v>21</v>
      </c>
      <c r="E9" s="37" t="s">
        <v>17</v>
      </c>
      <c r="F9" s="38">
        <v>0</v>
      </c>
      <c r="G9" s="42" t="str">
        <f>VLOOKUP('Data 1'!$B9,'Data 2'!$A$1:$F$46,MATCH('Data 1'!G$1,'Data 2'!$A$1:$F$1,0),0)</f>
        <v>Product25</v>
      </c>
      <c r="H9" s="42" t="str">
        <f>VLOOKUP('Data 1'!$B9,'Data 2'!$A$1:$F$46,MATCH('Data 1'!H$1,'Data 2'!$A$1:$F$1,0),0)</f>
        <v>Category03</v>
      </c>
      <c r="I9" s="42" t="str">
        <f>VLOOKUP('Data 1'!$B9,'Data 2'!$A$1:$F$46,MATCH('Data 1'!I$1,'Data 2'!$A$1:$F$1,0),0)</f>
        <v>No.</v>
      </c>
      <c r="J9" s="42">
        <f>VLOOKUP('Data 1'!$B9,'Data 2'!$A$1:$F$46,MATCH('Data 1'!J$1,'Data 2'!$A$1:$F$1,0),0)</f>
        <v>7</v>
      </c>
      <c r="K9" s="42">
        <f>VLOOKUP('Data 1'!$B9,'Data 2'!$A$1:$F$46,MATCH('Data 1'!K$1,'Data 2'!$A$1:$F$1,0),0)</f>
        <v>8.33</v>
      </c>
      <c r="L9" s="40">
        <f>SUM('Data 1'!$J9*'Data 1'!$C9)</f>
        <v>28</v>
      </c>
      <c r="M9" s="40">
        <f>'Data 1'!$C9*'Data 1'!$K9</f>
        <v>33.32</v>
      </c>
      <c r="N9" s="40">
        <f>'Data 1'!$M9-'Data 1'!$L9</f>
        <v>5.32</v>
      </c>
      <c r="O9" s="37">
        <f>DAY('Data 1'!$A9)</f>
        <v>9</v>
      </c>
      <c r="P9" s="37" t="str">
        <f>TEXT('Data 1'!$A9,"mmm")</f>
        <v>Jan</v>
      </c>
      <c r="Q9" s="41">
        <f>YEAR('Data 1'!$A9)</f>
        <v>2021</v>
      </c>
    </row>
    <row r="10" spans="1:17" x14ac:dyDescent="0.3">
      <c r="A10" s="35">
        <v>44207</v>
      </c>
      <c r="B10" s="36" t="s">
        <v>27</v>
      </c>
      <c r="C10" s="37">
        <v>3</v>
      </c>
      <c r="D10" s="37" t="s">
        <v>21</v>
      </c>
      <c r="E10" s="37" t="s">
        <v>19</v>
      </c>
      <c r="F10" s="38">
        <v>0</v>
      </c>
      <c r="G10" s="39" t="str">
        <f>VLOOKUP('Data 1'!$B10,'Data 2'!$A$1:$F$46,MATCH('Data 1'!G$1,'Data 2'!$A$1:$F$1,0),0)</f>
        <v>Product37</v>
      </c>
      <c r="H10" s="39" t="str">
        <f>VLOOKUP('Data 1'!$B10,'Data 2'!$A$1:$F$46,MATCH('Data 1'!H$1,'Data 2'!$A$1:$F$1,0),0)</f>
        <v>Category05</v>
      </c>
      <c r="I10" s="39" t="str">
        <f>VLOOKUP('Data 1'!$B10,'Data 2'!$A$1:$F$46,MATCH('Data 1'!I$1,'Data 2'!$A$1:$F$1,0),0)</f>
        <v>Kg</v>
      </c>
      <c r="J10" s="39">
        <f>VLOOKUP('Data 1'!$B10,'Data 2'!$A$1:$F$46,MATCH('Data 1'!J$1,'Data 2'!$A$1:$F$1,0),0)</f>
        <v>67</v>
      </c>
      <c r="K10" s="39">
        <f>VLOOKUP('Data 1'!$B10,'Data 2'!$A$1:$F$46,MATCH('Data 1'!K$1,'Data 2'!$A$1:$F$1,0),0)</f>
        <v>85.76</v>
      </c>
      <c r="L10" s="40">
        <f>SUM('Data 1'!$J10*'Data 1'!$C10)</f>
        <v>201</v>
      </c>
      <c r="M10" s="40">
        <f>'Data 1'!$C10*'Data 1'!$K10</f>
        <v>257.28000000000003</v>
      </c>
      <c r="N10" s="40">
        <f>'Data 1'!$M10-'Data 1'!$L10</f>
        <v>56.28000000000003</v>
      </c>
      <c r="O10" s="37">
        <f>DAY('Data 1'!$A10)</f>
        <v>11</v>
      </c>
      <c r="P10" s="37" t="str">
        <f>TEXT('Data 1'!$A10,"mmm")</f>
        <v>Jan</v>
      </c>
      <c r="Q10" s="41">
        <f>YEAR('Data 1'!$A10)</f>
        <v>2021</v>
      </c>
    </row>
    <row r="11" spans="1:17" x14ac:dyDescent="0.3">
      <c r="A11" s="35">
        <v>44207</v>
      </c>
      <c r="B11" s="36" t="s">
        <v>28</v>
      </c>
      <c r="C11" s="37">
        <v>4</v>
      </c>
      <c r="D11" s="37" t="s">
        <v>16</v>
      </c>
      <c r="E11" s="37" t="s">
        <v>17</v>
      </c>
      <c r="F11" s="38">
        <v>0</v>
      </c>
      <c r="G11" s="42" t="str">
        <f>VLOOKUP('Data 1'!$B11,'Data 2'!$A$1:$F$46,MATCH('Data 1'!G$1,'Data 2'!$A$1:$F$1,0),0)</f>
        <v>Product14</v>
      </c>
      <c r="H11" s="42" t="str">
        <f>VLOOKUP('Data 1'!$B11,'Data 2'!$A$1:$F$46,MATCH('Data 1'!H$1,'Data 2'!$A$1:$F$1,0),0)</f>
        <v>Category02</v>
      </c>
      <c r="I11" s="42" t="str">
        <f>VLOOKUP('Data 1'!$B11,'Data 2'!$A$1:$F$46,MATCH('Data 1'!I$1,'Data 2'!$A$1:$F$1,0),0)</f>
        <v>Kg</v>
      </c>
      <c r="J11" s="42">
        <f>VLOOKUP('Data 1'!$B11,'Data 2'!$A$1:$F$46,MATCH('Data 1'!J$1,'Data 2'!$A$1:$F$1,0),0)</f>
        <v>112</v>
      </c>
      <c r="K11" s="42">
        <f>VLOOKUP('Data 1'!$B11,'Data 2'!$A$1:$F$46,MATCH('Data 1'!K$1,'Data 2'!$A$1:$F$1,0),0)</f>
        <v>146.72</v>
      </c>
      <c r="L11" s="40">
        <f>SUM('Data 1'!$J11*'Data 1'!$C11)</f>
        <v>448</v>
      </c>
      <c r="M11" s="40">
        <f>'Data 1'!$C11*'Data 1'!$K11</f>
        <v>586.88</v>
      </c>
      <c r="N11" s="40">
        <f>'Data 1'!$M11-'Data 1'!$L11</f>
        <v>138.88</v>
      </c>
      <c r="O11" s="37">
        <f>DAY('Data 1'!$A11)</f>
        <v>11</v>
      </c>
      <c r="P11" s="37" t="str">
        <f>TEXT('Data 1'!$A11,"mmm")</f>
        <v>Jan</v>
      </c>
      <c r="Q11" s="41">
        <f>YEAR('Data 1'!$A11)</f>
        <v>2021</v>
      </c>
    </row>
    <row r="12" spans="1:17" x14ac:dyDescent="0.3">
      <c r="A12" s="35">
        <v>44207</v>
      </c>
      <c r="B12" s="36" t="s">
        <v>29</v>
      </c>
      <c r="C12" s="37">
        <v>4</v>
      </c>
      <c r="D12" s="37" t="s">
        <v>21</v>
      </c>
      <c r="E12" s="37" t="s">
        <v>17</v>
      </c>
      <c r="F12" s="38">
        <v>0</v>
      </c>
      <c r="G12" s="39" t="str">
        <f>VLOOKUP('Data 1'!$B12,'Data 2'!$A$1:$F$46,MATCH('Data 1'!G$1,'Data 2'!$A$1:$F$1,0),0)</f>
        <v>Product42</v>
      </c>
      <c r="H12" s="39" t="str">
        <f>VLOOKUP('Data 1'!$B12,'Data 2'!$A$1:$F$46,MATCH('Data 1'!H$1,'Data 2'!$A$1:$F$1,0),0)</f>
        <v>Category05</v>
      </c>
      <c r="I12" s="39" t="str">
        <f>VLOOKUP('Data 1'!$B12,'Data 2'!$A$1:$F$46,MATCH('Data 1'!I$1,'Data 2'!$A$1:$F$1,0),0)</f>
        <v>Ft</v>
      </c>
      <c r="J12" s="39">
        <f>VLOOKUP('Data 1'!$B12,'Data 2'!$A$1:$F$46,MATCH('Data 1'!J$1,'Data 2'!$A$1:$F$1,0),0)</f>
        <v>120</v>
      </c>
      <c r="K12" s="39">
        <f>VLOOKUP('Data 1'!$B12,'Data 2'!$A$1:$F$46,MATCH('Data 1'!K$1,'Data 2'!$A$1:$F$1,0),0)</f>
        <v>162</v>
      </c>
      <c r="L12" s="40">
        <f>SUM('Data 1'!$J12*'Data 1'!$C12)</f>
        <v>480</v>
      </c>
      <c r="M12" s="40">
        <f>'Data 1'!$C12*'Data 1'!$K12</f>
        <v>648</v>
      </c>
      <c r="N12" s="40">
        <f>'Data 1'!$M12-'Data 1'!$L12</f>
        <v>168</v>
      </c>
      <c r="O12" s="37">
        <f>DAY('Data 1'!$A12)</f>
        <v>11</v>
      </c>
      <c r="P12" s="37" t="str">
        <f>TEXT('Data 1'!$A12,"mmm")</f>
        <v>Jan</v>
      </c>
      <c r="Q12" s="41">
        <f>YEAR('Data 1'!$A12)</f>
        <v>2021</v>
      </c>
    </row>
    <row r="13" spans="1:17" x14ac:dyDescent="0.3">
      <c r="A13" s="35">
        <v>44208</v>
      </c>
      <c r="B13" s="36" t="s">
        <v>29</v>
      </c>
      <c r="C13" s="37">
        <v>10</v>
      </c>
      <c r="D13" s="37" t="s">
        <v>17</v>
      </c>
      <c r="E13" s="37" t="s">
        <v>19</v>
      </c>
      <c r="F13" s="38">
        <v>0</v>
      </c>
      <c r="G13" s="42" t="str">
        <f>VLOOKUP('Data 1'!$B13,'Data 2'!$A$1:$F$46,MATCH('Data 1'!G$1,'Data 2'!$A$1:$F$1,0),0)</f>
        <v>Product42</v>
      </c>
      <c r="H13" s="42" t="str">
        <f>VLOOKUP('Data 1'!$B13,'Data 2'!$A$1:$F$46,MATCH('Data 1'!H$1,'Data 2'!$A$1:$F$1,0),0)</f>
        <v>Category05</v>
      </c>
      <c r="I13" s="42" t="str">
        <f>VLOOKUP('Data 1'!$B13,'Data 2'!$A$1:$F$46,MATCH('Data 1'!I$1,'Data 2'!$A$1:$F$1,0),0)</f>
        <v>Ft</v>
      </c>
      <c r="J13" s="42">
        <f>VLOOKUP('Data 1'!$B13,'Data 2'!$A$1:$F$46,MATCH('Data 1'!J$1,'Data 2'!$A$1:$F$1,0),0)</f>
        <v>120</v>
      </c>
      <c r="K13" s="42">
        <f>VLOOKUP('Data 1'!$B13,'Data 2'!$A$1:$F$46,MATCH('Data 1'!K$1,'Data 2'!$A$1:$F$1,0),0)</f>
        <v>162</v>
      </c>
      <c r="L13" s="40">
        <f>SUM('Data 1'!$J13*'Data 1'!$C13)</f>
        <v>1200</v>
      </c>
      <c r="M13" s="40">
        <f>'Data 1'!$C13*'Data 1'!$K13</f>
        <v>1620</v>
      </c>
      <c r="N13" s="40">
        <f>'Data 1'!$M13-'Data 1'!$L13</f>
        <v>420</v>
      </c>
      <c r="O13" s="37">
        <f>DAY('Data 1'!$A13)</f>
        <v>12</v>
      </c>
      <c r="P13" s="37" t="str">
        <f>TEXT('Data 1'!$A13,"mmm")</f>
        <v>Jan</v>
      </c>
      <c r="Q13" s="41">
        <f>YEAR('Data 1'!$A13)</f>
        <v>2021</v>
      </c>
    </row>
    <row r="14" spans="1:17" x14ac:dyDescent="0.3">
      <c r="A14" s="35">
        <v>44214</v>
      </c>
      <c r="B14" s="36" t="s">
        <v>30</v>
      </c>
      <c r="C14" s="37">
        <v>13</v>
      </c>
      <c r="D14" s="37" t="s">
        <v>21</v>
      </c>
      <c r="E14" s="37" t="s">
        <v>19</v>
      </c>
      <c r="F14" s="38">
        <v>0</v>
      </c>
      <c r="G14" s="39" t="str">
        <f>VLOOKUP('Data 1'!$B14,'Data 2'!$A$1:$F$46,MATCH('Data 1'!G$1,'Data 2'!$A$1:$F$1,0),0)</f>
        <v>Product44</v>
      </c>
      <c r="H14" s="39" t="str">
        <f>VLOOKUP('Data 1'!$B14,'Data 2'!$A$1:$F$46,MATCH('Data 1'!H$1,'Data 2'!$A$1:$F$1,0),0)</f>
        <v>Category05</v>
      </c>
      <c r="I14" s="39" t="str">
        <f>VLOOKUP('Data 1'!$B14,'Data 2'!$A$1:$F$46,MATCH('Data 1'!I$1,'Data 2'!$A$1:$F$1,0),0)</f>
        <v>Kg</v>
      </c>
      <c r="J14" s="39">
        <f>VLOOKUP('Data 1'!$B14,'Data 2'!$A$1:$F$46,MATCH('Data 1'!J$1,'Data 2'!$A$1:$F$1,0),0)</f>
        <v>76</v>
      </c>
      <c r="K14" s="39">
        <f>VLOOKUP('Data 1'!$B14,'Data 2'!$A$1:$F$46,MATCH('Data 1'!K$1,'Data 2'!$A$1:$F$1,0),0)</f>
        <v>82.08</v>
      </c>
      <c r="L14" s="40">
        <f>SUM('Data 1'!$J14*'Data 1'!$C14)</f>
        <v>988</v>
      </c>
      <c r="M14" s="40">
        <f>'Data 1'!$C14*'Data 1'!$K14</f>
        <v>1067.04</v>
      </c>
      <c r="N14" s="40">
        <f>'Data 1'!$M14-'Data 1'!$L14</f>
        <v>79.039999999999964</v>
      </c>
      <c r="O14" s="37">
        <f>DAY('Data 1'!$A14)</f>
        <v>18</v>
      </c>
      <c r="P14" s="37" t="str">
        <f>TEXT('Data 1'!$A14,"mmm")</f>
        <v>Jan</v>
      </c>
      <c r="Q14" s="41">
        <f>YEAR('Data 1'!$A14)</f>
        <v>2021</v>
      </c>
    </row>
    <row r="15" spans="1:17" x14ac:dyDescent="0.3">
      <c r="A15" s="35">
        <v>44214</v>
      </c>
      <c r="B15" s="36" t="s">
        <v>31</v>
      </c>
      <c r="C15" s="37">
        <v>3</v>
      </c>
      <c r="D15" s="37" t="s">
        <v>17</v>
      </c>
      <c r="E15" s="37" t="s">
        <v>19</v>
      </c>
      <c r="F15" s="38">
        <v>0</v>
      </c>
      <c r="G15" s="42" t="str">
        <f>VLOOKUP('Data 1'!$B15,'Data 2'!$A$1:$F$46,MATCH('Data 1'!G$1,'Data 2'!$A$1:$F$1,0),0)</f>
        <v>Product23</v>
      </c>
      <c r="H15" s="42" t="str">
        <f>VLOOKUP('Data 1'!$B15,'Data 2'!$A$1:$F$46,MATCH('Data 1'!H$1,'Data 2'!$A$1:$F$1,0),0)</f>
        <v>Category03</v>
      </c>
      <c r="I15" s="42" t="str">
        <f>VLOOKUP('Data 1'!$B15,'Data 2'!$A$1:$F$46,MATCH('Data 1'!I$1,'Data 2'!$A$1:$F$1,0),0)</f>
        <v>Ft</v>
      </c>
      <c r="J15" s="42">
        <f>VLOOKUP('Data 1'!$B15,'Data 2'!$A$1:$F$46,MATCH('Data 1'!J$1,'Data 2'!$A$1:$F$1,0),0)</f>
        <v>141</v>
      </c>
      <c r="K15" s="42">
        <f>VLOOKUP('Data 1'!$B15,'Data 2'!$A$1:$F$46,MATCH('Data 1'!K$1,'Data 2'!$A$1:$F$1,0),0)</f>
        <v>149.46</v>
      </c>
      <c r="L15" s="40">
        <f>SUM('Data 1'!$J15*'Data 1'!$C15)</f>
        <v>423</v>
      </c>
      <c r="M15" s="40">
        <f>'Data 1'!$C15*'Data 1'!$K15</f>
        <v>448.38</v>
      </c>
      <c r="N15" s="40">
        <f>'Data 1'!$M15-'Data 1'!$L15</f>
        <v>25.379999999999995</v>
      </c>
      <c r="O15" s="37">
        <f>DAY('Data 1'!$A15)</f>
        <v>18</v>
      </c>
      <c r="P15" s="37" t="str">
        <f>TEXT('Data 1'!$A15,"mmm")</f>
        <v>Jan</v>
      </c>
      <c r="Q15" s="41">
        <f>YEAR('Data 1'!$A15)</f>
        <v>2021</v>
      </c>
    </row>
    <row r="16" spans="1:17" x14ac:dyDescent="0.3">
      <c r="A16" s="35">
        <v>44215</v>
      </c>
      <c r="B16" s="36" t="s">
        <v>23</v>
      </c>
      <c r="C16" s="37">
        <v>6</v>
      </c>
      <c r="D16" s="37" t="s">
        <v>21</v>
      </c>
      <c r="E16" s="37" t="s">
        <v>19</v>
      </c>
      <c r="F16" s="38">
        <v>0</v>
      </c>
      <c r="G16" s="39" t="str">
        <f>VLOOKUP('Data 1'!$B16,'Data 2'!$A$1:$F$46,MATCH('Data 1'!G$1,'Data 2'!$A$1:$F$1,0),0)</f>
        <v>Product35</v>
      </c>
      <c r="H16" s="39" t="str">
        <f>VLOOKUP('Data 1'!$B16,'Data 2'!$A$1:$F$46,MATCH('Data 1'!H$1,'Data 2'!$A$1:$F$1,0),0)</f>
        <v>Category04</v>
      </c>
      <c r="I16" s="39" t="str">
        <f>VLOOKUP('Data 1'!$B16,'Data 2'!$A$1:$F$46,MATCH('Data 1'!I$1,'Data 2'!$A$1:$F$1,0),0)</f>
        <v>No.</v>
      </c>
      <c r="J16" s="39">
        <f>VLOOKUP('Data 1'!$B16,'Data 2'!$A$1:$F$46,MATCH('Data 1'!J$1,'Data 2'!$A$1:$F$1,0),0)</f>
        <v>5</v>
      </c>
      <c r="K16" s="39">
        <f>VLOOKUP('Data 1'!$B16,'Data 2'!$A$1:$F$46,MATCH('Data 1'!K$1,'Data 2'!$A$1:$F$1,0),0)</f>
        <v>6.7</v>
      </c>
      <c r="L16" s="40">
        <f>SUM('Data 1'!$J16*'Data 1'!$C16)</f>
        <v>30</v>
      </c>
      <c r="M16" s="40">
        <f>'Data 1'!$C16*'Data 1'!$K16</f>
        <v>40.200000000000003</v>
      </c>
      <c r="N16" s="40">
        <f>'Data 1'!$M16-'Data 1'!$L16</f>
        <v>10.200000000000003</v>
      </c>
      <c r="O16" s="37">
        <f>DAY('Data 1'!$A16)</f>
        <v>19</v>
      </c>
      <c r="P16" s="37" t="str">
        <f>TEXT('Data 1'!$A16,"mmm")</f>
        <v>Jan</v>
      </c>
      <c r="Q16" s="41">
        <f>YEAR('Data 1'!$A16)</f>
        <v>2021</v>
      </c>
    </row>
    <row r="17" spans="1:17" x14ac:dyDescent="0.3">
      <c r="A17" s="35">
        <v>44216</v>
      </c>
      <c r="B17" s="36" t="s">
        <v>32</v>
      </c>
      <c r="C17" s="37">
        <v>4</v>
      </c>
      <c r="D17" s="37" t="s">
        <v>21</v>
      </c>
      <c r="E17" s="37" t="s">
        <v>19</v>
      </c>
      <c r="F17" s="38">
        <v>0</v>
      </c>
      <c r="G17" s="42" t="str">
        <f>VLOOKUP('Data 1'!$B17,'Data 2'!$A$1:$F$46,MATCH('Data 1'!G$1,'Data 2'!$A$1:$F$1,0),0)</f>
        <v>Product34</v>
      </c>
      <c r="H17" s="42" t="str">
        <f>VLOOKUP('Data 1'!$B17,'Data 2'!$A$1:$F$46,MATCH('Data 1'!H$1,'Data 2'!$A$1:$F$1,0),0)</f>
        <v>Category04</v>
      </c>
      <c r="I17" s="42" t="str">
        <f>VLOOKUP('Data 1'!$B17,'Data 2'!$A$1:$F$46,MATCH('Data 1'!I$1,'Data 2'!$A$1:$F$1,0),0)</f>
        <v>Lt</v>
      </c>
      <c r="J17" s="42">
        <f>VLOOKUP('Data 1'!$B17,'Data 2'!$A$1:$F$46,MATCH('Data 1'!J$1,'Data 2'!$A$1:$F$1,0),0)</f>
        <v>55</v>
      </c>
      <c r="K17" s="42">
        <f>VLOOKUP('Data 1'!$B17,'Data 2'!$A$1:$F$46,MATCH('Data 1'!K$1,'Data 2'!$A$1:$F$1,0),0)</f>
        <v>58.3</v>
      </c>
      <c r="L17" s="40">
        <f>SUM('Data 1'!$J17*'Data 1'!$C17)</f>
        <v>220</v>
      </c>
      <c r="M17" s="40">
        <f>'Data 1'!$C17*'Data 1'!$K17</f>
        <v>233.2</v>
      </c>
      <c r="N17" s="40">
        <f>'Data 1'!$M17-'Data 1'!$L17</f>
        <v>13.199999999999989</v>
      </c>
      <c r="O17" s="37">
        <f>DAY('Data 1'!$A17)</f>
        <v>20</v>
      </c>
      <c r="P17" s="37" t="str">
        <f>TEXT('Data 1'!$A17,"mmm")</f>
        <v>Jan</v>
      </c>
      <c r="Q17" s="41">
        <f>YEAR('Data 1'!$A17)</f>
        <v>2021</v>
      </c>
    </row>
    <row r="18" spans="1:17" x14ac:dyDescent="0.3">
      <c r="A18" s="35">
        <v>44216</v>
      </c>
      <c r="B18" s="36" t="s">
        <v>33</v>
      </c>
      <c r="C18" s="37">
        <v>4</v>
      </c>
      <c r="D18" s="37" t="s">
        <v>21</v>
      </c>
      <c r="E18" s="37" t="s">
        <v>19</v>
      </c>
      <c r="F18" s="38">
        <v>0</v>
      </c>
      <c r="G18" s="39" t="str">
        <f>VLOOKUP('Data 1'!$B18,'Data 2'!$A$1:$F$46,MATCH('Data 1'!G$1,'Data 2'!$A$1:$F$1,0),0)</f>
        <v>Product20</v>
      </c>
      <c r="H18" s="39" t="str">
        <f>VLOOKUP('Data 1'!$B18,'Data 2'!$A$1:$F$46,MATCH('Data 1'!H$1,'Data 2'!$A$1:$F$1,0),0)</f>
        <v>Category03</v>
      </c>
      <c r="I18" s="39" t="str">
        <f>VLOOKUP('Data 1'!$B18,'Data 2'!$A$1:$F$46,MATCH('Data 1'!I$1,'Data 2'!$A$1:$F$1,0),0)</f>
        <v>Lt</v>
      </c>
      <c r="J18" s="39">
        <f>VLOOKUP('Data 1'!$B18,'Data 2'!$A$1:$F$46,MATCH('Data 1'!J$1,'Data 2'!$A$1:$F$1,0),0)</f>
        <v>61</v>
      </c>
      <c r="K18" s="39">
        <f>VLOOKUP('Data 1'!$B18,'Data 2'!$A$1:$F$46,MATCH('Data 1'!K$1,'Data 2'!$A$1:$F$1,0),0)</f>
        <v>76.25</v>
      </c>
      <c r="L18" s="40">
        <f>SUM('Data 1'!$J18*'Data 1'!$C18)</f>
        <v>244</v>
      </c>
      <c r="M18" s="40">
        <f>'Data 1'!$C18*'Data 1'!$K18</f>
        <v>305</v>
      </c>
      <c r="N18" s="40">
        <f>'Data 1'!$M18-'Data 1'!$L18</f>
        <v>61</v>
      </c>
      <c r="O18" s="37">
        <f>DAY('Data 1'!$A18)</f>
        <v>20</v>
      </c>
      <c r="P18" s="37" t="str">
        <f>TEXT('Data 1'!$A18,"mmm")</f>
        <v>Jan</v>
      </c>
      <c r="Q18" s="41">
        <f>YEAR('Data 1'!$A18)</f>
        <v>2021</v>
      </c>
    </row>
    <row r="19" spans="1:17" x14ac:dyDescent="0.3">
      <c r="A19" s="35">
        <v>44217</v>
      </c>
      <c r="B19" s="36" t="s">
        <v>22</v>
      </c>
      <c r="C19" s="37">
        <v>15</v>
      </c>
      <c r="D19" s="37" t="s">
        <v>16</v>
      </c>
      <c r="E19" s="37" t="s">
        <v>19</v>
      </c>
      <c r="F19" s="38">
        <v>0</v>
      </c>
      <c r="G19" s="42" t="str">
        <f>VLOOKUP('Data 1'!$B19,'Data 2'!$A$1:$F$46,MATCH('Data 1'!G$1,'Data 2'!$A$1:$F$1,0),0)</f>
        <v>Product04</v>
      </c>
      <c r="H19" s="42" t="str">
        <f>VLOOKUP('Data 1'!$B19,'Data 2'!$A$1:$F$46,MATCH('Data 1'!H$1,'Data 2'!$A$1:$F$1,0),0)</f>
        <v>Category01</v>
      </c>
      <c r="I19" s="42" t="str">
        <f>VLOOKUP('Data 1'!$B19,'Data 2'!$A$1:$F$46,MATCH('Data 1'!I$1,'Data 2'!$A$1:$F$1,0),0)</f>
        <v>Lt</v>
      </c>
      <c r="J19" s="42">
        <f>VLOOKUP('Data 1'!$B19,'Data 2'!$A$1:$F$46,MATCH('Data 1'!J$1,'Data 2'!$A$1:$F$1,0),0)</f>
        <v>44</v>
      </c>
      <c r="K19" s="42">
        <f>VLOOKUP('Data 1'!$B19,'Data 2'!$A$1:$F$46,MATCH('Data 1'!K$1,'Data 2'!$A$1:$F$1,0),0)</f>
        <v>48.84</v>
      </c>
      <c r="L19" s="40">
        <f>SUM('Data 1'!$J19*'Data 1'!$C19)</f>
        <v>660</v>
      </c>
      <c r="M19" s="40">
        <f>'Data 1'!$C19*'Data 1'!$K19</f>
        <v>732.6</v>
      </c>
      <c r="N19" s="40">
        <f>'Data 1'!$M19-'Data 1'!$L19</f>
        <v>72.600000000000023</v>
      </c>
      <c r="O19" s="37">
        <f>DAY('Data 1'!$A19)</f>
        <v>21</v>
      </c>
      <c r="P19" s="37" t="str">
        <f>TEXT('Data 1'!$A19,"mmm")</f>
        <v>Jan</v>
      </c>
      <c r="Q19" s="41">
        <f>YEAR('Data 1'!$A19)</f>
        <v>2021</v>
      </c>
    </row>
    <row r="20" spans="1:17" x14ac:dyDescent="0.3">
      <c r="A20" s="35">
        <v>44217</v>
      </c>
      <c r="B20" s="36" t="s">
        <v>25</v>
      </c>
      <c r="C20" s="37">
        <v>9</v>
      </c>
      <c r="D20" s="37" t="s">
        <v>21</v>
      </c>
      <c r="E20" s="37" t="s">
        <v>17</v>
      </c>
      <c r="F20" s="38">
        <v>0</v>
      </c>
      <c r="G20" s="39" t="str">
        <f>VLOOKUP('Data 1'!$B20,'Data 2'!$A$1:$F$46,MATCH('Data 1'!G$1,'Data 2'!$A$1:$F$1,0),0)</f>
        <v>Product03</v>
      </c>
      <c r="H20" s="39" t="str">
        <f>VLOOKUP('Data 1'!$B20,'Data 2'!$A$1:$F$46,MATCH('Data 1'!H$1,'Data 2'!$A$1:$F$1,0),0)</f>
        <v>Category01</v>
      </c>
      <c r="I20" s="39" t="str">
        <f>VLOOKUP('Data 1'!$B20,'Data 2'!$A$1:$F$46,MATCH('Data 1'!I$1,'Data 2'!$A$1:$F$1,0),0)</f>
        <v>Kg</v>
      </c>
      <c r="J20" s="39">
        <f>VLOOKUP('Data 1'!$B20,'Data 2'!$A$1:$F$46,MATCH('Data 1'!J$1,'Data 2'!$A$1:$F$1,0),0)</f>
        <v>71</v>
      </c>
      <c r="K20" s="39">
        <f>VLOOKUP('Data 1'!$B20,'Data 2'!$A$1:$F$46,MATCH('Data 1'!K$1,'Data 2'!$A$1:$F$1,0),0)</f>
        <v>80.94</v>
      </c>
      <c r="L20" s="40">
        <f>SUM('Data 1'!$J20*'Data 1'!$C20)</f>
        <v>639</v>
      </c>
      <c r="M20" s="40">
        <f>'Data 1'!$C20*'Data 1'!$K20</f>
        <v>728.46</v>
      </c>
      <c r="N20" s="40">
        <f>'Data 1'!$M20-'Data 1'!$L20</f>
        <v>89.460000000000036</v>
      </c>
      <c r="O20" s="37">
        <f>DAY('Data 1'!$A20)</f>
        <v>21</v>
      </c>
      <c r="P20" s="37" t="str">
        <f>TEXT('Data 1'!$A20,"mmm")</f>
        <v>Jan</v>
      </c>
      <c r="Q20" s="41">
        <f>YEAR('Data 1'!$A20)</f>
        <v>2021</v>
      </c>
    </row>
    <row r="21" spans="1:17" x14ac:dyDescent="0.3">
      <c r="A21" s="35">
        <v>44217</v>
      </c>
      <c r="B21" s="36" t="s">
        <v>29</v>
      </c>
      <c r="C21" s="37">
        <v>6</v>
      </c>
      <c r="D21" s="37" t="s">
        <v>21</v>
      </c>
      <c r="E21" s="37" t="s">
        <v>17</v>
      </c>
      <c r="F21" s="38">
        <v>0</v>
      </c>
      <c r="G21" s="42" t="str">
        <f>VLOOKUP('Data 1'!$B21,'Data 2'!$A$1:$F$46,MATCH('Data 1'!G$1,'Data 2'!$A$1:$F$1,0),0)</f>
        <v>Product42</v>
      </c>
      <c r="H21" s="42" t="str">
        <f>VLOOKUP('Data 1'!$B21,'Data 2'!$A$1:$F$46,MATCH('Data 1'!H$1,'Data 2'!$A$1:$F$1,0),0)</f>
        <v>Category05</v>
      </c>
      <c r="I21" s="42" t="str">
        <f>VLOOKUP('Data 1'!$B21,'Data 2'!$A$1:$F$46,MATCH('Data 1'!I$1,'Data 2'!$A$1:$F$1,0),0)</f>
        <v>Ft</v>
      </c>
      <c r="J21" s="42">
        <f>VLOOKUP('Data 1'!$B21,'Data 2'!$A$1:$F$46,MATCH('Data 1'!J$1,'Data 2'!$A$1:$F$1,0),0)</f>
        <v>120</v>
      </c>
      <c r="K21" s="42">
        <f>VLOOKUP('Data 1'!$B21,'Data 2'!$A$1:$F$46,MATCH('Data 1'!K$1,'Data 2'!$A$1:$F$1,0),0)</f>
        <v>162</v>
      </c>
      <c r="L21" s="40">
        <f>SUM('Data 1'!$J21*'Data 1'!$C21)</f>
        <v>720</v>
      </c>
      <c r="M21" s="40">
        <f>'Data 1'!$C21*'Data 1'!$K21</f>
        <v>972</v>
      </c>
      <c r="N21" s="40">
        <f>'Data 1'!$M21-'Data 1'!$L21</f>
        <v>252</v>
      </c>
      <c r="O21" s="37">
        <f>DAY('Data 1'!$A21)</f>
        <v>21</v>
      </c>
      <c r="P21" s="37" t="str">
        <f>TEXT('Data 1'!$A21,"mmm")</f>
        <v>Jan</v>
      </c>
      <c r="Q21" s="41">
        <f>YEAR('Data 1'!$A21)</f>
        <v>2021</v>
      </c>
    </row>
    <row r="22" spans="1:17" x14ac:dyDescent="0.3">
      <c r="A22" s="35">
        <v>44221</v>
      </c>
      <c r="B22" s="36" t="s">
        <v>32</v>
      </c>
      <c r="C22" s="37">
        <v>6</v>
      </c>
      <c r="D22" s="37" t="s">
        <v>21</v>
      </c>
      <c r="E22" s="37" t="s">
        <v>19</v>
      </c>
      <c r="F22" s="38">
        <v>0</v>
      </c>
      <c r="G22" s="39" t="str">
        <f>VLOOKUP('Data 1'!$B22,'Data 2'!$A$1:$F$46,MATCH('Data 1'!G$1,'Data 2'!$A$1:$F$1,0),0)</f>
        <v>Product34</v>
      </c>
      <c r="H22" s="39" t="str">
        <f>VLOOKUP('Data 1'!$B22,'Data 2'!$A$1:$F$46,MATCH('Data 1'!H$1,'Data 2'!$A$1:$F$1,0),0)</f>
        <v>Category04</v>
      </c>
      <c r="I22" s="39" t="str">
        <f>VLOOKUP('Data 1'!$B22,'Data 2'!$A$1:$F$46,MATCH('Data 1'!I$1,'Data 2'!$A$1:$F$1,0),0)</f>
        <v>Lt</v>
      </c>
      <c r="J22" s="39">
        <f>VLOOKUP('Data 1'!$B22,'Data 2'!$A$1:$F$46,MATCH('Data 1'!J$1,'Data 2'!$A$1:$F$1,0),0)</f>
        <v>55</v>
      </c>
      <c r="K22" s="39">
        <f>VLOOKUP('Data 1'!$B22,'Data 2'!$A$1:$F$46,MATCH('Data 1'!K$1,'Data 2'!$A$1:$F$1,0),0)</f>
        <v>58.3</v>
      </c>
      <c r="L22" s="40">
        <f>SUM('Data 1'!$J22*'Data 1'!$C22)</f>
        <v>330</v>
      </c>
      <c r="M22" s="40">
        <f>'Data 1'!$C22*'Data 1'!$K22</f>
        <v>349.79999999999995</v>
      </c>
      <c r="N22" s="40">
        <f>'Data 1'!$M22-'Data 1'!$L22</f>
        <v>19.799999999999955</v>
      </c>
      <c r="O22" s="37">
        <f>DAY('Data 1'!$A22)</f>
        <v>25</v>
      </c>
      <c r="P22" s="37" t="str">
        <f>TEXT('Data 1'!$A22,"mmm")</f>
        <v>Jan</v>
      </c>
      <c r="Q22" s="41">
        <f>YEAR('Data 1'!$A22)</f>
        <v>2021</v>
      </c>
    </row>
    <row r="23" spans="1:17" x14ac:dyDescent="0.3">
      <c r="A23" s="35">
        <v>44221</v>
      </c>
      <c r="B23" s="36" t="s">
        <v>23</v>
      </c>
      <c r="C23" s="37">
        <v>7</v>
      </c>
      <c r="D23" s="37" t="s">
        <v>21</v>
      </c>
      <c r="E23" s="37" t="s">
        <v>17</v>
      </c>
      <c r="F23" s="38">
        <v>0</v>
      </c>
      <c r="G23" s="42" t="str">
        <f>VLOOKUP('Data 1'!$B23,'Data 2'!$A$1:$F$46,MATCH('Data 1'!G$1,'Data 2'!$A$1:$F$1,0),0)</f>
        <v>Product35</v>
      </c>
      <c r="H23" s="42" t="str">
        <f>VLOOKUP('Data 1'!$B23,'Data 2'!$A$1:$F$46,MATCH('Data 1'!H$1,'Data 2'!$A$1:$F$1,0),0)</f>
        <v>Category04</v>
      </c>
      <c r="I23" s="42" t="str">
        <f>VLOOKUP('Data 1'!$B23,'Data 2'!$A$1:$F$46,MATCH('Data 1'!I$1,'Data 2'!$A$1:$F$1,0),0)</f>
        <v>No.</v>
      </c>
      <c r="J23" s="42">
        <f>VLOOKUP('Data 1'!$B23,'Data 2'!$A$1:$F$46,MATCH('Data 1'!J$1,'Data 2'!$A$1:$F$1,0),0)</f>
        <v>5</v>
      </c>
      <c r="K23" s="42">
        <f>VLOOKUP('Data 1'!$B23,'Data 2'!$A$1:$F$46,MATCH('Data 1'!K$1,'Data 2'!$A$1:$F$1,0),0)</f>
        <v>6.7</v>
      </c>
      <c r="L23" s="40">
        <f>SUM('Data 1'!$J23*'Data 1'!$C23)</f>
        <v>35</v>
      </c>
      <c r="M23" s="40">
        <f>'Data 1'!$C23*'Data 1'!$K23</f>
        <v>46.9</v>
      </c>
      <c r="N23" s="40">
        <f>'Data 1'!$M23-'Data 1'!$L23</f>
        <v>11.899999999999999</v>
      </c>
      <c r="O23" s="37">
        <f>DAY('Data 1'!$A23)</f>
        <v>25</v>
      </c>
      <c r="P23" s="37" t="str">
        <f>TEXT('Data 1'!$A23,"mmm")</f>
        <v>Jan</v>
      </c>
      <c r="Q23" s="41">
        <f>YEAR('Data 1'!$A23)</f>
        <v>2021</v>
      </c>
    </row>
    <row r="24" spans="1:17" x14ac:dyDescent="0.3">
      <c r="A24" s="35">
        <v>44221</v>
      </c>
      <c r="B24" s="36" t="s">
        <v>24</v>
      </c>
      <c r="C24" s="37">
        <v>14</v>
      </c>
      <c r="D24" s="37" t="s">
        <v>21</v>
      </c>
      <c r="E24" s="37" t="s">
        <v>17</v>
      </c>
      <c r="F24" s="38">
        <v>0</v>
      </c>
      <c r="G24" s="39" t="str">
        <f>VLOOKUP('Data 1'!$B24,'Data 2'!$A$1:$F$46,MATCH('Data 1'!G$1,'Data 2'!$A$1:$F$1,0),0)</f>
        <v>Product31</v>
      </c>
      <c r="H24" s="39" t="str">
        <f>VLOOKUP('Data 1'!$B24,'Data 2'!$A$1:$F$46,MATCH('Data 1'!H$1,'Data 2'!$A$1:$F$1,0),0)</f>
        <v>Category04</v>
      </c>
      <c r="I24" s="39" t="str">
        <f>VLOOKUP('Data 1'!$B24,'Data 2'!$A$1:$F$46,MATCH('Data 1'!I$1,'Data 2'!$A$1:$F$1,0),0)</f>
        <v>Kg</v>
      </c>
      <c r="J24" s="39">
        <f>VLOOKUP('Data 1'!$B24,'Data 2'!$A$1:$F$46,MATCH('Data 1'!J$1,'Data 2'!$A$1:$F$1,0),0)</f>
        <v>93</v>
      </c>
      <c r="K24" s="39">
        <f>VLOOKUP('Data 1'!$B24,'Data 2'!$A$1:$F$46,MATCH('Data 1'!K$1,'Data 2'!$A$1:$F$1,0),0)</f>
        <v>104.16</v>
      </c>
      <c r="L24" s="40">
        <f>SUM('Data 1'!$J24*'Data 1'!$C24)</f>
        <v>1302</v>
      </c>
      <c r="M24" s="40">
        <f>'Data 1'!$C24*'Data 1'!$K24</f>
        <v>1458.24</v>
      </c>
      <c r="N24" s="40">
        <f>'Data 1'!$M24-'Data 1'!$L24</f>
        <v>156.24</v>
      </c>
      <c r="O24" s="37">
        <f>DAY('Data 1'!$A24)</f>
        <v>25</v>
      </c>
      <c r="P24" s="37" t="str">
        <f>TEXT('Data 1'!$A24,"mmm")</f>
        <v>Jan</v>
      </c>
      <c r="Q24" s="41">
        <f>YEAR('Data 1'!$A24)</f>
        <v>2021</v>
      </c>
    </row>
    <row r="25" spans="1:17" x14ac:dyDescent="0.3">
      <c r="A25" s="35">
        <v>44222</v>
      </c>
      <c r="B25" s="36" t="s">
        <v>30</v>
      </c>
      <c r="C25" s="37">
        <v>9</v>
      </c>
      <c r="D25" s="37" t="s">
        <v>16</v>
      </c>
      <c r="E25" s="37" t="s">
        <v>19</v>
      </c>
      <c r="F25" s="38">
        <v>0</v>
      </c>
      <c r="G25" s="42" t="str">
        <f>VLOOKUP('Data 1'!$B25,'Data 2'!$A$1:$F$46,MATCH('Data 1'!G$1,'Data 2'!$A$1:$F$1,0),0)</f>
        <v>Product44</v>
      </c>
      <c r="H25" s="42" t="str">
        <f>VLOOKUP('Data 1'!$B25,'Data 2'!$A$1:$F$46,MATCH('Data 1'!H$1,'Data 2'!$A$1:$F$1,0),0)</f>
        <v>Category05</v>
      </c>
      <c r="I25" s="42" t="str">
        <f>VLOOKUP('Data 1'!$B25,'Data 2'!$A$1:$F$46,MATCH('Data 1'!I$1,'Data 2'!$A$1:$F$1,0),0)</f>
        <v>Kg</v>
      </c>
      <c r="J25" s="42">
        <f>VLOOKUP('Data 1'!$B25,'Data 2'!$A$1:$F$46,MATCH('Data 1'!J$1,'Data 2'!$A$1:$F$1,0),0)</f>
        <v>76</v>
      </c>
      <c r="K25" s="42">
        <f>VLOOKUP('Data 1'!$B25,'Data 2'!$A$1:$F$46,MATCH('Data 1'!K$1,'Data 2'!$A$1:$F$1,0),0)</f>
        <v>82.08</v>
      </c>
      <c r="L25" s="40">
        <f>SUM('Data 1'!$J25*'Data 1'!$C25)</f>
        <v>684</v>
      </c>
      <c r="M25" s="40">
        <f>'Data 1'!$C25*'Data 1'!$K25</f>
        <v>738.72</v>
      </c>
      <c r="N25" s="40">
        <f>'Data 1'!$M25-'Data 1'!$L25</f>
        <v>54.720000000000027</v>
      </c>
      <c r="O25" s="37">
        <f>DAY('Data 1'!$A25)</f>
        <v>26</v>
      </c>
      <c r="P25" s="37" t="str">
        <f>TEXT('Data 1'!$A25,"mmm")</f>
        <v>Jan</v>
      </c>
      <c r="Q25" s="41">
        <f>YEAR('Data 1'!$A25)</f>
        <v>2021</v>
      </c>
    </row>
    <row r="26" spans="1:17" x14ac:dyDescent="0.3">
      <c r="A26" s="35">
        <v>44222</v>
      </c>
      <c r="B26" s="36" t="s">
        <v>34</v>
      </c>
      <c r="C26" s="37">
        <v>7</v>
      </c>
      <c r="D26" s="37" t="s">
        <v>17</v>
      </c>
      <c r="E26" s="37" t="s">
        <v>19</v>
      </c>
      <c r="F26" s="38">
        <v>0</v>
      </c>
      <c r="G26" s="39" t="str">
        <f>VLOOKUP('Data 1'!$B26,'Data 2'!$A$1:$F$46,MATCH('Data 1'!G$1,'Data 2'!$A$1:$F$1,0),0)</f>
        <v>Product06</v>
      </c>
      <c r="H26" s="39" t="str">
        <f>VLOOKUP('Data 1'!$B26,'Data 2'!$A$1:$F$46,MATCH('Data 1'!H$1,'Data 2'!$A$1:$F$1,0),0)</f>
        <v>Category01</v>
      </c>
      <c r="I26" s="39" t="str">
        <f>VLOOKUP('Data 1'!$B26,'Data 2'!$A$1:$F$46,MATCH('Data 1'!I$1,'Data 2'!$A$1:$F$1,0),0)</f>
        <v>Kg</v>
      </c>
      <c r="J26" s="39">
        <f>VLOOKUP('Data 1'!$B26,'Data 2'!$A$1:$F$46,MATCH('Data 1'!J$1,'Data 2'!$A$1:$F$1,0),0)</f>
        <v>75</v>
      </c>
      <c r="K26" s="39">
        <f>VLOOKUP('Data 1'!$B26,'Data 2'!$A$1:$F$46,MATCH('Data 1'!K$1,'Data 2'!$A$1:$F$1,0),0)</f>
        <v>85.5</v>
      </c>
      <c r="L26" s="40">
        <f>SUM('Data 1'!$J26*'Data 1'!$C26)</f>
        <v>525</v>
      </c>
      <c r="M26" s="40">
        <f>'Data 1'!$C26*'Data 1'!$K26</f>
        <v>598.5</v>
      </c>
      <c r="N26" s="40">
        <f>'Data 1'!$M26-'Data 1'!$L26</f>
        <v>73.5</v>
      </c>
      <c r="O26" s="37">
        <f>DAY('Data 1'!$A26)</f>
        <v>26</v>
      </c>
      <c r="P26" s="37" t="str">
        <f>TEXT('Data 1'!$A26,"mmm")</f>
        <v>Jan</v>
      </c>
      <c r="Q26" s="41">
        <f>YEAR('Data 1'!$A26)</f>
        <v>2021</v>
      </c>
    </row>
    <row r="27" spans="1:17" x14ac:dyDescent="0.3">
      <c r="A27" s="35">
        <v>44222</v>
      </c>
      <c r="B27" s="36" t="s">
        <v>35</v>
      </c>
      <c r="C27" s="37">
        <v>7</v>
      </c>
      <c r="D27" s="37" t="s">
        <v>17</v>
      </c>
      <c r="E27" s="37" t="s">
        <v>17</v>
      </c>
      <c r="F27" s="38">
        <v>0</v>
      </c>
      <c r="G27" s="42" t="str">
        <f>VLOOKUP('Data 1'!$B27,'Data 2'!$A$1:$F$46,MATCH('Data 1'!G$1,'Data 2'!$A$1:$F$1,0),0)</f>
        <v>Product01</v>
      </c>
      <c r="H27" s="42" t="str">
        <f>VLOOKUP('Data 1'!$B27,'Data 2'!$A$1:$F$46,MATCH('Data 1'!H$1,'Data 2'!$A$1:$F$1,0),0)</f>
        <v>Category01</v>
      </c>
      <c r="I27" s="42" t="str">
        <f>VLOOKUP('Data 1'!$B27,'Data 2'!$A$1:$F$46,MATCH('Data 1'!I$1,'Data 2'!$A$1:$F$1,0),0)</f>
        <v>Kg</v>
      </c>
      <c r="J27" s="42">
        <f>VLOOKUP('Data 1'!$B27,'Data 2'!$A$1:$F$46,MATCH('Data 1'!J$1,'Data 2'!$A$1:$F$1,0),0)</f>
        <v>98</v>
      </c>
      <c r="K27" s="42">
        <f>VLOOKUP('Data 1'!$B27,'Data 2'!$A$1:$F$46,MATCH('Data 1'!K$1,'Data 2'!$A$1:$F$1,0),0)</f>
        <v>103.88</v>
      </c>
      <c r="L27" s="40">
        <f>SUM('Data 1'!$J27*'Data 1'!$C27)</f>
        <v>686</v>
      </c>
      <c r="M27" s="40">
        <f>'Data 1'!$C27*'Data 1'!$K27</f>
        <v>727.16</v>
      </c>
      <c r="N27" s="40">
        <f>'Data 1'!$M27-'Data 1'!$L27</f>
        <v>41.159999999999968</v>
      </c>
      <c r="O27" s="37">
        <f>DAY('Data 1'!$A27)</f>
        <v>26</v>
      </c>
      <c r="P27" s="37" t="str">
        <f>TEXT('Data 1'!$A27,"mmm")</f>
        <v>Jan</v>
      </c>
      <c r="Q27" s="41">
        <f>YEAR('Data 1'!$A27)</f>
        <v>2021</v>
      </c>
    </row>
    <row r="28" spans="1:17" x14ac:dyDescent="0.3">
      <c r="A28" s="35">
        <v>44223</v>
      </c>
      <c r="B28" s="36" t="s">
        <v>36</v>
      </c>
      <c r="C28" s="37">
        <v>7</v>
      </c>
      <c r="D28" s="37" t="s">
        <v>16</v>
      </c>
      <c r="E28" s="37" t="s">
        <v>17</v>
      </c>
      <c r="F28" s="38">
        <v>0</v>
      </c>
      <c r="G28" s="39" t="str">
        <f>VLOOKUP('Data 1'!$B28,'Data 2'!$A$1:$F$46,MATCH('Data 1'!G$1,'Data 2'!$A$1:$F$1,0),0)</f>
        <v>Product40</v>
      </c>
      <c r="H28" s="39" t="str">
        <f>VLOOKUP('Data 1'!$B28,'Data 2'!$A$1:$F$46,MATCH('Data 1'!H$1,'Data 2'!$A$1:$F$1,0),0)</f>
        <v>Category05</v>
      </c>
      <c r="I28" s="39" t="str">
        <f>VLOOKUP('Data 1'!$B28,'Data 2'!$A$1:$F$46,MATCH('Data 1'!I$1,'Data 2'!$A$1:$F$1,0),0)</f>
        <v>Kg</v>
      </c>
      <c r="J28" s="39">
        <f>VLOOKUP('Data 1'!$B28,'Data 2'!$A$1:$F$46,MATCH('Data 1'!J$1,'Data 2'!$A$1:$F$1,0),0)</f>
        <v>90</v>
      </c>
      <c r="K28" s="39">
        <f>VLOOKUP('Data 1'!$B28,'Data 2'!$A$1:$F$46,MATCH('Data 1'!K$1,'Data 2'!$A$1:$F$1,0),0)</f>
        <v>115.2</v>
      </c>
      <c r="L28" s="40">
        <f>SUM('Data 1'!$J28*'Data 1'!$C28)</f>
        <v>630</v>
      </c>
      <c r="M28" s="40">
        <f>'Data 1'!$C28*'Data 1'!$K28</f>
        <v>806.4</v>
      </c>
      <c r="N28" s="40">
        <f>'Data 1'!$M28-'Data 1'!$L28</f>
        <v>176.39999999999998</v>
      </c>
      <c r="O28" s="37">
        <f>DAY('Data 1'!$A28)</f>
        <v>27</v>
      </c>
      <c r="P28" s="37" t="str">
        <f>TEXT('Data 1'!$A28,"mmm")</f>
        <v>Jan</v>
      </c>
      <c r="Q28" s="41">
        <f>YEAR('Data 1'!$A28)</f>
        <v>2021</v>
      </c>
    </row>
    <row r="29" spans="1:17" x14ac:dyDescent="0.3">
      <c r="A29" s="35">
        <v>44223</v>
      </c>
      <c r="B29" s="36" t="s">
        <v>37</v>
      </c>
      <c r="C29" s="37">
        <v>3</v>
      </c>
      <c r="D29" s="37" t="s">
        <v>16</v>
      </c>
      <c r="E29" s="37" t="s">
        <v>17</v>
      </c>
      <c r="F29" s="38">
        <v>0</v>
      </c>
      <c r="G29" s="42" t="str">
        <f>VLOOKUP('Data 1'!$B29,'Data 2'!$A$1:$F$46,MATCH('Data 1'!G$1,'Data 2'!$A$1:$F$1,0),0)</f>
        <v>Product32</v>
      </c>
      <c r="H29" s="42" t="str">
        <f>VLOOKUP('Data 1'!$B29,'Data 2'!$A$1:$F$46,MATCH('Data 1'!H$1,'Data 2'!$A$1:$F$1,0),0)</f>
        <v>Category04</v>
      </c>
      <c r="I29" s="42" t="str">
        <f>VLOOKUP('Data 1'!$B29,'Data 2'!$A$1:$F$46,MATCH('Data 1'!I$1,'Data 2'!$A$1:$F$1,0),0)</f>
        <v>Kg</v>
      </c>
      <c r="J29" s="42">
        <f>VLOOKUP('Data 1'!$B29,'Data 2'!$A$1:$F$46,MATCH('Data 1'!J$1,'Data 2'!$A$1:$F$1,0),0)</f>
        <v>89</v>
      </c>
      <c r="K29" s="42">
        <f>VLOOKUP('Data 1'!$B29,'Data 2'!$A$1:$F$46,MATCH('Data 1'!K$1,'Data 2'!$A$1:$F$1,0),0)</f>
        <v>117.48</v>
      </c>
      <c r="L29" s="40">
        <f>SUM('Data 1'!$J29*'Data 1'!$C29)</f>
        <v>267</v>
      </c>
      <c r="M29" s="40">
        <f>'Data 1'!$C29*'Data 1'!$K29</f>
        <v>352.44</v>
      </c>
      <c r="N29" s="40">
        <f>'Data 1'!$M29-'Data 1'!$L29</f>
        <v>85.44</v>
      </c>
      <c r="O29" s="37">
        <f>DAY('Data 1'!$A29)</f>
        <v>27</v>
      </c>
      <c r="P29" s="37" t="str">
        <f>TEXT('Data 1'!$A29,"mmm")</f>
        <v>Jan</v>
      </c>
      <c r="Q29" s="41">
        <f>YEAR('Data 1'!$A29)</f>
        <v>2021</v>
      </c>
    </row>
    <row r="30" spans="1:17" x14ac:dyDescent="0.3">
      <c r="A30" s="35">
        <v>44224</v>
      </c>
      <c r="B30" s="36" t="s">
        <v>22</v>
      </c>
      <c r="C30" s="37">
        <v>10</v>
      </c>
      <c r="D30" s="37" t="s">
        <v>17</v>
      </c>
      <c r="E30" s="37" t="s">
        <v>19</v>
      </c>
      <c r="F30" s="38">
        <v>0</v>
      </c>
      <c r="G30" s="39" t="str">
        <f>VLOOKUP('Data 1'!$B30,'Data 2'!$A$1:$F$46,MATCH('Data 1'!G$1,'Data 2'!$A$1:$F$1,0),0)</f>
        <v>Product04</v>
      </c>
      <c r="H30" s="39" t="str">
        <f>VLOOKUP('Data 1'!$B30,'Data 2'!$A$1:$F$46,MATCH('Data 1'!H$1,'Data 2'!$A$1:$F$1,0),0)</f>
        <v>Category01</v>
      </c>
      <c r="I30" s="39" t="str">
        <f>VLOOKUP('Data 1'!$B30,'Data 2'!$A$1:$F$46,MATCH('Data 1'!I$1,'Data 2'!$A$1:$F$1,0),0)</f>
        <v>Lt</v>
      </c>
      <c r="J30" s="39">
        <f>VLOOKUP('Data 1'!$B30,'Data 2'!$A$1:$F$46,MATCH('Data 1'!J$1,'Data 2'!$A$1:$F$1,0),0)</f>
        <v>44</v>
      </c>
      <c r="K30" s="39">
        <f>VLOOKUP('Data 1'!$B30,'Data 2'!$A$1:$F$46,MATCH('Data 1'!K$1,'Data 2'!$A$1:$F$1,0),0)</f>
        <v>48.84</v>
      </c>
      <c r="L30" s="40">
        <f>SUM('Data 1'!$J30*'Data 1'!$C30)</f>
        <v>440</v>
      </c>
      <c r="M30" s="40">
        <f>'Data 1'!$C30*'Data 1'!$K30</f>
        <v>488.40000000000003</v>
      </c>
      <c r="N30" s="40">
        <f>'Data 1'!$M30-'Data 1'!$L30</f>
        <v>48.400000000000034</v>
      </c>
      <c r="O30" s="37">
        <f>DAY('Data 1'!$A30)</f>
        <v>28</v>
      </c>
      <c r="P30" s="37" t="str">
        <f>TEXT('Data 1'!$A30,"mmm")</f>
        <v>Jan</v>
      </c>
      <c r="Q30" s="41">
        <f>YEAR('Data 1'!$A30)</f>
        <v>2021</v>
      </c>
    </row>
    <row r="31" spans="1:17" x14ac:dyDescent="0.3">
      <c r="A31" s="35">
        <v>44224</v>
      </c>
      <c r="B31" s="36" t="s">
        <v>38</v>
      </c>
      <c r="C31" s="37">
        <v>2</v>
      </c>
      <c r="D31" s="37" t="s">
        <v>21</v>
      </c>
      <c r="E31" s="37" t="s">
        <v>19</v>
      </c>
      <c r="F31" s="38">
        <v>0</v>
      </c>
      <c r="G31" s="42" t="str">
        <f>VLOOKUP('Data 1'!$B31,'Data 2'!$A$1:$F$46,MATCH('Data 1'!G$1,'Data 2'!$A$1:$F$1,0),0)</f>
        <v>Product29</v>
      </c>
      <c r="H31" s="42" t="str">
        <f>VLOOKUP('Data 1'!$B31,'Data 2'!$A$1:$F$46,MATCH('Data 1'!H$1,'Data 2'!$A$1:$F$1,0),0)</f>
        <v>Category04</v>
      </c>
      <c r="I31" s="42" t="str">
        <f>VLOOKUP('Data 1'!$B31,'Data 2'!$A$1:$F$46,MATCH('Data 1'!I$1,'Data 2'!$A$1:$F$1,0),0)</f>
        <v>Lt</v>
      </c>
      <c r="J31" s="42">
        <f>VLOOKUP('Data 1'!$B31,'Data 2'!$A$1:$F$46,MATCH('Data 1'!J$1,'Data 2'!$A$1:$F$1,0),0)</f>
        <v>47</v>
      </c>
      <c r="K31" s="42">
        <f>VLOOKUP('Data 1'!$B31,'Data 2'!$A$1:$F$46,MATCH('Data 1'!K$1,'Data 2'!$A$1:$F$1,0),0)</f>
        <v>53.11</v>
      </c>
      <c r="L31" s="40">
        <f>SUM('Data 1'!$J31*'Data 1'!$C31)</f>
        <v>94</v>
      </c>
      <c r="M31" s="40">
        <f>'Data 1'!$C31*'Data 1'!$K31</f>
        <v>106.22</v>
      </c>
      <c r="N31" s="40">
        <f>'Data 1'!$M31-'Data 1'!$L31</f>
        <v>12.219999999999999</v>
      </c>
      <c r="O31" s="37">
        <f>DAY('Data 1'!$A31)</f>
        <v>28</v>
      </c>
      <c r="P31" s="37" t="str">
        <f>TEXT('Data 1'!$A31,"mmm")</f>
        <v>Jan</v>
      </c>
      <c r="Q31" s="41">
        <f>YEAR('Data 1'!$A31)</f>
        <v>2021</v>
      </c>
    </row>
    <row r="32" spans="1:17" x14ac:dyDescent="0.3">
      <c r="A32" s="35">
        <v>44229</v>
      </c>
      <c r="B32" s="36" t="s">
        <v>39</v>
      </c>
      <c r="C32" s="37">
        <v>7</v>
      </c>
      <c r="D32" s="37" t="s">
        <v>17</v>
      </c>
      <c r="E32" s="37" t="s">
        <v>17</v>
      </c>
      <c r="F32" s="38">
        <v>0</v>
      </c>
      <c r="G32" s="39" t="str">
        <f>VLOOKUP('Data 1'!$B32,'Data 2'!$A$1:$F$46,MATCH('Data 1'!G$1,'Data 2'!$A$1:$F$1,0),0)</f>
        <v>Product10</v>
      </c>
      <c r="H32" s="39" t="str">
        <f>VLOOKUP('Data 1'!$B32,'Data 2'!$A$1:$F$46,MATCH('Data 1'!H$1,'Data 2'!$A$1:$F$1,0),0)</f>
        <v>Category02</v>
      </c>
      <c r="I32" s="39" t="str">
        <f>VLOOKUP('Data 1'!$B32,'Data 2'!$A$1:$F$46,MATCH('Data 1'!I$1,'Data 2'!$A$1:$F$1,0),0)</f>
        <v>Ft</v>
      </c>
      <c r="J32" s="39">
        <f>VLOOKUP('Data 1'!$B32,'Data 2'!$A$1:$F$46,MATCH('Data 1'!J$1,'Data 2'!$A$1:$F$1,0),0)</f>
        <v>148</v>
      </c>
      <c r="K32" s="39">
        <f>VLOOKUP('Data 1'!$B32,'Data 2'!$A$1:$F$46,MATCH('Data 1'!K$1,'Data 2'!$A$1:$F$1,0),0)</f>
        <v>164.28</v>
      </c>
      <c r="L32" s="40">
        <f>SUM('Data 1'!$J32*'Data 1'!$C32)</f>
        <v>1036</v>
      </c>
      <c r="M32" s="40">
        <f>'Data 1'!$C32*'Data 1'!$K32</f>
        <v>1149.96</v>
      </c>
      <c r="N32" s="40">
        <f>'Data 1'!$M32-'Data 1'!$L32</f>
        <v>113.96000000000004</v>
      </c>
      <c r="O32" s="37">
        <f>DAY('Data 1'!$A32)</f>
        <v>2</v>
      </c>
      <c r="P32" s="37" t="str">
        <f>TEXT('Data 1'!$A32,"mmm")</f>
        <v>Feb</v>
      </c>
      <c r="Q32" s="41">
        <f>YEAR('Data 1'!$A32)</f>
        <v>2021</v>
      </c>
    </row>
    <row r="33" spans="1:17" x14ac:dyDescent="0.3">
      <c r="A33" s="35">
        <v>44230</v>
      </c>
      <c r="B33" s="36" t="s">
        <v>40</v>
      </c>
      <c r="C33" s="37">
        <v>13</v>
      </c>
      <c r="D33" s="37" t="s">
        <v>21</v>
      </c>
      <c r="E33" s="37" t="s">
        <v>17</v>
      </c>
      <c r="F33" s="38">
        <v>0</v>
      </c>
      <c r="G33" s="42" t="str">
        <f>VLOOKUP('Data 1'!$B33,'Data 2'!$A$1:$F$46,MATCH('Data 1'!G$1,'Data 2'!$A$1:$F$1,0),0)</f>
        <v>Product16</v>
      </c>
      <c r="H33" s="42" t="str">
        <f>VLOOKUP('Data 1'!$B33,'Data 2'!$A$1:$F$46,MATCH('Data 1'!H$1,'Data 2'!$A$1:$F$1,0),0)</f>
        <v>Category02</v>
      </c>
      <c r="I33" s="42" t="str">
        <f>VLOOKUP('Data 1'!$B33,'Data 2'!$A$1:$F$46,MATCH('Data 1'!I$1,'Data 2'!$A$1:$F$1,0),0)</f>
        <v>No.</v>
      </c>
      <c r="J33" s="42">
        <f>VLOOKUP('Data 1'!$B33,'Data 2'!$A$1:$F$46,MATCH('Data 1'!J$1,'Data 2'!$A$1:$F$1,0),0)</f>
        <v>13</v>
      </c>
      <c r="K33" s="42">
        <f>VLOOKUP('Data 1'!$B33,'Data 2'!$A$1:$F$46,MATCH('Data 1'!K$1,'Data 2'!$A$1:$F$1,0),0)</f>
        <v>16.64</v>
      </c>
      <c r="L33" s="40">
        <f>SUM('Data 1'!$J33*'Data 1'!$C33)</f>
        <v>169</v>
      </c>
      <c r="M33" s="40">
        <f>'Data 1'!$C33*'Data 1'!$K33</f>
        <v>216.32</v>
      </c>
      <c r="N33" s="40">
        <f>'Data 1'!$M33-'Data 1'!$L33</f>
        <v>47.319999999999993</v>
      </c>
      <c r="O33" s="37">
        <f>DAY('Data 1'!$A33)</f>
        <v>3</v>
      </c>
      <c r="P33" s="37" t="str">
        <f>TEXT('Data 1'!$A33,"mmm")</f>
        <v>Feb</v>
      </c>
      <c r="Q33" s="41">
        <f>YEAR('Data 1'!$A33)</f>
        <v>2021</v>
      </c>
    </row>
    <row r="34" spans="1:17" x14ac:dyDescent="0.3">
      <c r="A34" s="35">
        <v>44230</v>
      </c>
      <c r="B34" s="36" t="s">
        <v>41</v>
      </c>
      <c r="C34" s="37">
        <v>2</v>
      </c>
      <c r="D34" s="37" t="s">
        <v>16</v>
      </c>
      <c r="E34" s="37" t="s">
        <v>19</v>
      </c>
      <c r="F34" s="38">
        <v>0</v>
      </c>
      <c r="G34" s="39" t="str">
        <f>VLOOKUP('Data 1'!$B34,'Data 2'!$A$1:$F$46,MATCH('Data 1'!G$1,'Data 2'!$A$1:$F$1,0),0)</f>
        <v>Product22</v>
      </c>
      <c r="H34" s="39" t="str">
        <f>VLOOKUP('Data 1'!$B34,'Data 2'!$A$1:$F$46,MATCH('Data 1'!H$1,'Data 2'!$A$1:$F$1,0),0)</f>
        <v>Category03</v>
      </c>
      <c r="I34" s="39" t="str">
        <f>VLOOKUP('Data 1'!$B34,'Data 2'!$A$1:$F$46,MATCH('Data 1'!I$1,'Data 2'!$A$1:$F$1,0),0)</f>
        <v>Ft</v>
      </c>
      <c r="J34" s="39">
        <f>VLOOKUP('Data 1'!$B34,'Data 2'!$A$1:$F$46,MATCH('Data 1'!J$1,'Data 2'!$A$1:$F$1,0),0)</f>
        <v>121</v>
      </c>
      <c r="K34" s="39">
        <f>VLOOKUP('Data 1'!$B34,'Data 2'!$A$1:$F$46,MATCH('Data 1'!K$1,'Data 2'!$A$1:$F$1,0),0)</f>
        <v>141.57</v>
      </c>
      <c r="L34" s="40">
        <f>SUM('Data 1'!$J34*'Data 1'!$C34)</f>
        <v>242</v>
      </c>
      <c r="M34" s="40">
        <f>'Data 1'!$C34*'Data 1'!$K34</f>
        <v>283.14</v>
      </c>
      <c r="N34" s="40">
        <f>'Data 1'!$M34-'Data 1'!$L34</f>
        <v>41.139999999999986</v>
      </c>
      <c r="O34" s="37">
        <f>DAY('Data 1'!$A34)</f>
        <v>3</v>
      </c>
      <c r="P34" s="37" t="str">
        <f>TEXT('Data 1'!$A34,"mmm")</f>
        <v>Feb</v>
      </c>
      <c r="Q34" s="41">
        <f>YEAR('Data 1'!$A34)</f>
        <v>2021</v>
      </c>
    </row>
    <row r="35" spans="1:17" x14ac:dyDescent="0.3">
      <c r="A35" s="35">
        <v>44231</v>
      </c>
      <c r="B35" s="36" t="s">
        <v>27</v>
      </c>
      <c r="C35" s="37">
        <v>4</v>
      </c>
      <c r="D35" s="37" t="s">
        <v>17</v>
      </c>
      <c r="E35" s="37" t="s">
        <v>17</v>
      </c>
      <c r="F35" s="38">
        <v>0</v>
      </c>
      <c r="G35" s="42" t="str">
        <f>VLOOKUP('Data 1'!$B35,'Data 2'!$A$1:$F$46,MATCH('Data 1'!G$1,'Data 2'!$A$1:$F$1,0),0)</f>
        <v>Product37</v>
      </c>
      <c r="H35" s="42" t="str">
        <f>VLOOKUP('Data 1'!$B35,'Data 2'!$A$1:$F$46,MATCH('Data 1'!H$1,'Data 2'!$A$1:$F$1,0),0)</f>
        <v>Category05</v>
      </c>
      <c r="I35" s="42" t="str">
        <f>VLOOKUP('Data 1'!$B35,'Data 2'!$A$1:$F$46,MATCH('Data 1'!I$1,'Data 2'!$A$1:$F$1,0),0)</f>
        <v>Kg</v>
      </c>
      <c r="J35" s="42">
        <f>VLOOKUP('Data 1'!$B35,'Data 2'!$A$1:$F$46,MATCH('Data 1'!J$1,'Data 2'!$A$1:$F$1,0),0)</f>
        <v>67</v>
      </c>
      <c r="K35" s="42">
        <f>VLOOKUP('Data 1'!$B35,'Data 2'!$A$1:$F$46,MATCH('Data 1'!K$1,'Data 2'!$A$1:$F$1,0),0)</f>
        <v>85.76</v>
      </c>
      <c r="L35" s="40">
        <f>SUM('Data 1'!$J35*'Data 1'!$C35)</f>
        <v>268</v>
      </c>
      <c r="M35" s="40">
        <f>'Data 1'!$C35*'Data 1'!$K35</f>
        <v>343.04</v>
      </c>
      <c r="N35" s="40">
        <f>'Data 1'!$M35-'Data 1'!$L35</f>
        <v>75.04000000000002</v>
      </c>
      <c r="O35" s="37">
        <f>DAY('Data 1'!$A35)</f>
        <v>4</v>
      </c>
      <c r="P35" s="37" t="str">
        <f>TEXT('Data 1'!$A35,"mmm")</f>
        <v>Feb</v>
      </c>
      <c r="Q35" s="41">
        <f>YEAR('Data 1'!$A35)</f>
        <v>2021</v>
      </c>
    </row>
    <row r="36" spans="1:17" x14ac:dyDescent="0.3">
      <c r="A36" s="35">
        <v>44232</v>
      </c>
      <c r="B36" s="36" t="s">
        <v>42</v>
      </c>
      <c r="C36" s="37">
        <v>7</v>
      </c>
      <c r="D36" s="37" t="s">
        <v>17</v>
      </c>
      <c r="E36" s="37" t="s">
        <v>19</v>
      </c>
      <c r="F36" s="38">
        <v>0</v>
      </c>
      <c r="G36" s="39" t="str">
        <f>VLOOKUP('Data 1'!$B36,'Data 2'!$A$1:$F$46,MATCH('Data 1'!G$1,'Data 2'!$A$1:$F$1,0),0)</f>
        <v>Product43</v>
      </c>
      <c r="H36" s="39" t="str">
        <f>VLOOKUP('Data 1'!$B36,'Data 2'!$A$1:$F$46,MATCH('Data 1'!H$1,'Data 2'!$A$1:$F$1,0),0)</f>
        <v>Category05</v>
      </c>
      <c r="I36" s="39" t="str">
        <f>VLOOKUP('Data 1'!$B36,'Data 2'!$A$1:$F$46,MATCH('Data 1'!I$1,'Data 2'!$A$1:$F$1,0),0)</f>
        <v>Kg</v>
      </c>
      <c r="J36" s="39">
        <f>VLOOKUP('Data 1'!$B36,'Data 2'!$A$1:$F$46,MATCH('Data 1'!J$1,'Data 2'!$A$1:$F$1,0),0)</f>
        <v>67</v>
      </c>
      <c r="K36" s="39">
        <f>VLOOKUP('Data 1'!$B36,'Data 2'!$A$1:$F$46,MATCH('Data 1'!K$1,'Data 2'!$A$1:$F$1,0),0)</f>
        <v>83.08</v>
      </c>
      <c r="L36" s="40">
        <f>SUM('Data 1'!$J36*'Data 1'!$C36)</f>
        <v>469</v>
      </c>
      <c r="M36" s="40">
        <f>'Data 1'!$C36*'Data 1'!$K36</f>
        <v>581.55999999999995</v>
      </c>
      <c r="N36" s="40">
        <f>'Data 1'!$M36-'Data 1'!$L36</f>
        <v>112.55999999999995</v>
      </c>
      <c r="O36" s="37">
        <f>DAY('Data 1'!$A36)</f>
        <v>5</v>
      </c>
      <c r="P36" s="37" t="str">
        <f>TEXT('Data 1'!$A36,"mmm")</f>
        <v>Feb</v>
      </c>
      <c r="Q36" s="41">
        <f>YEAR('Data 1'!$A36)</f>
        <v>2021</v>
      </c>
    </row>
    <row r="37" spans="1:17" x14ac:dyDescent="0.3">
      <c r="A37" s="35">
        <v>44232</v>
      </c>
      <c r="B37" s="36" t="s">
        <v>43</v>
      </c>
      <c r="C37" s="37">
        <v>1</v>
      </c>
      <c r="D37" s="37" t="s">
        <v>21</v>
      </c>
      <c r="E37" s="37" t="s">
        <v>19</v>
      </c>
      <c r="F37" s="38">
        <v>0</v>
      </c>
      <c r="G37" s="42" t="str">
        <f>VLOOKUP('Data 1'!$B37,'Data 2'!$A$1:$F$46,MATCH('Data 1'!G$1,'Data 2'!$A$1:$F$1,0),0)</f>
        <v>Product05</v>
      </c>
      <c r="H37" s="42" t="str">
        <f>VLOOKUP('Data 1'!$B37,'Data 2'!$A$1:$F$46,MATCH('Data 1'!H$1,'Data 2'!$A$1:$F$1,0),0)</f>
        <v>Category01</v>
      </c>
      <c r="I37" s="42" t="str">
        <f>VLOOKUP('Data 1'!$B37,'Data 2'!$A$1:$F$46,MATCH('Data 1'!I$1,'Data 2'!$A$1:$F$1,0),0)</f>
        <v>Ft</v>
      </c>
      <c r="J37" s="42">
        <f>VLOOKUP('Data 1'!$B37,'Data 2'!$A$1:$F$46,MATCH('Data 1'!J$1,'Data 2'!$A$1:$F$1,0),0)</f>
        <v>133</v>
      </c>
      <c r="K37" s="42">
        <f>VLOOKUP('Data 1'!$B37,'Data 2'!$A$1:$F$46,MATCH('Data 1'!K$1,'Data 2'!$A$1:$F$1,0),0)</f>
        <v>155.61000000000001</v>
      </c>
      <c r="L37" s="40">
        <f>SUM('Data 1'!$J37*'Data 1'!$C37)</f>
        <v>133</v>
      </c>
      <c r="M37" s="40">
        <f>'Data 1'!$C37*'Data 1'!$K37</f>
        <v>155.61000000000001</v>
      </c>
      <c r="N37" s="40">
        <f>'Data 1'!$M37-'Data 1'!$L37</f>
        <v>22.610000000000014</v>
      </c>
      <c r="O37" s="37">
        <f>DAY('Data 1'!$A37)</f>
        <v>5</v>
      </c>
      <c r="P37" s="37" t="str">
        <f>TEXT('Data 1'!$A37,"mmm")</f>
        <v>Feb</v>
      </c>
      <c r="Q37" s="41">
        <f>YEAR('Data 1'!$A37)</f>
        <v>2021</v>
      </c>
    </row>
    <row r="38" spans="1:17" x14ac:dyDescent="0.3">
      <c r="A38" s="35">
        <v>44232</v>
      </c>
      <c r="B38" s="36" t="s">
        <v>42</v>
      </c>
      <c r="C38" s="37">
        <v>9</v>
      </c>
      <c r="D38" s="37" t="s">
        <v>21</v>
      </c>
      <c r="E38" s="37" t="s">
        <v>19</v>
      </c>
      <c r="F38" s="38">
        <v>0</v>
      </c>
      <c r="G38" s="39" t="str">
        <f>VLOOKUP('Data 1'!$B38,'Data 2'!$A$1:$F$46,MATCH('Data 1'!G$1,'Data 2'!$A$1:$F$1,0),0)</f>
        <v>Product43</v>
      </c>
      <c r="H38" s="39" t="str">
        <f>VLOOKUP('Data 1'!$B38,'Data 2'!$A$1:$F$46,MATCH('Data 1'!H$1,'Data 2'!$A$1:$F$1,0),0)</f>
        <v>Category05</v>
      </c>
      <c r="I38" s="39" t="str">
        <f>VLOOKUP('Data 1'!$B38,'Data 2'!$A$1:$F$46,MATCH('Data 1'!I$1,'Data 2'!$A$1:$F$1,0),0)</f>
        <v>Kg</v>
      </c>
      <c r="J38" s="39">
        <f>VLOOKUP('Data 1'!$B38,'Data 2'!$A$1:$F$46,MATCH('Data 1'!J$1,'Data 2'!$A$1:$F$1,0),0)</f>
        <v>67</v>
      </c>
      <c r="K38" s="39">
        <f>VLOOKUP('Data 1'!$B38,'Data 2'!$A$1:$F$46,MATCH('Data 1'!K$1,'Data 2'!$A$1:$F$1,0),0)</f>
        <v>83.08</v>
      </c>
      <c r="L38" s="40">
        <f>SUM('Data 1'!$J38*'Data 1'!$C38)</f>
        <v>603</v>
      </c>
      <c r="M38" s="40">
        <f>'Data 1'!$C38*'Data 1'!$K38</f>
        <v>747.72</v>
      </c>
      <c r="N38" s="40">
        <f>'Data 1'!$M38-'Data 1'!$L38</f>
        <v>144.72000000000003</v>
      </c>
      <c r="O38" s="37">
        <f>DAY('Data 1'!$A38)</f>
        <v>5</v>
      </c>
      <c r="P38" s="37" t="str">
        <f>TEXT('Data 1'!$A38,"mmm")</f>
        <v>Feb</v>
      </c>
      <c r="Q38" s="41">
        <f>YEAR('Data 1'!$A38)</f>
        <v>2021</v>
      </c>
    </row>
    <row r="39" spans="1:17" x14ac:dyDescent="0.3">
      <c r="A39" s="35">
        <v>44233</v>
      </c>
      <c r="B39" s="36" t="s">
        <v>23</v>
      </c>
      <c r="C39" s="37">
        <v>1</v>
      </c>
      <c r="D39" s="37" t="s">
        <v>21</v>
      </c>
      <c r="E39" s="37" t="s">
        <v>19</v>
      </c>
      <c r="F39" s="38">
        <v>0</v>
      </c>
      <c r="G39" s="42" t="str">
        <f>VLOOKUP('Data 1'!$B39,'Data 2'!$A$1:$F$46,MATCH('Data 1'!G$1,'Data 2'!$A$1:$F$1,0),0)</f>
        <v>Product35</v>
      </c>
      <c r="H39" s="42" t="str">
        <f>VLOOKUP('Data 1'!$B39,'Data 2'!$A$1:$F$46,MATCH('Data 1'!H$1,'Data 2'!$A$1:$F$1,0),0)</f>
        <v>Category04</v>
      </c>
      <c r="I39" s="42" t="str">
        <f>VLOOKUP('Data 1'!$B39,'Data 2'!$A$1:$F$46,MATCH('Data 1'!I$1,'Data 2'!$A$1:$F$1,0),0)</f>
        <v>No.</v>
      </c>
      <c r="J39" s="42">
        <f>VLOOKUP('Data 1'!$B39,'Data 2'!$A$1:$F$46,MATCH('Data 1'!J$1,'Data 2'!$A$1:$F$1,0),0)</f>
        <v>5</v>
      </c>
      <c r="K39" s="42">
        <f>VLOOKUP('Data 1'!$B39,'Data 2'!$A$1:$F$46,MATCH('Data 1'!K$1,'Data 2'!$A$1:$F$1,0),0)</f>
        <v>6.7</v>
      </c>
      <c r="L39" s="40">
        <f>SUM('Data 1'!$J39*'Data 1'!$C39)</f>
        <v>5</v>
      </c>
      <c r="M39" s="40">
        <f>'Data 1'!$C39*'Data 1'!$K39</f>
        <v>6.7</v>
      </c>
      <c r="N39" s="40">
        <f>'Data 1'!$M39-'Data 1'!$L39</f>
        <v>1.7000000000000002</v>
      </c>
      <c r="O39" s="37">
        <f>DAY('Data 1'!$A39)</f>
        <v>6</v>
      </c>
      <c r="P39" s="37" t="str">
        <f>TEXT('Data 1'!$A39,"mmm")</f>
        <v>Feb</v>
      </c>
      <c r="Q39" s="41">
        <f>YEAR('Data 1'!$A39)</f>
        <v>2021</v>
      </c>
    </row>
    <row r="40" spans="1:17" x14ac:dyDescent="0.3">
      <c r="A40" s="35">
        <v>44236</v>
      </c>
      <c r="B40" s="36" t="s">
        <v>32</v>
      </c>
      <c r="C40" s="37">
        <v>14</v>
      </c>
      <c r="D40" s="37" t="s">
        <v>21</v>
      </c>
      <c r="E40" s="37" t="s">
        <v>17</v>
      </c>
      <c r="F40" s="38">
        <v>0</v>
      </c>
      <c r="G40" s="39" t="str">
        <f>VLOOKUP('Data 1'!$B40,'Data 2'!$A$1:$F$46,MATCH('Data 1'!G$1,'Data 2'!$A$1:$F$1,0),0)</f>
        <v>Product34</v>
      </c>
      <c r="H40" s="39" t="str">
        <f>VLOOKUP('Data 1'!$B40,'Data 2'!$A$1:$F$46,MATCH('Data 1'!H$1,'Data 2'!$A$1:$F$1,0),0)</f>
        <v>Category04</v>
      </c>
      <c r="I40" s="39" t="str">
        <f>VLOOKUP('Data 1'!$B40,'Data 2'!$A$1:$F$46,MATCH('Data 1'!I$1,'Data 2'!$A$1:$F$1,0),0)</f>
        <v>Lt</v>
      </c>
      <c r="J40" s="39">
        <f>VLOOKUP('Data 1'!$B40,'Data 2'!$A$1:$F$46,MATCH('Data 1'!J$1,'Data 2'!$A$1:$F$1,0),0)</f>
        <v>55</v>
      </c>
      <c r="K40" s="39">
        <f>VLOOKUP('Data 1'!$B40,'Data 2'!$A$1:$F$46,MATCH('Data 1'!K$1,'Data 2'!$A$1:$F$1,0),0)</f>
        <v>58.3</v>
      </c>
      <c r="L40" s="40">
        <f>SUM('Data 1'!$J40*'Data 1'!$C40)</f>
        <v>770</v>
      </c>
      <c r="M40" s="40">
        <f>'Data 1'!$C40*'Data 1'!$K40</f>
        <v>816.19999999999993</v>
      </c>
      <c r="N40" s="40">
        <f>'Data 1'!$M40-'Data 1'!$L40</f>
        <v>46.199999999999932</v>
      </c>
      <c r="O40" s="37">
        <f>DAY('Data 1'!$A40)</f>
        <v>9</v>
      </c>
      <c r="P40" s="37" t="str">
        <f>TEXT('Data 1'!$A40,"mmm")</f>
        <v>Feb</v>
      </c>
      <c r="Q40" s="41">
        <f>YEAR('Data 1'!$A40)</f>
        <v>2021</v>
      </c>
    </row>
    <row r="41" spans="1:17" x14ac:dyDescent="0.3">
      <c r="A41" s="35">
        <v>44239</v>
      </c>
      <c r="B41" s="36" t="s">
        <v>44</v>
      </c>
      <c r="C41" s="37">
        <v>7</v>
      </c>
      <c r="D41" s="37" t="s">
        <v>21</v>
      </c>
      <c r="E41" s="37" t="s">
        <v>19</v>
      </c>
      <c r="F41" s="38">
        <v>0</v>
      </c>
      <c r="G41" s="42" t="str">
        <f>VLOOKUP('Data 1'!$B41,'Data 2'!$A$1:$F$46,MATCH('Data 1'!G$1,'Data 2'!$A$1:$F$1,0),0)</f>
        <v>Product08</v>
      </c>
      <c r="H41" s="42" t="str">
        <f>VLOOKUP('Data 1'!$B41,'Data 2'!$A$1:$F$46,MATCH('Data 1'!H$1,'Data 2'!$A$1:$F$1,0),0)</f>
        <v>Category01</v>
      </c>
      <c r="I41" s="42" t="str">
        <f>VLOOKUP('Data 1'!$B41,'Data 2'!$A$1:$F$46,MATCH('Data 1'!I$1,'Data 2'!$A$1:$F$1,0),0)</f>
        <v>Kg</v>
      </c>
      <c r="J41" s="42">
        <f>VLOOKUP('Data 1'!$B41,'Data 2'!$A$1:$F$46,MATCH('Data 1'!J$1,'Data 2'!$A$1:$F$1,0),0)</f>
        <v>83</v>
      </c>
      <c r="K41" s="42">
        <f>VLOOKUP('Data 1'!$B41,'Data 2'!$A$1:$F$46,MATCH('Data 1'!K$1,'Data 2'!$A$1:$F$1,0),0)</f>
        <v>94.62</v>
      </c>
      <c r="L41" s="40">
        <f>SUM('Data 1'!$J41*'Data 1'!$C41)</f>
        <v>581</v>
      </c>
      <c r="M41" s="40">
        <f>'Data 1'!$C41*'Data 1'!$K41</f>
        <v>662.34</v>
      </c>
      <c r="N41" s="40">
        <f>'Data 1'!$M41-'Data 1'!$L41</f>
        <v>81.340000000000032</v>
      </c>
      <c r="O41" s="37">
        <f>DAY('Data 1'!$A41)</f>
        <v>12</v>
      </c>
      <c r="P41" s="37" t="str">
        <f>TEXT('Data 1'!$A41,"mmm")</f>
        <v>Feb</v>
      </c>
      <c r="Q41" s="41">
        <f>YEAR('Data 1'!$A41)</f>
        <v>2021</v>
      </c>
    </row>
    <row r="42" spans="1:17" x14ac:dyDescent="0.3">
      <c r="A42" s="35">
        <v>44239</v>
      </c>
      <c r="B42" s="36" t="s">
        <v>31</v>
      </c>
      <c r="C42" s="37">
        <v>9</v>
      </c>
      <c r="D42" s="37" t="s">
        <v>17</v>
      </c>
      <c r="E42" s="37" t="s">
        <v>19</v>
      </c>
      <c r="F42" s="38">
        <v>0</v>
      </c>
      <c r="G42" s="39" t="str">
        <f>VLOOKUP('Data 1'!$B42,'Data 2'!$A$1:$F$46,MATCH('Data 1'!G$1,'Data 2'!$A$1:$F$1,0),0)</f>
        <v>Product23</v>
      </c>
      <c r="H42" s="39" t="str">
        <f>VLOOKUP('Data 1'!$B42,'Data 2'!$A$1:$F$46,MATCH('Data 1'!H$1,'Data 2'!$A$1:$F$1,0),0)</f>
        <v>Category03</v>
      </c>
      <c r="I42" s="39" t="str">
        <f>VLOOKUP('Data 1'!$B42,'Data 2'!$A$1:$F$46,MATCH('Data 1'!I$1,'Data 2'!$A$1:$F$1,0),0)</f>
        <v>Ft</v>
      </c>
      <c r="J42" s="39">
        <f>VLOOKUP('Data 1'!$B42,'Data 2'!$A$1:$F$46,MATCH('Data 1'!J$1,'Data 2'!$A$1:$F$1,0),0)</f>
        <v>141</v>
      </c>
      <c r="K42" s="39">
        <f>VLOOKUP('Data 1'!$B42,'Data 2'!$A$1:$F$46,MATCH('Data 1'!K$1,'Data 2'!$A$1:$F$1,0),0)</f>
        <v>149.46</v>
      </c>
      <c r="L42" s="40">
        <f>SUM('Data 1'!$J42*'Data 1'!$C42)</f>
        <v>1269</v>
      </c>
      <c r="M42" s="40">
        <f>'Data 1'!$C42*'Data 1'!$K42</f>
        <v>1345.14</v>
      </c>
      <c r="N42" s="40">
        <f>'Data 1'!$M42-'Data 1'!$L42</f>
        <v>76.1400000000001</v>
      </c>
      <c r="O42" s="37">
        <f>DAY('Data 1'!$A42)</f>
        <v>12</v>
      </c>
      <c r="P42" s="37" t="str">
        <f>TEXT('Data 1'!$A42,"mmm")</f>
        <v>Feb</v>
      </c>
      <c r="Q42" s="41">
        <f>YEAR('Data 1'!$A42)</f>
        <v>2021</v>
      </c>
    </row>
    <row r="43" spans="1:17" x14ac:dyDescent="0.3">
      <c r="A43" s="35">
        <v>44242</v>
      </c>
      <c r="B43" s="36" t="s">
        <v>45</v>
      </c>
      <c r="C43" s="37">
        <v>4</v>
      </c>
      <c r="D43" s="37" t="s">
        <v>21</v>
      </c>
      <c r="E43" s="37" t="s">
        <v>17</v>
      </c>
      <c r="F43" s="38">
        <v>0</v>
      </c>
      <c r="G43" s="42" t="str">
        <f>VLOOKUP('Data 1'!$B43,'Data 2'!$A$1:$F$46,MATCH('Data 1'!G$1,'Data 2'!$A$1:$F$1,0),0)</f>
        <v>Product27</v>
      </c>
      <c r="H43" s="42" t="str">
        <f>VLOOKUP('Data 1'!$B43,'Data 2'!$A$1:$F$46,MATCH('Data 1'!H$1,'Data 2'!$A$1:$F$1,0),0)</f>
        <v>Category04</v>
      </c>
      <c r="I43" s="42" t="str">
        <f>VLOOKUP('Data 1'!$B43,'Data 2'!$A$1:$F$46,MATCH('Data 1'!I$1,'Data 2'!$A$1:$F$1,0),0)</f>
        <v>Lt</v>
      </c>
      <c r="J43" s="42">
        <f>VLOOKUP('Data 1'!$B43,'Data 2'!$A$1:$F$46,MATCH('Data 1'!J$1,'Data 2'!$A$1:$F$1,0),0)</f>
        <v>48</v>
      </c>
      <c r="K43" s="42">
        <f>VLOOKUP('Data 1'!$B43,'Data 2'!$A$1:$F$46,MATCH('Data 1'!K$1,'Data 2'!$A$1:$F$1,0),0)</f>
        <v>57.120000000000005</v>
      </c>
      <c r="L43" s="40">
        <f>SUM('Data 1'!$J43*'Data 1'!$C43)</f>
        <v>192</v>
      </c>
      <c r="M43" s="40">
        <f>'Data 1'!$C43*'Data 1'!$K43</f>
        <v>228.48000000000002</v>
      </c>
      <c r="N43" s="40">
        <f>'Data 1'!$M43-'Data 1'!$L43</f>
        <v>36.480000000000018</v>
      </c>
      <c r="O43" s="37">
        <f>DAY('Data 1'!$A43)</f>
        <v>15</v>
      </c>
      <c r="P43" s="37" t="str">
        <f>TEXT('Data 1'!$A43,"mmm")</f>
        <v>Feb</v>
      </c>
      <c r="Q43" s="41">
        <f>YEAR('Data 1'!$A43)</f>
        <v>2021</v>
      </c>
    </row>
    <row r="44" spans="1:17" x14ac:dyDescent="0.3">
      <c r="A44" s="35">
        <v>44245</v>
      </c>
      <c r="B44" s="36" t="s">
        <v>46</v>
      </c>
      <c r="C44" s="37">
        <v>6</v>
      </c>
      <c r="D44" s="37" t="s">
        <v>17</v>
      </c>
      <c r="E44" s="37" t="s">
        <v>19</v>
      </c>
      <c r="F44" s="38">
        <v>0</v>
      </c>
      <c r="G44" s="39" t="str">
        <f>VLOOKUP('Data 1'!$B44,'Data 2'!$A$1:$F$46,MATCH('Data 1'!G$1,'Data 2'!$A$1:$F$1,0),0)</f>
        <v>Product15</v>
      </c>
      <c r="H44" s="39" t="str">
        <f>VLOOKUP('Data 1'!$B44,'Data 2'!$A$1:$F$46,MATCH('Data 1'!H$1,'Data 2'!$A$1:$F$1,0),0)</f>
        <v>Category02</v>
      </c>
      <c r="I44" s="39" t="str">
        <f>VLOOKUP('Data 1'!$B44,'Data 2'!$A$1:$F$46,MATCH('Data 1'!I$1,'Data 2'!$A$1:$F$1,0),0)</f>
        <v>No.</v>
      </c>
      <c r="J44" s="39">
        <f>VLOOKUP('Data 1'!$B44,'Data 2'!$A$1:$F$46,MATCH('Data 1'!J$1,'Data 2'!$A$1:$F$1,0),0)</f>
        <v>12</v>
      </c>
      <c r="K44" s="39">
        <f>VLOOKUP('Data 1'!$B44,'Data 2'!$A$1:$F$46,MATCH('Data 1'!K$1,'Data 2'!$A$1:$F$1,0),0)</f>
        <v>15.719999999999999</v>
      </c>
      <c r="L44" s="40">
        <f>SUM('Data 1'!$J44*'Data 1'!$C44)</f>
        <v>72</v>
      </c>
      <c r="M44" s="40">
        <f>'Data 1'!$C44*'Data 1'!$K44</f>
        <v>94.32</v>
      </c>
      <c r="N44" s="40">
        <f>'Data 1'!$M44-'Data 1'!$L44</f>
        <v>22.319999999999993</v>
      </c>
      <c r="O44" s="37">
        <f>DAY('Data 1'!$A44)</f>
        <v>18</v>
      </c>
      <c r="P44" s="37" t="str">
        <f>TEXT('Data 1'!$A44,"mmm")</f>
        <v>Feb</v>
      </c>
      <c r="Q44" s="41">
        <f>YEAR('Data 1'!$A44)</f>
        <v>2021</v>
      </c>
    </row>
    <row r="45" spans="1:17" x14ac:dyDescent="0.3">
      <c r="A45" s="35">
        <v>44247</v>
      </c>
      <c r="B45" s="36" t="s">
        <v>47</v>
      </c>
      <c r="C45" s="37">
        <v>11</v>
      </c>
      <c r="D45" s="37" t="s">
        <v>17</v>
      </c>
      <c r="E45" s="37" t="s">
        <v>19</v>
      </c>
      <c r="F45" s="38">
        <v>0</v>
      </c>
      <c r="G45" s="42" t="str">
        <f>VLOOKUP('Data 1'!$B45,'Data 2'!$A$1:$F$46,MATCH('Data 1'!G$1,'Data 2'!$A$1:$F$1,0),0)</f>
        <v>Product30</v>
      </c>
      <c r="H45" s="42" t="str">
        <f>VLOOKUP('Data 1'!$B45,'Data 2'!$A$1:$F$46,MATCH('Data 1'!H$1,'Data 2'!$A$1:$F$1,0),0)</f>
        <v>Category04</v>
      </c>
      <c r="I45" s="42" t="str">
        <f>VLOOKUP('Data 1'!$B45,'Data 2'!$A$1:$F$46,MATCH('Data 1'!I$1,'Data 2'!$A$1:$F$1,0),0)</f>
        <v>Ft</v>
      </c>
      <c r="J45" s="42">
        <f>VLOOKUP('Data 1'!$B45,'Data 2'!$A$1:$F$46,MATCH('Data 1'!J$1,'Data 2'!$A$1:$F$1,0),0)</f>
        <v>148</v>
      </c>
      <c r="K45" s="42">
        <f>VLOOKUP('Data 1'!$B45,'Data 2'!$A$1:$F$46,MATCH('Data 1'!K$1,'Data 2'!$A$1:$F$1,0),0)</f>
        <v>201.28</v>
      </c>
      <c r="L45" s="40">
        <f>SUM('Data 1'!$J45*'Data 1'!$C45)</f>
        <v>1628</v>
      </c>
      <c r="M45" s="40">
        <f>'Data 1'!$C45*'Data 1'!$K45</f>
        <v>2214.08</v>
      </c>
      <c r="N45" s="40">
        <f>'Data 1'!$M45-'Data 1'!$L45</f>
        <v>586.07999999999993</v>
      </c>
      <c r="O45" s="37">
        <f>DAY('Data 1'!$A45)</f>
        <v>20</v>
      </c>
      <c r="P45" s="37" t="str">
        <f>TEXT('Data 1'!$A45,"mmm")</f>
        <v>Feb</v>
      </c>
      <c r="Q45" s="41">
        <f>YEAR('Data 1'!$A45)</f>
        <v>2021</v>
      </c>
    </row>
    <row r="46" spans="1:17" x14ac:dyDescent="0.3">
      <c r="A46" s="35">
        <v>44249</v>
      </c>
      <c r="B46" s="36" t="s">
        <v>20</v>
      </c>
      <c r="C46" s="37">
        <v>5</v>
      </c>
      <c r="D46" s="37" t="s">
        <v>17</v>
      </c>
      <c r="E46" s="37" t="s">
        <v>19</v>
      </c>
      <c r="F46" s="38">
        <v>0</v>
      </c>
      <c r="G46" s="39" t="str">
        <f>VLOOKUP('Data 1'!$B46,'Data 2'!$A$1:$F$46,MATCH('Data 1'!G$1,'Data 2'!$A$1:$F$1,0),0)</f>
        <v>Product13</v>
      </c>
      <c r="H46" s="39" t="str">
        <f>VLOOKUP('Data 1'!$B46,'Data 2'!$A$1:$F$46,MATCH('Data 1'!H$1,'Data 2'!$A$1:$F$1,0),0)</f>
        <v>Category02</v>
      </c>
      <c r="I46" s="39" t="str">
        <f>VLOOKUP('Data 1'!$B46,'Data 2'!$A$1:$F$46,MATCH('Data 1'!I$1,'Data 2'!$A$1:$F$1,0),0)</f>
        <v>Kg</v>
      </c>
      <c r="J46" s="39">
        <f>VLOOKUP('Data 1'!$B46,'Data 2'!$A$1:$F$46,MATCH('Data 1'!J$1,'Data 2'!$A$1:$F$1,0),0)</f>
        <v>112</v>
      </c>
      <c r="K46" s="39">
        <f>VLOOKUP('Data 1'!$B46,'Data 2'!$A$1:$F$46,MATCH('Data 1'!K$1,'Data 2'!$A$1:$F$1,0),0)</f>
        <v>122.08</v>
      </c>
      <c r="L46" s="40">
        <f>SUM('Data 1'!$J46*'Data 1'!$C46)</f>
        <v>560</v>
      </c>
      <c r="M46" s="40">
        <f>'Data 1'!$C46*'Data 1'!$K46</f>
        <v>610.4</v>
      </c>
      <c r="N46" s="40">
        <f>'Data 1'!$M46-'Data 1'!$L46</f>
        <v>50.399999999999977</v>
      </c>
      <c r="O46" s="37">
        <f>DAY('Data 1'!$A46)</f>
        <v>22</v>
      </c>
      <c r="P46" s="37" t="str">
        <f>TEXT('Data 1'!$A46,"mmm")</f>
        <v>Feb</v>
      </c>
      <c r="Q46" s="41">
        <f>YEAR('Data 1'!$A46)</f>
        <v>2021</v>
      </c>
    </row>
    <row r="47" spans="1:17" x14ac:dyDescent="0.3">
      <c r="A47" s="35">
        <v>44250</v>
      </c>
      <c r="B47" s="36" t="s">
        <v>26</v>
      </c>
      <c r="C47" s="37">
        <v>3</v>
      </c>
      <c r="D47" s="37" t="s">
        <v>21</v>
      </c>
      <c r="E47" s="37" t="s">
        <v>19</v>
      </c>
      <c r="F47" s="38">
        <v>0</v>
      </c>
      <c r="G47" s="42" t="str">
        <f>VLOOKUP('Data 1'!$B47,'Data 2'!$A$1:$F$46,MATCH('Data 1'!G$1,'Data 2'!$A$1:$F$1,0),0)</f>
        <v>Product25</v>
      </c>
      <c r="H47" s="42" t="str">
        <f>VLOOKUP('Data 1'!$B47,'Data 2'!$A$1:$F$46,MATCH('Data 1'!H$1,'Data 2'!$A$1:$F$1,0),0)</f>
        <v>Category03</v>
      </c>
      <c r="I47" s="42" t="str">
        <f>VLOOKUP('Data 1'!$B47,'Data 2'!$A$1:$F$46,MATCH('Data 1'!I$1,'Data 2'!$A$1:$F$1,0),0)</f>
        <v>No.</v>
      </c>
      <c r="J47" s="42">
        <f>VLOOKUP('Data 1'!$B47,'Data 2'!$A$1:$F$46,MATCH('Data 1'!J$1,'Data 2'!$A$1:$F$1,0),0)</f>
        <v>7</v>
      </c>
      <c r="K47" s="42">
        <f>VLOOKUP('Data 1'!$B47,'Data 2'!$A$1:$F$46,MATCH('Data 1'!K$1,'Data 2'!$A$1:$F$1,0),0)</f>
        <v>8.33</v>
      </c>
      <c r="L47" s="40">
        <f>SUM('Data 1'!$J47*'Data 1'!$C47)</f>
        <v>21</v>
      </c>
      <c r="M47" s="40">
        <f>'Data 1'!$C47*'Data 1'!$K47</f>
        <v>24.990000000000002</v>
      </c>
      <c r="N47" s="40">
        <f>'Data 1'!$M47-'Data 1'!$L47</f>
        <v>3.990000000000002</v>
      </c>
      <c r="O47" s="37">
        <f>DAY('Data 1'!$A47)</f>
        <v>23</v>
      </c>
      <c r="P47" s="37" t="str">
        <f>TEXT('Data 1'!$A47,"mmm")</f>
        <v>Feb</v>
      </c>
      <c r="Q47" s="41">
        <f>YEAR('Data 1'!$A47)</f>
        <v>2021</v>
      </c>
    </row>
    <row r="48" spans="1:17" x14ac:dyDescent="0.3">
      <c r="A48" s="35">
        <v>44250</v>
      </c>
      <c r="B48" s="36" t="s">
        <v>43</v>
      </c>
      <c r="C48" s="37">
        <v>2</v>
      </c>
      <c r="D48" s="37" t="s">
        <v>21</v>
      </c>
      <c r="E48" s="37" t="s">
        <v>17</v>
      </c>
      <c r="F48" s="38">
        <v>0</v>
      </c>
      <c r="G48" s="39" t="str">
        <f>VLOOKUP('Data 1'!$B48,'Data 2'!$A$1:$F$46,MATCH('Data 1'!G$1,'Data 2'!$A$1:$F$1,0),0)</f>
        <v>Product05</v>
      </c>
      <c r="H48" s="39" t="str">
        <f>VLOOKUP('Data 1'!$B48,'Data 2'!$A$1:$F$46,MATCH('Data 1'!H$1,'Data 2'!$A$1:$F$1,0),0)</f>
        <v>Category01</v>
      </c>
      <c r="I48" s="39" t="str">
        <f>VLOOKUP('Data 1'!$B48,'Data 2'!$A$1:$F$46,MATCH('Data 1'!I$1,'Data 2'!$A$1:$F$1,0),0)</f>
        <v>Ft</v>
      </c>
      <c r="J48" s="39">
        <f>VLOOKUP('Data 1'!$B48,'Data 2'!$A$1:$F$46,MATCH('Data 1'!J$1,'Data 2'!$A$1:$F$1,0),0)</f>
        <v>133</v>
      </c>
      <c r="K48" s="39">
        <f>VLOOKUP('Data 1'!$B48,'Data 2'!$A$1:$F$46,MATCH('Data 1'!K$1,'Data 2'!$A$1:$F$1,0),0)</f>
        <v>155.61000000000001</v>
      </c>
      <c r="L48" s="40">
        <f>SUM('Data 1'!$J48*'Data 1'!$C48)</f>
        <v>266</v>
      </c>
      <c r="M48" s="40">
        <f>'Data 1'!$C48*'Data 1'!$K48</f>
        <v>311.22000000000003</v>
      </c>
      <c r="N48" s="40">
        <f>'Data 1'!$M48-'Data 1'!$L48</f>
        <v>45.220000000000027</v>
      </c>
      <c r="O48" s="37">
        <f>DAY('Data 1'!$A48)</f>
        <v>23</v>
      </c>
      <c r="P48" s="37" t="str">
        <f>TEXT('Data 1'!$A48,"mmm")</f>
        <v>Feb</v>
      </c>
      <c r="Q48" s="41">
        <f>YEAR('Data 1'!$A48)</f>
        <v>2021</v>
      </c>
    </row>
    <row r="49" spans="1:17" x14ac:dyDescent="0.3">
      <c r="A49" s="35">
        <v>44252</v>
      </c>
      <c r="B49" s="36" t="s">
        <v>48</v>
      </c>
      <c r="C49" s="37">
        <v>4</v>
      </c>
      <c r="D49" s="37" t="s">
        <v>16</v>
      </c>
      <c r="E49" s="37" t="s">
        <v>17</v>
      </c>
      <c r="F49" s="38">
        <v>0</v>
      </c>
      <c r="G49" s="42" t="str">
        <f>VLOOKUP('Data 1'!$B49,'Data 2'!$A$1:$F$46,MATCH('Data 1'!G$1,'Data 2'!$A$1:$F$1,0),0)</f>
        <v>Product02</v>
      </c>
      <c r="H49" s="42" t="str">
        <f>VLOOKUP('Data 1'!$B49,'Data 2'!$A$1:$F$46,MATCH('Data 1'!H$1,'Data 2'!$A$1:$F$1,0),0)</f>
        <v>Category01</v>
      </c>
      <c r="I49" s="42" t="str">
        <f>VLOOKUP('Data 1'!$B49,'Data 2'!$A$1:$F$46,MATCH('Data 1'!I$1,'Data 2'!$A$1:$F$1,0),0)</f>
        <v>Kg</v>
      </c>
      <c r="J49" s="42">
        <f>VLOOKUP('Data 1'!$B49,'Data 2'!$A$1:$F$46,MATCH('Data 1'!J$1,'Data 2'!$A$1:$F$1,0),0)</f>
        <v>105</v>
      </c>
      <c r="K49" s="42">
        <f>VLOOKUP('Data 1'!$B49,'Data 2'!$A$1:$F$46,MATCH('Data 1'!K$1,'Data 2'!$A$1:$F$1,0),0)</f>
        <v>142.80000000000001</v>
      </c>
      <c r="L49" s="40">
        <f>SUM('Data 1'!$J49*'Data 1'!$C49)</f>
        <v>420</v>
      </c>
      <c r="M49" s="40">
        <f>'Data 1'!$C49*'Data 1'!$K49</f>
        <v>571.20000000000005</v>
      </c>
      <c r="N49" s="40">
        <f>'Data 1'!$M49-'Data 1'!$L49</f>
        <v>151.20000000000005</v>
      </c>
      <c r="O49" s="37">
        <f>DAY('Data 1'!$A49)</f>
        <v>25</v>
      </c>
      <c r="P49" s="37" t="str">
        <f>TEXT('Data 1'!$A49,"mmm")</f>
        <v>Feb</v>
      </c>
      <c r="Q49" s="41">
        <f>YEAR('Data 1'!$A49)</f>
        <v>2021</v>
      </c>
    </row>
    <row r="50" spans="1:17" x14ac:dyDescent="0.3">
      <c r="A50" s="35">
        <v>44252</v>
      </c>
      <c r="B50" s="36" t="s">
        <v>37</v>
      </c>
      <c r="C50" s="37">
        <v>11</v>
      </c>
      <c r="D50" s="37" t="s">
        <v>17</v>
      </c>
      <c r="E50" s="37" t="s">
        <v>19</v>
      </c>
      <c r="F50" s="38">
        <v>0</v>
      </c>
      <c r="G50" s="39" t="str">
        <f>VLOOKUP('Data 1'!$B50,'Data 2'!$A$1:$F$46,MATCH('Data 1'!G$1,'Data 2'!$A$1:$F$1,0),0)</f>
        <v>Product32</v>
      </c>
      <c r="H50" s="39" t="str">
        <f>VLOOKUP('Data 1'!$B50,'Data 2'!$A$1:$F$46,MATCH('Data 1'!H$1,'Data 2'!$A$1:$F$1,0),0)</f>
        <v>Category04</v>
      </c>
      <c r="I50" s="39" t="str">
        <f>VLOOKUP('Data 1'!$B50,'Data 2'!$A$1:$F$46,MATCH('Data 1'!I$1,'Data 2'!$A$1:$F$1,0),0)</f>
        <v>Kg</v>
      </c>
      <c r="J50" s="39">
        <f>VLOOKUP('Data 1'!$B50,'Data 2'!$A$1:$F$46,MATCH('Data 1'!J$1,'Data 2'!$A$1:$F$1,0),0)</f>
        <v>89</v>
      </c>
      <c r="K50" s="39">
        <f>VLOOKUP('Data 1'!$B50,'Data 2'!$A$1:$F$46,MATCH('Data 1'!K$1,'Data 2'!$A$1:$F$1,0),0)</f>
        <v>117.48</v>
      </c>
      <c r="L50" s="40">
        <f>SUM('Data 1'!$J50*'Data 1'!$C50)</f>
        <v>979</v>
      </c>
      <c r="M50" s="40">
        <f>'Data 1'!$C50*'Data 1'!$K50</f>
        <v>1292.28</v>
      </c>
      <c r="N50" s="40">
        <f>'Data 1'!$M50-'Data 1'!$L50</f>
        <v>313.27999999999997</v>
      </c>
      <c r="O50" s="37">
        <f>DAY('Data 1'!$A50)</f>
        <v>25</v>
      </c>
      <c r="P50" s="37" t="str">
        <f>TEXT('Data 1'!$A50,"mmm")</f>
        <v>Feb</v>
      </c>
      <c r="Q50" s="41">
        <f>YEAR('Data 1'!$A50)</f>
        <v>2021</v>
      </c>
    </row>
    <row r="51" spans="1:17" x14ac:dyDescent="0.3">
      <c r="A51" s="35">
        <v>44252</v>
      </c>
      <c r="B51" s="36" t="s">
        <v>47</v>
      </c>
      <c r="C51" s="37">
        <v>2</v>
      </c>
      <c r="D51" s="37" t="s">
        <v>21</v>
      </c>
      <c r="E51" s="37" t="s">
        <v>17</v>
      </c>
      <c r="F51" s="38">
        <v>0</v>
      </c>
      <c r="G51" s="42" t="str">
        <f>VLOOKUP('Data 1'!$B51,'Data 2'!$A$1:$F$46,MATCH('Data 1'!G$1,'Data 2'!$A$1:$F$1,0),0)</f>
        <v>Product30</v>
      </c>
      <c r="H51" s="42" t="str">
        <f>VLOOKUP('Data 1'!$B51,'Data 2'!$A$1:$F$46,MATCH('Data 1'!H$1,'Data 2'!$A$1:$F$1,0),0)</f>
        <v>Category04</v>
      </c>
      <c r="I51" s="42" t="str">
        <f>VLOOKUP('Data 1'!$B51,'Data 2'!$A$1:$F$46,MATCH('Data 1'!I$1,'Data 2'!$A$1:$F$1,0),0)</f>
        <v>Ft</v>
      </c>
      <c r="J51" s="42">
        <f>VLOOKUP('Data 1'!$B51,'Data 2'!$A$1:$F$46,MATCH('Data 1'!J$1,'Data 2'!$A$1:$F$1,0),0)</f>
        <v>148</v>
      </c>
      <c r="K51" s="42">
        <f>VLOOKUP('Data 1'!$B51,'Data 2'!$A$1:$F$46,MATCH('Data 1'!K$1,'Data 2'!$A$1:$F$1,0),0)</f>
        <v>201.28</v>
      </c>
      <c r="L51" s="40">
        <f>SUM('Data 1'!$J51*'Data 1'!$C51)</f>
        <v>296</v>
      </c>
      <c r="M51" s="40">
        <f>'Data 1'!$C51*'Data 1'!$K51</f>
        <v>402.56</v>
      </c>
      <c r="N51" s="40">
        <f>'Data 1'!$M51-'Data 1'!$L51</f>
        <v>106.56</v>
      </c>
      <c r="O51" s="37">
        <f>DAY('Data 1'!$A51)</f>
        <v>25</v>
      </c>
      <c r="P51" s="37" t="str">
        <f>TEXT('Data 1'!$A51,"mmm")</f>
        <v>Feb</v>
      </c>
      <c r="Q51" s="41">
        <f>YEAR('Data 1'!$A51)</f>
        <v>2021</v>
      </c>
    </row>
    <row r="52" spans="1:17" x14ac:dyDescent="0.3">
      <c r="A52" s="35">
        <v>44254</v>
      </c>
      <c r="B52" s="36" t="s">
        <v>49</v>
      </c>
      <c r="C52" s="37">
        <v>11</v>
      </c>
      <c r="D52" s="37" t="s">
        <v>16</v>
      </c>
      <c r="E52" s="37" t="s">
        <v>17</v>
      </c>
      <c r="F52" s="38">
        <v>0</v>
      </c>
      <c r="G52" s="39" t="str">
        <f>VLOOKUP('Data 1'!$B52,'Data 2'!$A$1:$F$46,MATCH('Data 1'!G$1,'Data 2'!$A$1:$F$1,0),0)</f>
        <v>Product18</v>
      </c>
      <c r="H52" s="39" t="str">
        <f>VLOOKUP('Data 1'!$B52,'Data 2'!$A$1:$F$46,MATCH('Data 1'!H$1,'Data 2'!$A$1:$F$1,0),0)</f>
        <v>Category02</v>
      </c>
      <c r="I52" s="39" t="str">
        <f>VLOOKUP('Data 1'!$B52,'Data 2'!$A$1:$F$46,MATCH('Data 1'!I$1,'Data 2'!$A$1:$F$1,0),0)</f>
        <v>No.</v>
      </c>
      <c r="J52" s="39">
        <f>VLOOKUP('Data 1'!$B52,'Data 2'!$A$1:$F$46,MATCH('Data 1'!J$1,'Data 2'!$A$1:$F$1,0),0)</f>
        <v>37</v>
      </c>
      <c r="K52" s="39">
        <f>VLOOKUP('Data 1'!$B52,'Data 2'!$A$1:$F$46,MATCH('Data 1'!K$1,'Data 2'!$A$1:$F$1,0),0)</f>
        <v>49.21</v>
      </c>
      <c r="L52" s="40">
        <f>SUM('Data 1'!$J52*'Data 1'!$C52)</f>
        <v>407</v>
      </c>
      <c r="M52" s="40">
        <f>'Data 1'!$C52*'Data 1'!$K52</f>
        <v>541.31000000000006</v>
      </c>
      <c r="N52" s="40">
        <f>'Data 1'!$M52-'Data 1'!$L52</f>
        <v>134.31000000000006</v>
      </c>
      <c r="O52" s="37">
        <f>DAY('Data 1'!$A52)</f>
        <v>27</v>
      </c>
      <c r="P52" s="37" t="str">
        <f>TEXT('Data 1'!$A52,"mmm")</f>
        <v>Feb</v>
      </c>
      <c r="Q52" s="41">
        <f>YEAR('Data 1'!$A52)</f>
        <v>2021</v>
      </c>
    </row>
    <row r="53" spans="1:17" x14ac:dyDescent="0.3">
      <c r="A53" s="35">
        <v>44258</v>
      </c>
      <c r="B53" s="36" t="s">
        <v>50</v>
      </c>
      <c r="C53" s="37">
        <v>1</v>
      </c>
      <c r="D53" s="37" t="s">
        <v>21</v>
      </c>
      <c r="E53" s="37" t="s">
        <v>17</v>
      </c>
      <c r="F53" s="38">
        <v>0</v>
      </c>
      <c r="G53" s="42" t="str">
        <f>VLOOKUP('Data 1'!$B53,'Data 2'!$A$1:$F$46,MATCH('Data 1'!G$1,'Data 2'!$A$1:$F$1,0),0)</f>
        <v>Product11</v>
      </c>
      <c r="H53" s="42" t="str">
        <f>VLOOKUP('Data 1'!$B53,'Data 2'!$A$1:$F$46,MATCH('Data 1'!H$1,'Data 2'!$A$1:$F$1,0),0)</f>
        <v>Category02</v>
      </c>
      <c r="I53" s="42" t="str">
        <f>VLOOKUP('Data 1'!$B53,'Data 2'!$A$1:$F$46,MATCH('Data 1'!I$1,'Data 2'!$A$1:$F$1,0),0)</f>
        <v>Lt</v>
      </c>
      <c r="J53" s="42">
        <f>VLOOKUP('Data 1'!$B53,'Data 2'!$A$1:$F$46,MATCH('Data 1'!J$1,'Data 2'!$A$1:$F$1,0),0)</f>
        <v>44</v>
      </c>
      <c r="K53" s="42">
        <f>VLOOKUP('Data 1'!$B53,'Data 2'!$A$1:$F$46,MATCH('Data 1'!K$1,'Data 2'!$A$1:$F$1,0),0)</f>
        <v>48.4</v>
      </c>
      <c r="L53" s="40">
        <f>SUM('Data 1'!$J53*'Data 1'!$C53)</f>
        <v>44</v>
      </c>
      <c r="M53" s="40">
        <f>'Data 1'!$C53*'Data 1'!$K53</f>
        <v>48.4</v>
      </c>
      <c r="N53" s="40">
        <f>'Data 1'!$M53-'Data 1'!$L53</f>
        <v>4.3999999999999986</v>
      </c>
      <c r="O53" s="37">
        <f>DAY('Data 1'!$A53)</f>
        <v>3</v>
      </c>
      <c r="P53" s="37" t="str">
        <f>TEXT('Data 1'!$A53,"mmm")</f>
        <v>Mar</v>
      </c>
      <c r="Q53" s="41">
        <f>YEAR('Data 1'!$A53)</f>
        <v>2021</v>
      </c>
    </row>
    <row r="54" spans="1:17" x14ac:dyDescent="0.3">
      <c r="A54" s="35">
        <v>44262</v>
      </c>
      <c r="B54" s="36" t="s">
        <v>51</v>
      </c>
      <c r="C54" s="37">
        <v>9</v>
      </c>
      <c r="D54" s="37" t="s">
        <v>21</v>
      </c>
      <c r="E54" s="37" t="s">
        <v>19</v>
      </c>
      <c r="F54" s="38">
        <v>0</v>
      </c>
      <c r="G54" s="39" t="str">
        <f>VLOOKUP('Data 1'!$B54,'Data 2'!$A$1:$F$46,MATCH('Data 1'!G$1,'Data 2'!$A$1:$F$1,0),0)</f>
        <v>Product21</v>
      </c>
      <c r="H54" s="39" t="str">
        <f>VLOOKUP('Data 1'!$B54,'Data 2'!$A$1:$F$46,MATCH('Data 1'!H$1,'Data 2'!$A$1:$F$1,0),0)</f>
        <v>Category03</v>
      </c>
      <c r="I54" s="39" t="str">
        <f>VLOOKUP('Data 1'!$B54,'Data 2'!$A$1:$F$46,MATCH('Data 1'!I$1,'Data 2'!$A$1:$F$1,0),0)</f>
        <v>Ft</v>
      </c>
      <c r="J54" s="39">
        <f>VLOOKUP('Data 1'!$B54,'Data 2'!$A$1:$F$46,MATCH('Data 1'!J$1,'Data 2'!$A$1:$F$1,0),0)</f>
        <v>126</v>
      </c>
      <c r="K54" s="39">
        <f>VLOOKUP('Data 1'!$B54,'Data 2'!$A$1:$F$46,MATCH('Data 1'!K$1,'Data 2'!$A$1:$F$1,0),0)</f>
        <v>162.54</v>
      </c>
      <c r="L54" s="40">
        <f>SUM('Data 1'!$J54*'Data 1'!$C54)</f>
        <v>1134</v>
      </c>
      <c r="M54" s="40">
        <f>'Data 1'!$C54*'Data 1'!$K54</f>
        <v>1462.86</v>
      </c>
      <c r="N54" s="40">
        <f>'Data 1'!$M54-'Data 1'!$L54</f>
        <v>328.8599999999999</v>
      </c>
      <c r="O54" s="37">
        <f>DAY('Data 1'!$A54)</f>
        <v>7</v>
      </c>
      <c r="P54" s="37" t="str">
        <f>TEXT('Data 1'!$A54,"mmm")</f>
        <v>Mar</v>
      </c>
      <c r="Q54" s="41">
        <f>YEAR('Data 1'!$A54)</f>
        <v>2021</v>
      </c>
    </row>
    <row r="55" spans="1:17" x14ac:dyDescent="0.3">
      <c r="A55" s="35">
        <v>44263</v>
      </c>
      <c r="B55" s="36" t="s">
        <v>45</v>
      </c>
      <c r="C55" s="37">
        <v>6</v>
      </c>
      <c r="D55" s="37" t="s">
        <v>17</v>
      </c>
      <c r="E55" s="37" t="s">
        <v>19</v>
      </c>
      <c r="F55" s="38">
        <v>0</v>
      </c>
      <c r="G55" s="42" t="str">
        <f>VLOOKUP('Data 1'!$B55,'Data 2'!$A$1:$F$46,MATCH('Data 1'!G$1,'Data 2'!$A$1:$F$1,0),0)</f>
        <v>Product27</v>
      </c>
      <c r="H55" s="42" t="str">
        <f>VLOOKUP('Data 1'!$B55,'Data 2'!$A$1:$F$46,MATCH('Data 1'!H$1,'Data 2'!$A$1:$F$1,0),0)</f>
        <v>Category04</v>
      </c>
      <c r="I55" s="42" t="str">
        <f>VLOOKUP('Data 1'!$B55,'Data 2'!$A$1:$F$46,MATCH('Data 1'!I$1,'Data 2'!$A$1:$F$1,0),0)</f>
        <v>Lt</v>
      </c>
      <c r="J55" s="42">
        <f>VLOOKUP('Data 1'!$B55,'Data 2'!$A$1:$F$46,MATCH('Data 1'!J$1,'Data 2'!$A$1:$F$1,0),0)</f>
        <v>48</v>
      </c>
      <c r="K55" s="42">
        <f>VLOOKUP('Data 1'!$B55,'Data 2'!$A$1:$F$46,MATCH('Data 1'!K$1,'Data 2'!$A$1:$F$1,0),0)</f>
        <v>57.120000000000005</v>
      </c>
      <c r="L55" s="40">
        <f>SUM('Data 1'!$J55*'Data 1'!$C55)</f>
        <v>288</v>
      </c>
      <c r="M55" s="40">
        <f>'Data 1'!$C55*'Data 1'!$K55</f>
        <v>342.72</v>
      </c>
      <c r="N55" s="40">
        <f>'Data 1'!$M55-'Data 1'!$L55</f>
        <v>54.720000000000027</v>
      </c>
      <c r="O55" s="37">
        <f>DAY('Data 1'!$A55)</f>
        <v>8</v>
      </c>
      <c r="P55" s="37" t="str">
        <f>TEXT('Data 1'!$A55,"mmm")</f>
        <v>Mar</v>
      </c>
      <c r="Q55" s="41">
        <f>YEAR('Data 1'!$A55)</f>
        <v>2021</v>
      </c>
    </row>
    <row r="56" spans="1:17" x14ac:dyDescent="0.3">
      <c r="A56" s="35">
        <v>44263</v>
      </c>
      <c r="B56" s="36" t="s">
        <v>30</v>
      </c>
      <c r="C56" s="37">
        <v>9</v>
      </c>
      <c r="D56" s="37" t="s">
        <v>17</v>
      </c>
      <c r="E56" s="37" t="s">
        <v>17</v>
      </c>
      <c r="F56" s="38">
        <v>0</v>
      </c>
      <c r="G56" s="39" t="str">
        <f>VLOOKUP('Data 1'!$B56,'Data 2'!$A$1:$F$46,MATCH('Data 1'!G$1,'Data 2'!$A$1:$F$1,0),0)</f>
        <v>Product44</v>
      </c>
      <c r="H56" s="39" t="str">
        <f>VLOOKUP('Data 1'!$B56,'Data 2'!$A$1:$F$46,MATCH('Data 1'!H$1,'Data 2'!$A$1:$F$1,0),0)</f>
        <v>Category05</v>
      </c>
      <c r="I56" s="39" t="str">
        <f>VLOOKUP('Data 1'!$B56,'Data 2'!$A$1:$F$46,MATCH('Data 1'!I$1,'Data 2'!$A$1:$F$1,0),0)</f>
        <v>Kg</v>
      </c>
      <c r="J56" s="39">
        <f>VLOOKUP('Data 1'!$B56,'Data 2'!$A$1:$F$46,MATCH('Data 1'!J$1,'Data 2'!$A$1:$F$1,0),0)</f>
        <v>76</v>
      </c>
      <c r="K56" s="39">
        <f>VLOOKUP('Data 1'!$B56,'Data 2'!$A$1:$F$46,MATCH('Data 1'!K$1,'Data 2'!$A$1:$F$1,0),0)</f>
        <v>82.08</v>
      </c>
      <c r="L56" s="40">
        <f>SUM('Data 1'!$J56*'Data 1'!$C56)</f>
        <v>684</v>
      </c>
      <c r="M56" s="40">
        <f>'Data 1'!$C56*'Data 1'!$K56</f>
        <v>738.72</v>
      </c>
      <c r="N56" s="40">
        <f>'Data 1'!$M56-'Data 1'!$L56</f>
        <v>54.720000000000027</v>
      </c>
      <c r="O56" s="37">
        <f>DAY('Data 1'!$A56)</f>
        <v>8</v>
      </c>
      <c r="P56" s="37" t="str">
        <f>TEXT('Data 1'!$A56,"mmm")</f>
        <v>Mar</v>
      </c>
      <c r="Q56" s="41">
        <f>YEAR('Data 1'!$A56)</f>
        <v>2021</v>
      </c>
    </row>
    <row r="57" spans="1:17" x14ac:dyDescent="0.3">
      <c r="A57" s="35">
        <v>44264</v>
      </c>
      <c r="B57" s="36" t="s">
        <v>38</v>
      </c>
      <c r="C57" s="37">
        <v>6</v>
      </c>
      <c r="D57" s="37" t="s">
        <v>16</v>
      </c>
      <c r="E57" s="37" t="s">
        <v>17</v>
      </c>
      <c r="F57" s="38">
        <v>0</v>
      </c>
      <c r="G57" s="42" t="str">
        <f>VLOOKUP('Data 1'!$B57,'Data 2'!$A$1:$F$46,MATCH('Data 1'!G$1,'Data 2'!$A$1:$F$1,0),0)</f>
        <v>Product29</v>
      </c>
      <c r="H57" s="42" t="str">
        <f>VLOOKUP('Data 1'!$B57,'Data 2'!$A$1:$F$46,MATCH('Data 1'!H$1,'Data 2'!$A$1:$F$1,0),0)</f>
        <v>Category04</v>
      </c>
      <c r="I57" s="42" t="str">
        <f>VLOOKUP('Data 1'!$B57,'Data 2'!$A$1:$F$46,MATCH('Data 1'!I$1,'Data 2'!$A$1:$F$1,0),0)</f>
        <v>Lt</v>
      </c>
      <c r="J57" s="42">
        <f>VLOOKUP('Data 1'!$B57,'Data 2'!$A$1:$F$46,MATCH('Data 1'!J$1,'Data 2'!$A$1:$F$1,0),0)</f>
        <v>47</v>
      </c>
      <c r="K57" s="42">
        <f>VLOOKUP('Data 1'!$B57,'Data 2'!$A$1:$F$46,MATCH('Data 1'!K$1,'Data 2'!$A$1:$F$1,0),0)</f>
        <v>53.11</v>
      </c>
      <c r="L57" s="40">
        <f>SUM('Data 1'!$J57*'Data 1'!$C57)</f>
        <v>282</v>
      </c>
      <c r="M57" s="40">
        <f>'Data 1'!$C57*'Data 1'!$K57</f>
        <v>318.65999999999997</v>
      </c>
      <c r="N57" s="40">
        <f>'Data 1'!$M57-'Data 1'!$L57</f>
        <v>36.659999999999968</v>
      </c>
      <c r="O57" s="37">
        <f>DAY('Data 1'!$A57)</f>
        <v>9</v>
      </c>
      <c r="P57" s="37" t="str">
        <f>TEXT('Data 1'!$A57,"mmm")</f>
        <v>Mar</v>
      </c>
      <c r="Q57" s="41">
        <f>YEAR('Data 1'!$A57)</f>
        <v>2021</v>
      </c>
    </row>
    <row r="58" spans="1:17" x14ac:dyDescent="0.3">
      <c r="A58" s="35">
        <v>44266</v>
      </c>
      <c r="B58" s="36" t="s">
        <v>26</v>
      </c>
      <c r="C58" s="37">
        <v>11</v>
      </c>
      <c r="D58" s="37" t="s">
        <v>21</v>
      </c>
      <c r="E58" s="37" t="s">
        <v>19</v>
      </c>
      <c r="F58" s="38">
        <v>0</v>
      </c>
      <c r="G58" s="39" t="str">
        <f>VLOOKUP('Data 1'!$B58,'Data 2'!$A$1:$F$46,MATCH('Data 1'!G$1,'Data 2'!$A$1:$F$1,0),0)</f>
        <v>Product25</v>
      </c>
      <c r="H58" s="39" t="str">
        <f>VLOOKUP('Data 1'!$B58,'Data 2'!$A$1:$F$46,MATCH('Data 1'!H$1,'Data 2'!$A$1:$F$1,0),0)</f>
        <v>Category03</v>
      </c>
      <c r="I58" s="39" t="str">
        <f>VLOOKUP('Data 1'!$B58,'Data 2'!$A$1:$F$46,MATCH('Data 1'!I$1,'Data 2'!$A$1:$F$1,0),0)</f>
        <v>No.</v>
      </c>
      <c r="J58" s="39">
        <f>VLOOKUP('Data 1'!$B58,'Data 2'!$A$1:$F$46,MATCH('Data 1'!J$1,'Data 2'!$A$1:$F$1,0),0)</f>
        <v>7</v>
      </c>
      <c r="K58" s="39">
        <f>VLOOKUP('Data 1'!$B58,'Data 2'!$A$1:$F$46,MATCH('Data 1'!K$1,'Data 2'!$A$1:$F$1,0),0)</f>
        <v>8.33</v>
      </c>
      <c r="L58" s="40">
        <f>SUM('Data 1'!$J58*'Data 1'!$C58)</f>
        <v>77</v>
      </c>
      <c r="M58" s="40">
        <f>'Data 1'!$C58*'Data 1'!$K58</f>
        <v>91.63</v>
      </c>
      <c r="N58" s="40">
        <f>'Data 1'!$M58-'Data 1'!$L58</f>
        <v>14.629999999999995</v>
      </c>
      <c r="O58" s="37">
        <f>DAY('Data 1'!$A58)</f>
        <v>11</v>
      </c>
      <c r="P58" s="37" t="str">
        <f>TEXT('Data 1'!$A58,"mmm")</f>
        <v>Mar</v>
      </c>
      <c r="Q58" s="41">
        <f>YEAR('Data 1'!$A58)</f>
        <v>2021</v>
      </c>
    </row>
    <row r="59" spans="1:17" x14ac:dyDescent="0.3">
      <c r="A59" s="35">
        <v>44268</v>
      </c>
      <c r="B59" s="36" t="s">
        <v>52</v>
      </c>
      <c r="C59" s="37">
        <v>10</v>
      </c>
      <c r="D59" s="37" t="s">
        <v>16</v>
      </c>
      <c r="E59" s="37" t="s">
        <v>19</v>
      </c>
      <c r="F59" s="38">
        <v>0</v>
      </c>
      <c r="G59" s="42" t="str">
        <f>VLOOKUP('Data 1'!$B59,'Data 2'!$A$1:$F$46,MATCH('Data 1'!G$1,'Data 2'!$A$1:$F$1,0),0)</f>
        <v>Product28</v>
      </c>
      <c r="H59" s="42" t="str">
        <f>VLOOKUP('Data 1'!$B59,'Data 2'!$A$1:$F$46,MATCH('Data 1'!H$1,'Data 2'!$A$1:$F$1,0),0)</f>
        <v>Category04</v>
      </c>
      <c r="I59" s="42" t="str">
        <f>VLOOKUP('Data 1'!$B59,'Data 2'!$A$1:$F$46,MATCH('Data 1'!I$1,'Data 2'!$A$1:$F$1,0),0)</f>
        <v>No.</v>
      </c>
      <c r="J59" s="42">
        <f>VLOOKUP('Data 1'!$B59,'Data 2'!$A$1:$F$46,MATCH('Data 1'!J$1,'Data 2'!$A$1:$F$1,0),0)</f>
        <v>37</v>
      </c>
      <c r="K59" s="42">
        <f>VLOOKUP('Data 1'!$B59,'Data 2'!$A$1:$F$46,MATCH('Data 1'!K$1,'Data 2'!$A$1:$F$1,0),0)</f>
        <v>41.81</v>
      </c>
      <c r="L59" s="40">
        <f>SUM('Data 1'!$J59*'Data 1'!$C59)</f>
        <v>370</v>
      </c>
      <c r="M59" s="40">
        <f>'Data 1'!$C59*'Data 1'!$K59</f>
        <v>418.1</v>
      </c>
      <c r="N59" s="40">
        <f>'Data 1'!$M59-'Data 1'!$L59</f>
        <v>48.100000000000023</v>
      </c>
      <c r="O59" s="37">
        <f>DAY('Data 1'!$A59)</f>
        <v>13</v>
      </c>
      <c r="P59" s="37" t="str">
        <f>TEXT('Data 1'!$A59,"mmm")</f>
        <v>Mar</v>
      </c>
      <c r="Q59" s="41">
        <f>YEAR('Data 1'!$A59)</f>
        <v>2021</v>
      </c>
    </row>
    <row r="60" spans="1:17" x14ac:dyDescent="0.3">
      <c r="A60" s="35">
        <v>44270</v>
      </c>
      <c r="B60" s="36" t="s">
        <v>53</v>
      </c>
      <c r="C60" s="37">
        <v>11</v>
      </c>
      <c r="D60" s="37" t="s">
        <v>17</v>
      </c>
      <c r="E60" s="37" t="s">
        <v>19</v>
      </c>
      <c r="F60" s="38">
        <v>0</v>
      </c>
      <c r="G60" s="39" t="str">
        <f>VLOOKUP('Data 1'!$B60,'Data 2'!$A$1:$F$46,MATCH('Data 1'!G$1,'Data 2'!$A$1:$F$1,0),0)</f>
        <v>Product39</v>
      </c>
      <c r="H60" s="39" t="str">
        <f>VLOOKUP('Data 1'!$B60,'Data 2'!$A$1:$F$46,MATCH('Data 1'!H$1,'Data 2'!$A$1:$F$1,0),0)</f>
        <v>Category05</v>
      </c>
      <c r="I60" s="39" t="str">
        <f>VLOOKUP('Data 1'!$B60,'Data 2'!$A$1:$F$46,MATCH('Data 1'!I$1,'Data 2'!$A$1:$F$1,0),0)</f>
        <v>No.</v>
      </c>
      <c r="J60" s="39">
        <f>VLOOKUP('Data 1'!$B60,'Data 2'!$A$1:$F$46,MATCH('Data 1'!J$1,'Data 2'!$A$1:$F$1,0),0)</f>
        <v>37</v>
      </c>
      <c r="K60" s="39">
        <f>VLOOKUP('Data 1'!$B60,'Data 2'!$A$1:$F$46,MATCH('Data 1'!K$1,'Data 2'!$A$1:$F$1,0),0)</f>
        <v>42.55</v>
      </c>
      <c r="L60" s="40">
        <f>SUM('Data 1'!$J60*'Data 1'!$C60)</f>
        <v>407</v>
      </c>
      <c r="M60" s="40">
        <f>'Data 1'!$C60*'Data 1'!$K60</f>
        <v>468.04999999999995</v>
      </c>
      <c r="N60" s="40">
        <f>'Data 1'!$M60-'Data 1'!$L60</f>
        <v>61.049999999999955</v>
      </c>
      <c r="O60" s="37">
        <f>DAY('Data 1'!$A60)</f>
        <v>15</v>
      </c>
      <c r="P60" s="37" t="str">
        <f>TEXT('Data 1'!$A60,"mmm")</f>
        <v>Mar</v>
      </c>
      <c r="Q60" s="41">
        <f>YEAR('Data 1'!$A60)</f>
        <v>2021</v>
      </c>
    </row>
    <row r="61" spans="1:17" x14ac:dyDescent="0.3">
      <c r="A61" s="35">
        <v>44271</v>
      </c>
      <c r="B61" s="36" t="s">
        <v>54</v>
      </c>
      <c r="C61" s="37">
        <v>14</v>
      </c>
      <c r="D61" s="37" t="s">
        <v>21</v>
      </c>
      <c r="E61" s="37" t="s">
        <v>19</v>
      </c>
      <c r="F61" s="38">
        <v>0</v>
      </c>
      <c r="G61" s="42" t="str">
        <f>VLOOKUP('Data 1'!$B61,'Data 2'!$A$1:$F$46,MATCH('Data 1'!G$1,'Data 2'!$A$1:$F$1,0),0)</f>
        <v>Product12</v>
      </c>
      <c r="H61" s="42" t="str">
        <f>VLOOKUP('Data 1'!$B61,'Data 2'!$A$1:$F$46,MATCH('Data 1'!H$1,'Data 2'!$A$1:$F$1,0),0)</f>
        <v>Category02</v>
      </c>
      <c r="I61" s="42" t="str">
        <f>VLOOKUP('Data 1'!$B61,'Data 2'!$A$1:$F$46,MATCH('Data 1'!I$1,'Data 2'!$A$1:$F$1,0),0)</f>
        <v>Kg</v>
      </c>
      <c r="J61" s="42">
        <f>VLOOKUP('Data 1'!$B61,'Data 2'!$A$1:$F$46,MATCH('Data 1'!J$1,'Data 2'!$A$1:$F$1,0),0)</f>
        <v>73</v>
      </c>
      <c r="K61" s="42">
        <f>VLOOKUP('Data 1'!$B61,'Data 2'!$A$1:$F$46,MATCH('Data 1'!K$1,'Data 2'!$A$1:$F$1,0),0)</f>
        <v>94.17</v>
      </c>
      <c r="L61" s="40">
        <f>SUM('Data 1'!$J61*'Data 1'!$C61)</f>
        <v>1022</v>
      </c>
      <c r="M61" s="40">
        <f>'Data 1'!$C61*'Data 1'!$K61</f>
        <v>1318.38</v>
      </c>
      <c r="N61" s="40">
        <f>'Data 1'!$M61-'Data 1'!$L61</f>
        <v>296.38000000000011</v>
      </c>
      <c r="O61" s="37">
        <f>DAY('Data 1'!$A61)</f>
        <v>16</v>
      </c>
      <c r="P61" s="37" t="str">
        <f>TEXT('Data 1'!$A61,"mmm")</f>
        <v>Mar</v>
      </c>
      <c r="Q61" s="41">
        <f>YEAR('Data 1'!$A61)</f>
        <v>2021</v>
      </c>
    </row>
    <row r="62" spans="1:17" x14ac:dyDescent="0.3">
      <c r="A62" s="35">
        <v>44273</v>
      </c>
      <c r="B62" s="36" t="s">
        <v>29</v>
      </c>
      <c r="C62" s="37">
        <v>8</v>
      </c>
      <c r="D62" s="37" t="s">
        <v>16</v>
      </c>
      <c r="E62" s="37" t="s">
        <v>19</v>
      </c>
      <c r="F62" s="38">
        <v>0</v>
      </c>
      <c r="G62" s="39" t="str">
        <f>VLOOKUP('Data 1'!$B62,'Data 2'!$A$1:$F$46,MATCH('Data 1'!G$1,'Data 2'!$A$1:$F$1,0),0)</f>
        <v>Product42</v>
      </c>
      <c r="H62" s="39" t="str">
        <f>VLOOKUP('Data 1'!$B62,'Data 2'!$A$1:$F$46,MATCH('Data 1'!H$1,'Data 2'!$A$1:$F$1,0),0)</f>
        <v>Category05</v>
      </c>
      <c r="I62" s="39" t="str">
        <f>VLOOKUP('Data 1'!$B62,'Data 2'!$A$1:$F$46,MATCH('Data 1'!I$1,'Data 2'!$A$1:$F$1,0),0)</f>
        <v>Ft</v>
      </c>
      <c r="J62" s="39">
        <f>VLOOKUP('Data 1'!$B62,'Data 2'!$A$1:$F$46,MATCH('Data 1'!J$1,'Data 2'!$A$1:$F$1,0),0)</f>
        <v>120</v>
      </c>
      <c r="K62" s="39">
        <f>VLOOKUP('Data 1'!$B62,'Data 2'!$A$1:$F$46,MATCH('Data 1'!K$1,'Data 2'!$A$1:$F$1,0),0)</f>
        <v>162</v>
      </c>
      <c r="L62" s="40">
        <f>SUM('Data 1'!$J62*'Data 1'!$C62)</f>
        <v>960</v>
      </c>
      <c r="M62" s="40">
        <f>'Data 1'!$C62*'Data 1'!$K62</f>
        <v>1296</v>
      </c>
      <c r="N62" s="40">
        <f>'Data 1'!$M62-'Data 1'!$L62</f>
        <v>336</v>
      </c>
      <c r="O62" s="37">
        <f>DAY('Data 1'!$A62)</f>
        <v>18</v>
      </c>
      <c r="P62" s="37" t="str">
        <f>TEXT('Data 1'!$A62,"mmm")</f>
        <v>Mar</v>
      </c>
      <c r="Q62" s="41">
        <f>YEAR('Data 1'!$A62)</f>
        <v>2021</v>
      </c>
    </row>
    <row r="63" spans="1:17" x14ac:dyDescent="0.3">
      <c r="A63" s="35">
        <v>44274</v>
      </c>
      <c r="B63" s="36" t="s">
        <v>52</v>
      </c>
      <c r="C63" s="37">
        <v>9</v>
      </c>
      <c r="D63" s="37" t="s">
        <v>17</v>
      </c>
      <c r="E63" s="37" t="s">
        <v>19</v>
      </c>
      <c r="F63" s="38">
        <v>0</v>
      </c>
      <c r="G63" s="42" t="str">
        <f>VLOOKUP('Data 1'!$B63,'Data 2'!$A$1:$F$46,MATCH('Data 1'!G$1,'Data 2'!$A$1:$F$1,0),0)</f>
        <v>Product28</v>
      </c>
      <c r="H63" s="42" t="str">
        <f>VLOOKUP('Data 1'!$B63,'Data 2'!$A$1:$F$46,MATCH('Data 1'!H$1,'Data 2'!$A$1:$F$1,0),0)</f>
        <v>Category04</v>
      </c>
      <c r="I63" s="42" t="str">
        <f>VLOOKUP('Data 1'!$B63,'Data 2'!$A$1:$F$46,MATCH('Data 1'!I$1,'Data 2'!$A$1:$F$1,0),0)</f>
        <v>No.</v>
      </c>
      <c r="J63" s="42">
        <f>VLOOKUP('Data 1'!$B63,'Data 2'!$A$1:$F$46,MATCH('Data 1'!J$1,'Data 2'!$A$1:$F$1,0),0)</f>
        <v>37</v>
      </c>
      <c r="K63" s="42">
        <f>VLOOKUP('Data 1'!$B63,'Data 2'!$A$1:$F$46,MATCH('Data 1'!K$1,'Data 2'!$A$1:$F$1,0),0)</f>
        <v>41.81</v>
      </c>
      <c r="L63" s="40">
        <f>SUM('Data 1'!$J63*'Data 1'!$C63)</f>
        <v>333</v>
      </c>
      <c r="M63" s="40">
        <f>'Data 1'!$C63*'Data 1'!$K63</f>
        <v>376.29</v>
      </c>
      <c r="N63" s="40">
        <f>'Data 1'!$M63-'Data 1'!$L63</f>
        <v>43.29000000000002</v>
      </c>
      <c r="O63" s="37">
        <f>DAY('Data 1'!$A63)</f>
        <v>19</v>
      </c>
      <c r="P63" s="37" t="str">
        <f>TEXT('Data 1'!$A63,"mmm")</f>
        <v>Mar</v>
      </c>
      <c r="Q63" s="41">
        <f>YEAR('Data 1'!$A63)</f>
        <v>2021</v>
      </c>
    </row>
    <row r="64" spans="1:17" x14ac:dyDescent="0.3">
      <c r="A64" s="35">
        <v>44276</v>
      </c>
      <c r="B64" s="36" t="s">
        <v>33</v>
      </c>
      <c r="C64" s="37">
        <v>13</v>
      </c>
      <c r="D64" s="37" t="s">
        <v>17</v>
      </c>
      <c r="E64" s="37" t="s">
        <v>17</v>
      </c>
      <c r="F64" s="38">
        <v>0</v>
      </c>
      <c r="G64" s="39" t="str">
        <f>VLOOKUP('Data 1'!$B64,'Data 2'!$A$1:$F$46,MATCH('Data 1'!G$1,'Data 2'!$A$1:$F$1,0),0)</f>
        <v>Product20</v>
      </c>
      <c r="H64" s="39" t="str">
        <f>VLOOKUP('Data 1'!$B64,'Data 2'!$A$1:$F$46,MATCH('Data 1'!H$1,'Data 2'!$A$1:$F$1,0),0)</f>
        <v>Category03</v>
      </c>
      <c r="I64" s="39" t="str">
        <f>VLOOKUP('Data 1'!$B64,'Data 2'!$A$1:$F$46,MATCH('Data 1'!I$1,'Data 2'!$A$1:$F$1,0),0)</f>
        <v>Lt</v>
      </c>
      <c r="J64" s="39">
        <f>VLOOKUP('Data 1'!$B64,'Data 2'!$A$1:$F$46,MATCH('Data 1'!J$1,'Data 2'!$A$1:$F$1,0),0)</f>
        <v>61</v>
      </c>
      <c r="K64" s="39">
        <f>VLOOKUP('Data 1'!$B64,'Data 2'!$A$1:$F$46,MATCH('Data 1'!K$1,'Data 2'!$A$1:$F$1,0),0)</f>
        <v>76.25</v>
      </c>
      <c r="L64" s="40">
        <f>SUM('Data 1'!$J64*'Data 1'!$C64)</f>
        <v>793</v>
      </c>
      <c r="M64" s="40">
        <f>'Data 1'!$C64*'Data 1'!$K64</f>
        <v>991.25</v>
      </c>
      <c r="N64" s="40">
        <f>'Data 1'!$M64-'Data 1'!$L64</f>
        <v>198.25</v>
      </c>
      <c r="O64" s="37">
        <f>DAY('Data 1'!$A64)</f>
        <v>21</v>
      </c>
      <c r="P64" s="37" t="str">
        <f>TEXT('Data 1'!$A64,"mmm")</f>
        <v>Mar</v>
      </c>
      <c r="Q64" s="41">
        <f>YEAR('Data 1'!$A64)</f>
        <v>2021</v>
      </c>
    </row>
    <row r="65" spans="1:17" x14ac:dyDescent="0.3">
      <c r="A65" s="35">
        <v>44276</v>
      </c>
      <c r="B65" s="36" t="s">
        <v>53</v>
      </c>
      <c r="C65" s="37">
        <v>7</v>
      </c>
      <c r="D65" s="37" t="s">
        <v>21</v>
      </c>
      <c r="E65" s="37" t="s">
        <v>17</v>
      </c>
      <c r="F65" s="38">
        <v>0</v>
      </c>
      <c r="G65" s="42" t="str">
        <f>VLOOKUP('Data 1'!$B65,'Data 2'!$A$1:$F$46,MATCH('Data 1'!G$1,'Data 2'!$A$1:$F$1,0),0)</f>
        <v>Product39</v>
      </c>
      <c r="H65" s="42" t="str">
        <f>VLOOKUP('Data 1'!$B65,'Data 2'!$A$1:$F$46,MATCH('Data 1'!H$1,'Data 2'!$A$1:$F$1,0),0)</f>
        <v>Category05</v>
      </c>
      <c r="I65" s="42" t="str">
        <f>VLOOKUP('Data 1'!$B65,'Data 2'!$A$1:$F$46,MATCH('Data 1'!I$1,'Data 2'!$A$1:$F$1,0),0)</f>
        <v>No.</v>
      </c>
      <c r="J65" s="42">
        <f>VLOOKUP('Data 1'!$B65,'Data 2'!$A$1:$F$46,MATCH('Data 1'!J$1,'Data 2'!$A$1:$F$1,0),0)</f>
        <v>37</v>
      </c>
      <c r="K65" s="42">
        <f>VLOOKUP('Data 1'!$B65,'Data 2'!$A$1:$F$46,MATCH('Data 1'!K$1,'Data 2'!$A$1:$F$1,0),0)</f>
        <v>42.55</v>
      </c>
      <c r="L65" s="40">
        <f>SUM('Data 1'!$J65*'Data 1'!$C65)</f>
        <v>259</v>
      </c>
      <c r="M65" s="40">
        <f>'Data 1'!$C65*'Data 1'!$K65</f>
        <v>297.84999999999997</v>
      </c>
      <c r="N65" s="40">
        <f>'Data 1'!$M65-'Data 1'!$L65</f>
        <v>38.849999999999966</v>
      </c>
      <c r="O65" s="37">
        <f>DAY('Data 1'!$A65)</f>
        <v>21</v>
      </c>
      <c r="P65" s="37" t="str">
        <f>TEXT('Data 1'!$A65,"mmm")</f>
        <v>Mar</v>
      </c>
      <c r="Q65" s="41">
        <f>YEAR('Data 1'!$A65)</f>
        <v>2021</v>
      </c>
    </row>
    <row r="66" spans="1:17" x14ac:dyDescent="0.3">
      <c r="A66" s="35">
        <v>44277</v>
      </c>
      <c r="B66" s="36" t="s">
        <v>48</v>
      </c>
      <c r="C66" s="37">
        <v>8</v>
      </c>
      <c r="D66" s="37" t="s">
        <v>17</v>
      </c>
      <c r="E66" s="37" t="s">
        <v>17</v>
      </c>
      <c r="F66" s="38">
        <v>0</v>
      </c>
      <c r="G66" s="39" t="str">
        <f>VLOOKUP('Data 1'!$B66,'Data 2'!$A$1:$F$46,MATCH('Data 1'!G$1,'Data 2'!$A$1:$F$1,0),0)</f>
        <v>Product02</v>
      </c>
      <c r="H66" s="39" t="str">
        <f>VLOOKUP('Data 1'!$B66,'Data 2'!$A$1:$F$46,MATCH('Data 1'!H$1,'Data 2'!$A$1:$F$1,0),0)</f>
        <v>Category01</v>
      </c>
      <c r="I66" s="39" t="str">
        <f>VLOOKUP('Data 1'!$B66,'Data 2'!$A$1:$F$46,MATCH('Data 1'!I$1,'Data 2'!$A$1:$F$1,0),0)</f>
        <v>Kg</v>
      </c>
      <c r="J66" s="39">
        <f>VLOOKUP('Data 1'!$B66,'Data 2'!$A$1:$F$46,MATCH('Data 1'!J$1,'Data 2'!$A$1:$F$1,0),0)</f>
        <v>105</v>
      </c>
      <c r="K66" s="39">
        <f>VLOOKUP('Data 1'!$B66,'Data 2'!$A$1:$F$46,MATCH('Data 1'!K$1,'Data 2'!$A$1:$F$1,0),0)</f>
        <v>142.80000000000001</v>
      </c>
      <c r="L66" s="40">
        <f>SUM('Data 1'!$J66*'Data 1'!$C66)</f>
        <v>840</v>
      </c>
      <c r="M66" s="40">
        <f>'Data 1'!$C66*'Data 1'!$K66</f>
        <v>1142.4000000000001</v>
      </c>
      <c r="N66" s="40">
        <f>'Data 1'!$M66-'Data 1'!$L66</f>
        <v>302.40000000000009</v>
      </c>
      <c r="O66" s="37">
        <f>DAY('Data 1'!$A66)</f>
        <v>22</v>
      </c>
      <c r="P66" s="37" t="str">
        <f>TEXT('Data 1'!$A66,"mmm")</f>
        <v>Mar</v>
      </c>
      <c r="Q66" s="41">
        <f>YEAR('Data 1'!$A66)</f>
        <v>2021</v>
      </c>
    </row>
    <row r="67" spans="1:17" x14ac:dyDescent="0.3">
      <c r="A67" s="35">
        <v>44277</v>
      </c>
      <c r="B67" s="36" t="s">
        <v>54</v>
      </c>
      <c r="C67" s="37">
        <v>4</v>
      </c>
      <c r="D67" s="37" t="s">
        <v>17</v>
      </c>
      <c r="E67" s="37" t="s">
        <v>17</v>
      </c>
      <c r="F67" s="38">
        <v>0</v>
      </c>
      <c r="G67" s="42" t="str">
        <f>VLOOKUP('Data 1'!$B67,'Data 2'!$A$1:$F$46,MATCH('Data 1'!G$1,'Data 2'!$A$1:$F$1,0),0)</f>
        <v>Product12</v>
      </c>
      <c r="H67" s="42" t="str">
        <f>VLOOKUP('Data 1'!$B67,'Data 2'!$A$1:$F$46,MATCH('Data 1'!H$1,'Data 2'!$A$1:$F$1,0),0)</f>
        <v>Category02</v>
      </c>
      <c r="I67" s="42" t="str">
        <f>VLOOKUP('Data 1'!$B67,'Data 2'!$A$1:$F$46,MATCH('Data 1'!I$1,'Data 2'!$A$1:$F$1,0),0)</f>
        <v>Kg</v>
      </c>
      <c r="J67" s="42">
        <f>VLOOKUP('Data 1'!$B67,'Data 2'!$A$1:$F$46,MATCH('Data 1'!J$1,'Data 2'!$A$1:$F$1,0),0)</f>
        <v>73</v>
      </c>
      <c r="K67" s="42">
        <f>VLOOKUP('Data 1'!$B67,'Data 2'!$A$1:$F$46,MATCH('Data 1'!K$1,'Data 2'!$A$1:$F$1,0),0)</f>
        <v>94.17</v>
      </c>
      <c r="L67" s="40">
        <f>SUM('Data 1'!$J67*'Data 1'!$C67)</f>
        <v>292</v>
      </c>
      <c r="M67" s="40">
        <f>'Data 1'!$C67*'Data 1'!$K67</f>
        <v>376.68</v>
      </c>
      <c r="N67" s="40">
        <f>'Data 1'!$M67-'Data 1'!$L67</f>
        <v>84.68</v>
      </c>
      <c r="O67" s="37">
        <f>DAY('Data 1'!$A67)</f>
        <v>22</v>
      </c>
      <c r="P67" s="37" t="str">
        <f>TEXT('Data 1'!$A67,"mmm")</f>
        <v>Mar</v>
      </c>
      <c r="Q67" s="41">
        <f>YEAR('Data 1'!$A67)</f>
        <v>2021</v>
      </c>
    </row>
    <row r="68" spans="1:17" x14ac:dyDescent="0.3">
      <c r="A68" s="35">
        <v>44280</v>
      </c>
      <c r="B68" s="36" t="s">
        <v>15</v>
      </c>
      <c r="C68" s="37">
        <v>14</v>
      </c>
      <c r="D68" s="37" t="s">
        <v>17</v>
      </c>
      <c r="E68" s="37" t="s">
        <v>19</v>
      </c>
      <c r="F68" s="38">
        <v>0</v>
      </c>
      <c r="G68" s="39" t="str">
        <f>VLOOKUP('Data 1'!$B68,'Data 2'!$A$1:$F$46,MATCH('Data 1'!G$1,'Data 2'!$A$1:$F$1,0),0)</f>
        <v>Product24</v>
      </c>
      <c r="H68" s="39" t="str">
        <f>VLOOKUP('Data 1'!$B68,'Data 2'!$A$1:$F$46,MATCH('Data 1'!H$1,'Data 2'!$A$1:$F$1,0),0)</f>
        <v>Category03</v>
      </c>
      <c r="I68" s="39" t="str">
        <f>VLOOKUP('Data 1'!$B68,'Data 2'!$A$1:$F$46,MATCH('Data 1'!I$1,'Data 2'!$A$1:$F$1,0),0)</f>
        <v>Ft</v>
      </c>
      <c r="J68" s="39">
        <f>VLOOKUP('Data 1'!$B68,'Data 2'!$A$1:$F$46,MATCH('Data 1'!J$1,'Data 2'!$A$1:$F$1,0),0)</f>
        <v>144</v>
      </c>
      <c r="K68" s="39">
        <f>VLOOKUP('Data 1'!$B68,'Data 2'!$A$1:$F$46,MATCH('Data 1'!K$1,'Data 2'!$A$1:$F$1,0),0)</f>
        <v>156.96</v>
      </c>
      <c r="L68" s="40">
        <f>SUM('Data 1'!$J68*'Data 1'!$C68)</f>
        <v>2016</v>
      </c>
      <c r="M68" s="40">
        <f>'Data 1'!$C68*'Data 1'!$K68</f>
        <v>2197.44</v>
      </c>
      <c r="N68" s="40">
        <f>'Data 1'!$M68-'Data 1'!$L68</f>
        <v>181.44000000000005</v>
      </c>
      <c r="O68" s="37">
        <f>DAY('Data 1'!$A68)</f>
        <v>25</v>
      </c>
      <c r="P68" s="37" t="str">
        <f>TEXT('Data 1'!$A68,"mmm")</f>
        <v>Mar</v>
      </c>
      <c r="Q68" s="41">
        <f>YEAR('Data 1'!$A68)</f>
        <v>2021</v>
      </c>
    </row>
    <row r="69" spans="1:17" x14ac:dyDescent="0.3">
      <c r="A69" s="35">
        <v>44280</v>
      </c>
      <c r="B69" s="36" t="s">
        <v>34</v>
      </c>
      <c r="C69" s="37">
        <v>4</v>
      </c>
      <c r="D69" s="37" t="s">
        <v>21</v>
      </c>
      <c r="E69" s="37" t="s">
        <v>19</v>
      </c>
      <c r="F69" s="38">
        <v>0</v>
      </c>
      <c r="G69" s="42" t="str">
        <f>VLOOKUP('Data 1'!$B69,'Data 2'!$A$1:$F$46,MATCH('Data 1'!G$1,'Data 2'!$A$1:$F$1,0),0)</f>
        <v>Product06</v>
      </c>
      <c r="H69" s="42" t="str">
        <f>VLOOKUP('Data 1'!$B69,'Data 2'!$A$1:$F$46,MATCH('Data 1'!H$1,'Data 2'!$A$1:$F$1,0),0)</f>
        <v>Category01</v>
      </c>
      <c r="I69" s="42" t="str">
        <f>VLOOKUP('Data 1'!$B69,'Data 2'!$A$1:$F$46,MATCH('Data 1'!I$1,'Data 2'!$A$1:$F$1,0),0)</f>
        <v>Kg</v>
      </c>
      <c r="J69" s="42">
        <f>VLOOKUP('Data 1'!$B69,'Data 2'!$A$1:$F$46,MATCH('Data 1'!J$1,'Data 2'!$A$1:$F$1,0),0)</f>
        <v>75</v>
      </c>
      <c r="K69" s="42">
        <f>VLOOKUP('Data 1'!$B69,'Data 2'!$A$1:$F$46,MATCH('Data 1'!K$1,'Data 2'!$A$1:$F$1,0),0)</f>
        <v>85.5</v>
      </c>
      <c r="L69" s="40">
        <f>SUM('Data 1'!$J69*'Data 1'!$C69)</f>
        <v>300</v>
      </c>
      <c r="M69" s="40">
        <f>'Data 1'!$C69*'Data 1'!$K69</f>
        <v>342</v>
      </c>
      <c r="N69" s="40">
        <f>'Data 1'!$M69-'Data 1'!$L69</f>
        <v>42</v>
      </c>
      <c r="O69" s="37">
        <f>DAY('Data 1'!$A69)</f>
        <v>25</v>
      </c>
      <c r="P69" s="37" t="str">
        <f>TEXT('Data 1'!$A69,"mmm")</f>
        <v>Mar</v>
      </c>
      <c r="Q69" s="41">
        <f>YEAR('Data 1'!$A69)</f>
        <v>2021</v>
      </c>
    </row>
    <row r="70" spans="1:17" x14ac:dyDescent="0.3">
      <c r="A70" s="35">
        <v>44280</v>
      </c>
      <c r="B70" s="36" t="s">
        <v>38</v>
      </c>
      <c r="C70" s="37">
        <v>8</v>
      </c>
      <c r="D70" s="37" t="s">
        <v>21</v>
      </c>
      <c r="E70" s="37" t="s">
        <v>19</v>
      </c>
      <c r="F70" s="38">
        <v>0</v>
      </c>
      <c r="G70" s="39" t="str">
        <f>VLOOKUP('Data 1'!$B70,'Data 2'!$A$1:$F$46,MATCH('Data 1'!G$1,'Data 2'!$A$1:$F$1,0),0)</f>
        <v>Product29</v>
      </c>
      <c r="H70" s="39" t="str">
        <f>VLOOKUP('Data 1'!$B70,'Data 2'!$A$1:$F$46,MATCH('Data 1'!H$1,'Data 2'!$A$1:$F$1,0),0)</f>
        <v>Category04</v>
      </c>
      <c r="I70" s="39" t="str">
        <f>VLOOKUP('Data 1'!$B70,'Data 2'!$A$1:$F$46,MATCH('Data 1'!I$1,'Data 2'!$A$1:$F$1,0),0)</f>
        <v>Lt</v>
      </c>
      <c r="J70" s="39">
        <f>VLOOKUP('Data 1'!$B70,'Data 2'!$A$1:$F$46,MATCH('Data 1'!J$1,'Data 2'!$A$1:$F$1,0),0)</f>
        <v>47</v>
      </c>
      <c r="K70" s="39">
        <f>VLOOKUP('Data 1'!$B70,'Data 2'!$A$1:$F$46,MATCH('Data 1'!K$1,'Data 2'!$A$1:$F$1,0),0)</f>
        <v>53.11</v>
      </c>
      <c r="L70" s="40">
        <f>SUM('Data 1'!$J70*'Data 1'!$C70)</f>
        <v>376</v>
      </c>
      <c r="M70" s="40">
        <f>'Data 1'!$C70*'Data 1'!$K70</f>
        <v>424.88</v>
      </c>
      <c r="N70" s="40">
        <f>'Data 1'!$M70-'Data 1'!$L70</f>
        <v>48.879999999999995</v>
      </c>
      <c r="O70" s="37">
        <f>DAY('Data 1'!$A70)</f>
        <v>25</v>
      </c>
      <c r="P70" s="37" t="str">
        <f>TEXT('Data 1'!$A70,"mmm")</f>
        <v>Mar</v>
      </c>
      <c r="Q70" s="41">
        <f>YEAR('Data 1'!$A70)</f>
        <v>2021</v>
      </c>
    </row>
    <row r="71" spans="1:17" x14ac:dyDescent="0.3">
      <c r="A71" s="35">
        <v>44280</v>
      </c>
      <c r="B71" s="36" t="s">
        <v>18</v>
      </c>
      <c r="C71" s="37">
        <v>2</v>
      </c>
      <c r="D71" s="37" t="s">
        <v>21</v>
      </c>
      <c r="E71" s="37" t="s">
        <v>17</v>
      </c>
      <c r="F71" s="38">
        <v>0</v>
      </c>
      <c r="G71" s="42" t="str">
        <f>VLOOKUP('Data 1'!$B71,'Data 2'!$A$1:$F$46,MATCH('Data 1'!G$1,'Data 2'!$A$1:$F$1,0),0)</f>
        <v>Product38</v>
      </c>
      <c r="H71" s="42" t="str">
        <f>VLOOKUP('Data 1'!$B71,'Data 2'!$A$1:$F$46,MATCH('Data 1'!H$1,'Data 2'!$A$1:$F$1,0),0)</f>
        <v>Category05</v>
      </c>
      <c r="I71" s="42" t="str">
        <f>VLOOKUP('Data 1'!$B71,'Data 2'!$A$1:$F$46,MATCH('Data 1'!I$1,'Data 2'!$A$1:$F$1,0),0)</f>
        <v>Kg</v>
      </c>
      <c r="J71" s="42">
        <f>VLOOKUP('Data 1'!$B71,'Data 2'!$A$1:$F$46,MATCH('Data 1'!J$1,'Data 2'!$A$1:$F$1,0),0)</f>
        <v>72</v>
      </c>
      <c r="K71" s="42">
        <f>VLOOKUP('Data 1'!$B71,'Data 2'!$A$1:$F$46,MATCH('Data 1'!K$1,'Data 2'!$A$1:$F$1,0),0)</f>
        <v>79.92</v>
      </c>
      <c r="L71" s="40">
        <f>SUM('Data 1'!$J71*'Data 1'!$C71)</f>
        <v>144</v>
      </c>
      <c r="M71" s="40">
        <f>'Data 1'!$C71*'Data 1'!$K71</f>
        <v>159.84</v>
      </c>
      <c r="N71" s="40">
        <f>'Data 1'!$M71-'Data 1'!$L71</f>
        <v>15.840000000000003</v>
      </c>
      <c r="O71" s="37">
        <f>DAY('Data 1'!$A71)</f>
        <v>25</v>
      </c>
      <c r="P71" s="37" t="str">
        <f>TEXT('Data 1'!$A71,"mmm")</f>
        <v>Mar</v>
      </c>
      <c r="Q71" s="41">
        <f>YEAR('Data 1'!$A71)</f>
        <v>2021</v>
      </c>
    </row>
    <row r="72" spans="1:17" x14ac:dyDescent="0.3">
      <c r="A72" s="35">
        <v>44281</v>
      </c>
      <c r="B72" s="36" t="s">
        <v>35</v>
      </c>
      <c r="C72" s="37">
        <v>4</v>
      </c>
      <c r="D72" s="37" t="s">
        <v>21</v>
      </c>
      <c r="E72" s="37" t="s">
        <v>19</v>
      </c>
      <c r="F72" s="38">
        <v>0</v>
      </c>
      <c r="G72" s="39" t="str">
        <f>VLOOKUP('Data 1'!$B72,'Data 2'!$A$1:$F$46,MATCH('Data 1'!G$1,'Data 2'!$A$1:$F$1,0),0)</f>
        <v>Product01</v>
      </c>
      <c r="H72" s="39" t="str">
        <f>VLOOKUP('Data 1'!$B72,'Data 2'!$A$1:$F$46,MATCH('Data 1'!H$1,'Data 2'!$A$1:$F$1,0),0)</f>
        <v>Category01</v>
      </c>
      <c r="I72" s="39" t="str">
        <f>VLOOKUP('Data 1'!$B72,'Data 2'!$A$1:$F$46,MATCH('Data 1'!I$1,'Data 2'!$A$1:$F$1,0),0)</f>
        <v>Kg</v>
      </c>
      <c r="J72" s="39">
        <f>VLOOKUP('Data 1'!$B72,'Data 2'!$A$1:$F$46,MATCH('Data 1'!J$1,'Data 2'!$A$1:$F$1,0),0)</f>
        <v>98</v>
      </c>
      <c r="K72" s="39">
        <f>VLOOKUP('Data 1'!$B72,'Data 2'!$A$1:$F$46,MATCH('Data 1'!K$1,'Data 2'!$A$1:$F$1,0),0)</f>
        <v>103.88</v>
      </c>
      <c r="L72" s="40">
        <f>SUM('Data 1'!$J72*'Data 1'!$C72)</f>
        <v>392</v>
      </c>
      <c r="M72" s="40">
        <f>'Data 1'!$C72*'Data 1'!$K72</f>
        <v>415.52</v>
      </c>
      <c r="N72" s="40">
        <f>'Data 1'!$M72-'Data 1'!$L72</f>
        <v>23.519999999999982</v>
      </c>
      <c r="O72" s="37">
        <f>DAY('Data 1'!$A72)</f>
        <v>26</v>
      </c>
      <c r="P72" s="37" t="str">
        <f>TEXT('Data 1'!$A72,"mmm")</f>
        <v>Mar</v>
      </c>
      <c r="Q72" s="41">
        <f>YEAR('Data 1'!$A72)</f>
        <v>2021</v>
      </c>
    </row>
    <row r="73" spans="1:17" x14ac:dyDescent="0.3">
      <c r="A73" s="35">
        <v>44281</v>
      </c>
      <c r="B73" s="36" t="s">
        <v>29</v>
      </c>
      <c r="C73" s="37">
        <v>1</v>
      </c>
      <c r="D73" s="37" t="s">
        <v>21</v>
      </c>
      <c r="E73" s="37" t="s">
        <v>19</v>
      </c>
      <c r="F73" s="38">
        <v>0</v>
      </c>
      <c r="G73" s="42" t="str">
        <f>VLOOKUP('Data 1'!$B73,'Data 2'!$A$1:$F$46,MATCH('Data 1'!G$1,'Data 2'!$A$1:$F$1,0),0)</f>
        <v>Product42</v>
      </c>
      <c r="H73" s="42" t="str">
        <f>VLOOKUP('Data 1'!$B73,'Data 2'!$A$1:$F$46,MATCH('Data 1'!H$1,'Data 2'!$A$1:$F$1,0),0)</f>
        <v>Category05</v>
      </c>
      <c r="I73" s="42" t="str">
        <f>VLOOKUP('Data 1'!$B73,'Data 2'!$A$1:$F$46,MATCH('Data 1'!I$1,'Data 2'!$A$1:$F$1,0),0)</f>
        <v>Ft</v>
      </c>
      <c r="J73" s="42">
        <f>VLOOKUP('Data 1'!$B73,'Data 2'!$A$1:$F$46,MATCH('Data 1'!J$1,'Data 2'!$A$1:$F$1,0),0)</f>
        <v>120</v>
      </c>
      <c r="K73" s="42">
        <f>VLOOKUP('Data 1'!$B73,'Data 2'!$A$1:$F$46,MATCH('Data 1'!K$1,'Data 2'!$A$1:$F$1,0),0)</f>
        <v>162</v>
      </c>
      <c r="L73" s="40">
        <f>SUM('Data 1'!$J73*'Data 1'!$C73)</f>
        <v>120</v>
      </c>
      <c r="M73" s="40">
        <f>'Data 1'!$C73*'Data 1'!$K73</f>
        <v>162</v>
      </c>
      <c r="N73" s="40">
        <f>'Data 1'!$M73-'Data 1'!$L73</f>
        <v>42</v>
      </c>
      <c r="O73" s="37">
        <f>DAY('Data 1'!$A73)</f>
        <v>26</v>
      </c>
      <c r="P73" s="37" t="str">
        <f>TEXT('Data 1'!$A73,"mmm")</f>
        <v>Mar</v>
      </c>
      <c r="Q73" s="41">
        <f>YEAR('Data 1'!$A73)</f>
        <v>2021</v>
      </c>
    </row>
    <row r="74" spans="1:17" x14ac:dyDescent="0.3">
      <c r="A74" s="35">
        <v>44281</v>
      </c>
      <c r="B74" s="36" t="s">
        <v>39</v>
      </c>
      <c r="C74" s="37">
        <v>9</v>
      </c>
      <c r="D74" s="37" t="s">
        <v>21</v>
      </c>
      <c r="E74" s="37" t="s">
        <v>17</v>
      </c>
      <c r="F74" s="38">
        <v>0</v>
      </c>
      <c r="G74" s="39" t="str">
        <f>VLOOKUP('Data 1'!$B74,'Data 2'!$A$1:$F$46,MATCH('Data 1'!G$1,'Data 2'!$A$1:$F$1,0),0)</f>
        <v>Product10</v>
      </c>
      <c r="H74" s="39" t="str">
        <f>VLOOKUP('Data 1'!$B74,'Data 2'!$A$1:$F$46,MATCH('Data 1'!H$1,'Data 2'!$A$1:$F$1,0),0)</f>
        <v>Category02</v>
      </c>
      <c r="I74" s="39" t="str">
        <f>VLOOKUP('Data 1'!$B74,'Data 2'!$A$1:$F$46,MATCH('Data 1'!I$1,'Data 2'!$A$1:$F$1,0),0)</f>
        <v>Ft</v>
      </c>
      <c r="J74" s="39">
        <f>VLOOKUP('Data 1'!$B74,'Data 2'!$A$1:$F$46,MATCH('Data 1'!J$1,'Data 2'!$A$1:$F$1,0),0)</f>
        <v>148</v>
      </c>
      <c r="K74" s="39">
        <f>VLOOKUP('Data 1'!$B74,'Data 2'!$A$1:$F$46,MATCH('Data 1'!K$1,'Data 2'!$A$1:$F$1,0),0)</f>
        <v>164.28</v>
      </c>
      <c r="L74" s="40">
        <f>SUM('Data 1'!$J74*'Data 1'!$C74)</f>
        <v>1332</v>
      </c>
      <c r="M74" s="40">
        <f>'Data 1'!$C74*'Data 1'!$K74</f>
        <v>1478.52</v>
      </c>
      <c r="N74" s="40">
        <f>'Data 1'!$M74-'Data 1'!$L74</f>
        <v>146.51999999999998</v>
      </c>
      <c r="O74" s="37">
        <f>DAY('Data 1'!$A74)</f>
        <v>26</v>
      </c>
      <c r="P74" s="37" t="str">
        <f>TEXT('Data 1'!$A74,"mmm")</f>
        <v>Mar</v>
      </c>
      <c r="Q74" s="41">
        <f>YEAR('Data 1'!$A74)</f>
        <v>2021</v>
      </c>
    </row>
    <row r="75" spans="1:17" x14ac:dyDescent="0.3">
      <c r="A75" s="35">
        <v>44282</v>
      </c>
      <c r="B75" s="36" t="s">
        <v>47</v>
      </c>
      <c r="C75" s="37">
        <v>3</v>
      </c>
      <c r="D75" s="37" t="s">
        <v>21</v>
      </c>
      <c r="E75" s="37" t="s">
        <v>17</v>
      </c>
      <c r="F75" s="38">
        <v>0</v>
      </c>
      <c r="G75" s="42" t="str">
        <f>VLOOKUP('Data 1'!$B75,'Data 2'!$A$1:$F$46,MATCH('Data 1'!G$1,'Data 2'!$A$1:$F$1,0),0)</f>
        <v>Product30</v>
      </c>
      <c r="H75" s="42" t="str">
        <f>VLOOKUP('Data 1'!$B75,'Data 2'!$A$1:$F$46,MATCH('Data 1'!H$1,'Data 2'!$A$1:$F$1,0),0)</f>
        <v>Category04</v>
      </c>
      <c r="I75" s="42" t="str">
        <f>VLOOKUP('Data 1'!$B75,'Data 2'!$A$1:$F$46,MATCH('Data 1'!I$1,'Data 2'!$A$1:$F$1,0),0)</f>
        <v>Ft</v>
      </c>
      <c r="J75" s="42">
        <f>VLOOKUP('Data 1'!$B75,'Data 2'!$A$1:$F$46,MATCH('Data 1'!J$1,'Data 2'!$A$1:$F$1,0),0)</f>
        <v>148</v>
      </c>
      <c r="K75" s="42">
        <f>VLOOKUP('Data 1'!$B75,'Data 2'!$A$1:$F$46,MATCH('Data 1'!K$1,'Data 2'!$A$1:$F$1,0),0)</f>
        <v>201.28</v>
      </c>
      <c r="L75" s="40">
        <f>SUM('Data 1'!$J75*'Data 1'!$C75)</f>
        <v>444</v>
      </c>
      <c r="M75" s="40">
        <f>'Data 1'!$C75*'Data 1'!$K75</f>
        <v>603.84</v>
      </c>
      <c r="N75" s="40">
        <f>'Data 1'!$M75-'Data 1'!$L75</f>
        <v>159.84000000000003</v>
      </c>
      <c r="O75" s="37">
        <f>DAY('Data 1'!$A75)</f>
        <v>27</v>
      </c>
      <c r="P75" s="37" t="str">
        <f>TEXT('Data 1'!$A75,"mmm")</f>
        <v>Mar</v>
      </c>
      <c r="Q75" s="41">
        <f>YEAR('Data 1'!$A75)</f>
        <v>2021</v>
      </c>
    </row>
    <row r="76" spans="1:17" x14ac:dyDescent="0.3">
      <c r="A76" s="35">
        <v>44283</v>
      </c>
      <c r="B76" s="36" t="s">
        <v>55</v>
      </c>
      <c r="C76" s="37">
        <v>8</v>
      </c>
      <c r="D76" s="37" t="s">
        <v>17</v>
      </c>
      <c r="E76" s="37" t="s">
        <v>19</v>
      </c>
      <c r="F76" s="38">
        <v>0</v>
      </c>
      <c r="G76" s="39" t="str">
        <f>VLOOKUP('Data 1'!$B76,'Data 2'!$A$1:$F$46,MATCH('Data 1'!G$1,'Data 2'!$A$1:$F$1,0),0)</f>
        <v>Product07</v>
      </c>
      <c r="H76" s="39" t="str">
        <f>VLOOKUP('Data 1'!$B76,'Data 2'!$A$1:$F$46,MATCH('Data 1'!H$1,'Data 2'!$A$1:$F$1,0),0)</f>
        <v>Category01</v>
      </c>
      <c r="I76" s="39" t="str">
        <f>VLOOKUP('Data 1'!$B76,'Data 2'!$A$1:$F$46,MATCH('Data 1'!I$1,'Data 2'!$A$1:$F$1,0),0)</f>
        <v>Lt</v>
      </c>
      <c r="J76" s="39">
        <f>VLOOKUP('Data 1'!$B76,'Data 2'!$A$1:$F$46,MATCH('Data 1'!J$1,'Data 2'!$A$1:$F$1,0),0)</f>
        <v>43</v>
      </c>
      <c r="K76" s="39">
        <f>VLOOKUP('Data 1'!$B76,'Data 2'!$A$1:$F$46,MATCH('Data 1'!K$1,'Data 2'!$A$1:$F$1,0),0)</f>
        <v>47.730000000000004</v>
      </c>
      <c r="L76" s="40">
        <f>SUM('Data 1'!$J76*'Data 1'!$C76)</f>
        <v>344</v>
      </c>
      <c r="M76" s="40">
        <f>'Data 1'!$C76*'Data 1'!$K76</f>
        <v>381.84000000000003</v>
      </c>
      <c r="N76" s="40">
        <f>'Data 1'!$M76-'Data 1'!$L76</f>
        <v>37.840000000000032</v>
      </c>
      <c r="O76" s="37">
        <f>DAY('Data 1'!$A76)</f>
        <v>28</v>
      </c>
      <c r="P76" s="37" t="str">
        <f>TEXT('Data 1'!$A76,"mmm")</f>
        <v>Mar</v>
      </c>
      <c r="Q76" s="41">
        <f>YEAR('Data 1'!$A76)</f>
        <v>2021</v>
      </c>
    </row>
    <row r="77" spans="1:17" x14ac:dyDescent="0.3">
      <c r="A77" s="35">
        <v>44285</v>
      </c>
      <c r="B77" s="36" t="s">
        <v>18</v>
      </c>
      <c r="C77" s="37">
        <v>1</v>
      </c>
      <c r="D77" s="37" t="s">
        <v>17</v>
      </c>
      <c r="E77" s="37" t="s">
        <v>19</v>
      </c>
      <c r="F77" s="38">
        <v>0</v>
      </c>
      <c r="G77" s="42" t="str">
        <f>VLOOKUP('Data 1'!$B77,'Data 2'!$A$1:$F$46,MATCH('Data 1'!G$1,'Data 2'!$A$1:$F$1,0),0)</f>
        <v>Product38</v>
      </c>
      <c r="H77" s="42" t="str">
        <f>VLOOKUP('Data 1'!$B77,'Data 2'!$A$1:$F$46,MATCH('Data 1'!H$1,'Data 2'!$A$1:$F$1,0),0)</f>
        <v>Category05</v>
      </c>
      <c r="I77" s="42" t="str">
        <f>VLOOKUP('Data 1'!$B77,'Data 2'!$A$1:$F$46,MATCH('Data 1'!I$1,'Data 2'!$A$1:$F$1,0),0)</f>
        <v>Kg</v>
      </c>
      <c r="J77" s="42">
        <f>VLOOKUP('Data 1'!$B77,'Data 2'!$A$1:$F$46,MATCH('Data 1'!J$1,'Data 2'!$A$1:$F$1,0),0)</f>
        <v>72</v>
      </c>
      <c r="K77" s="42">
        <f>VLOOKUP('Data 1'!$B77,'Data 2'!$A$1:$F$46,MATCH('Data 1'!K$1,'Data 2'!$A$1:$F$1,0),0)</f>
        <v>79.92</v>
      </c>
      <c r="L77" s="40">
        <f>SUM('Data 1'!$J77*'Data 1'!$C77)</f>
        <v>72</v>
      </c>
      <c r="M77" s="40">
        <f>'Data 1'!$C77*'Data 1'!$K77</f>
        <v>79.92</v>
      </c>
      <c r="N77" s="40">
        <f>'Data 1'!$M77-'Data 1'!$L77</f>
        <v>7.9200000000000017</v>
      </c>
      <c r="O77" s="37">
        <f>DAY('Data 1'!$A77)</f>
        <v>30</v>
      </c>
      <c r="P77" s="37" t="str">
        <f>TEXT('Data 1'!$A77,"mmm")</f>
        <v>Mar</v>
      </c>
      <c r="Q77" s="41">
        <f>YEAR('Data 1'!$A77)</f>
        <v>2021</v>
      </c>
    </row>
    <row r="78" spans="1:17" x14ac:dyDescent="0.3">
      <c r="A78" s="35">
        <v>44286</v>
      </c>
      <c r="B78" s="36" t="s">
        <v>29</v>
      </c>
      <c r="C78" s="37">
        <v>3</v>
      </c>
      <c r="D78" s="37" t="s">
        <v>21</v>
      </c>
      <c r="E78" s="37" t="s">
        <v>19</v>
      </c>
      <c r="F78" s="38">
        <v>0</v>
      </c>
      <c r="G78" s="39" t="str">
        <f>VLOOKUP('Data 1'!$B78,'Data 2'!$A$1:$F$46,MATCH('Data 1'!G$1,'Data 2'!$A$1:$F$1,0),0)</f>
        <v>Product42</v>
      </c>
      <c r="H78" s="39" t="str">
        <f>VLOOKUP('Data 1'!$B78,'Data 2'!$A$1:$F$46,MATCH('Data 1'!H$1,'Data 2'!$A$1:$F$1,0),0)</f>
        <v>Category05</v>
      </c>
      <c r="I78" s="39" t="str">
        <f>VLOOKUP('Data 1'!$B78,'Data 2'!$A$1:$F$46,MATCH('Data 1'!I$1,'Data 2'!$A$1:$F$1,0),0)</f>
        <v>Ft</v>
      </c>
      <c r="J78" s="39">
        <f>VLOOKUP('Data 1'!$B78,'Data 2'!$A$1:$F$46,MATCH('Data 1'!J$1,'Data 2'!$A$1:$F$1,0),0)</f>
        <v>120</v>
      </c>
      <c r="K78" s="39">
        <f>VLOOKUP('Data 1'!$B78,'Data 2'!$A$1:$F$46,MATCH('Data 1'!K$1,'Data 2'!$A$1:$F$1,0),0)</f>
        <v>162</v>
      </c>
      <c r="L78" s="40">
        <f>SUM('Data 1'!$J78*'Data 1'!$C78)</f>
        <v>360</v>
      </c>
      <c r="M78" s="40">
        <f>'Data 1'!$C78*'Data 1'!$K78</f>
        <v>486</v>
      </c>
      <c r="N78" s="40">
        <f>'Data 1'!$M78-'Data 1'!$L78</f>
        <v>126</v>
      </c>
      <c r="O78" s="37">
        <f>DAY('Data 1'!$A78)</f>
        <v>31</v>
      </c>
      <c r="P78" s="37" t="str">
        <f>TEXT('Data 1'!$A78,"mmm")</f>
        <v>Mar</v>
      </c>
      <c r="Q78" s="41">
        <f>YEAR('Data 1'!$A78)</f>
        <v>2021</v>
      </c>
    </row>
    <row r="79" spans="1:17" x14ac:dyDescent="0.3">
      <c r="A79" s="35">
        <v>44290</v>
      </c>
      <c r="B79" s="36" t="s">
        <v>36</v>
      </c>
      <c r="C79" s="37">
        <v>4</v>
      </c>
      <c r="D79" s="37" t="s">
        <v>21</v>
      </c>
      <c r="E79" s="37" t="s">
        <v>19</v>
      </c>
      <c r="F79" s="38">
        <v>0</v>
      </c>
      <c r="G79" s="42" t="str">
        <f>VLOOKUP('Data 1'!$B79,'Data 2'!$A$1:$F$46,MATCH('Data 1'!G$1,'Data 2'!$A$1:$F$1,0),0)</f>
        <v>Product40</v>
      </c>
      <c r="H79" s="42" t="str">
        <f>VLOOKUP('Data 1'!$B79,'Data 2'!$A$1:$F$46,MATCH('Data 1'!H$1,'Data 2'!$A$1:$F$1,0),0)</f>
        <v>Category05</v>
      </c>
      <c r="I79" s="42" t="str">
        <f>VLOOKUP('Data 1'!$B79,'Data 2'!$A$1:$F$46,MATCH('Data 1'!I$1,'Data 2'!$A$1:$F$1,0),0)</f>
        <v>Kg</v>
      </c>
      <c r="J79" s="42">
        <f>VLOOKUP('Data 1'!$B79,'Data 2'!$A$1:$F$46,MATCH('Data 1'!J$1,'Data 2'!$A$1:$F$1,0),0)</f>
        <v>90</v>
      </c>
      <c r="K79" s="42">
        <f>VLOOKUP('Data 1'!$B79,'Data 2'!$A$1:$F$46,MATCH('Data 1'!K$1,'Data 2'!$A$1:$F$1,0),0)</f>
        <v>115.2</v>
      </c>
      <c r="L79" s="40">
        <f>SUM('Data 1'!$J79*'Data 1'!$C79)</f>
        <v>360</v>
      </c>
      <c r="M79" s="40">
        <f>'Data 1'!$C79*'Data 1'!$K79</f>
        <v>460.8</v>
      </c>
      <c r="N79" s="40">
        <f>'Data 1'!$M79-'Data 1'!$L79</f>
        <v>100.80000000000001</v>
      </c>
      <c r="O79" s="37">
        <f>DAY('Data 1'!$A79)</f>
        <v>4</v>
      </c>
      <c r="P79" s="37" t="str">
        <f>TEXT('Data 1'!$A79,"mmm")</f>
        <v>Apr</v>
      </c>
      <c r="Q79" s="41">
        <f>YEAR('Data 1'!$A79)</f>
        <v>2021</v>
      </c>
    </row>
    <row r="80" spans="1:17" x14ac:dyDescent="0.3">
      <c r="A80" s="35">
        <v>44290</v>
      </c>
      <c r="B80" s="36" t="s">
        <v>56</v>
      </c>
      <c r="C80" s="37">
        <v>9</v>
      </c>
      <c r="D80" s="37" t="s">
        <v>17</v>
      </c>
      <c r="E80" s="37" t="s">
        <v>19</v>
      </c>
      <c r="F80" s="38">
        <v>0</v>
      </c>
      <c r="G80" s="39" t="str">
        <f>VLOOKUP('Data 1'!$B80,'Data 2'!$A$1:$F$46,MATCH('Data 1'!G$1,'Data 2'!$A$1:$F$1,0),0)</f>
        <v>Product09</v>
      </c>
      <c r="H80" s="39" t="str">
        <f>VLOOKUP('Data 1'!$B80,'Data 2'!$A$1:$F$46,MATCH('Data 1'!H$1,'Data 2'!$A$1:$F$1,0),0)</f>
        <v>Category03</v>
      </c>
      <c r="I80" s="39" t="str">
        <f>VLOOKUP('Data 1'!$B80,'Data 2'!$A$1:$F$46,MATCH('Data 1'!I$1,'Data 2'!$A$1:$F$1,0),0)</f>
        <v>No.</v>
      </c>
      <c r="J80" s="39">
        <f>VLOOKUP('Data 1'!$B80,'Data 2'!$A$1:$F$46,MATCH('Data 1'!J$1,'Data 2'!$A$1:$F$1,0),0)</f>
        <v>6</v>
      </c>
      <c r="K80" s="39">
        <f>VLOOKUP('Data 1'!$B80,'Data 2'!$A$1:$F$46,MATCH('Data 1'!K$1,'Data 2'!$A$1:$F$1,0),0)</f>
        <v>7.8599999999999994</v>
      </c>
      <c r="L80" s="40">
        <f>SUM('Data 1'!$J80*'Data 1'!$C80)</f>
        <v>54</v>
      </c>
      <c r="M80" s="40">
        <f>'Data 1'!$C80*'Data 1'!$K80</f>
        <v>70.739999999999995</v>
      </c>
      <c r="N80" s="40">
        <f>'Data 1'!$M80-'Data 1'!$L80</f>
        <v>16.739999999999995</v>
      </c>
      <c r="O80" s="37">
        <f>DAY('Data 1'!$A80)</f>
        <v>4</v>
      </c>
      <c r="P80" s="37" t="str">
        <f>TEXT('Data 1'!$A80,"mmm")</f>
        <v>Apr</v>
      </c>
      <c r="Q80" s="41">
        <f>YEAR('Data 1'!$A80)</f>
        <v>2021</v>
      </c>
    </row>
    <row r="81" spans="1:17" x14ac:dyDescent="0.3">
      <c r="A81" s="35">
        <v>44291</v>
      </c>
      <c r="B81" s="36" t="s">
        <v>24</v>
      </c>
      <c r="C81" s="37">
        <v>15</v>
      </c>
      <c r="D81" s="37" t="s">
        <v>17</v>
      </c>
      <c r="E81" s="37" t="s">
        <v>17</v>
      </c>
      <c r="F81" s="38">
        <v>0</v>
      </c>
      <c r="G81" s="42" t="str">
        <f>VLOOKUP('Data 1'!$B81,'Data 2'!$A$1:$F$46,MATCH('Data 1'!G$1,'Data 2'!$A$1:$F$1,0),0)</f>
        <v>Product31</v>
      </c>
      <c r="H81" s="42" t="str">
        <f>VLOOKUP('Data 1'!$B81,'Data 2'!$A$1:$F$46,MATCH('Data 1'!H$1,'Data 2'!$A$1:$F$1,0),0)</f>
        <v>Category04</v>
      </c>
      <c r="I81" s="42" t="str">
        <f>VLOOKUP('Data 1'!$B81,'Data 2'!$A$1:$F$46,MATCH('Data 1'!I$1,'Data 2'!$A$1:$F$1,0),0)</f>
        <v>Kg</v>
      </c>
      <c r="J81" s="42">
        <f>VLOOKUP('Data 1'!$B81,'Data 2'!$A$1:$F$46,MATCH('Data 1'!J$1,'Data 2'!$A$1:$F$1,0),0)</f>
        <v>93</v>
      </c>
      <c r="K81" s="42">
        <f>VLOOKUP('Data 1'!$B81,'Data 2'!$A$1:$F$46,MATCH('Data 1'!K$1,'Data 2'!$A$1:$F$1,0),0)</f>
        <v>104.16</v>
      </c>
      <c r="L81" s="40">
        <f>SUM('Data 1'!$J81*'Data 1'!$C81)</f>
        <v>1395</v>
      </c>
      <c r="M81" s="40">
        <f>'Data 1'!$C81*'Data 1'!$K81</f>
        <v>1562.3999999999999</v>
      </c>
      <c r="N81" s="40">
        <f>'Data 1'!$M81-'Data 1'!$L81</f>
        <v>167.39999999999986</v>
      </c>
      <c r="O81" s="37">
        <f>DAY('Data 1'!$A81)</f>
        <v>5</v>
      </c>
      <c r="P81" s="37" t="str">
        <f>TEXT('Data 1'!$A81,"mmm")</f>
        <v>Apr</v>
      </c>
      <c r="Q81" s="41">
        <f>YEAR('Data 1'!$A81)</f>
        <v>2021</v>
      </c>
    </row>
    <row r="82" spans="1:17" x14ac:dyDescent="0.3">
      <c r="A82" s="35">
        <v>44295</v>
      </c>
      <c r="B82" s="36" t="s">
        <v>43</v>
      </c>
      <c r="C82" s="37">
        <v>3</v>
      </c>
      <c r="D82" s="37" t="s">
        <v>17</v>
      </c>
      <c r="E82" s="37" t="s">
        <v>17</v>
      </c>
      <c r="F82" s="38">
        <v>0</v>
      </c>
      <c r="G82" s="39" t="str">
        <f>VLOOKUP('Data 1'!$B82,'Data 2'!$A$1:$F$46,MATCH('Data 1'!G$1,'Data 2'!$A$1:$F$1,0),0)</f>
        <v>Product05</v>
      </c>
      <c r="H82" s="39" t="str">
        <f>VLOOKUP('Data 1'!$B82,'Data 2'!$A$1:$F$46,MATCH('Data 1'!H$1,'Data 2'!$A$1:$F$1,0),0)</f>
        <v>Category01</v>
      </c>
      <c r="I82" s="39" t="str">
        <f>VLOOKUP('Data 1'!$B82,'Data 2'!$A$1:$F$46,MATCH('Data 1'!I$1,'Data 2'!$A$1:$F$1,0),0)</f>
        <v>Ft</v>
      </c>
      <c r="J82" s="39">
        <f>VLOOKUP('Data 1'!$B82,'Data 2'!$A$1:$F$46,MATCH('Data 1'!J$1,'Data 2'!$A$1:$F$1,0),0)</f>
        <v>133</v>
      </c>
      <c r="K82" s="39">
        <f>VLOOKUP('Data 1'!$B82,'Data 2'!$A$1:$F$46,MATCH('Data 1'!K$1,'Data 2'!$A$1:$F$1,0),0)</f>
        <v>155.61000000000001</v>
      </c>
      <c r="L82" s="40">
        <f>SUM('Data 1'!$J82*'Data 1'!$C82)</f>
        <v>399</v>
      </c>
      <c r="M82" s="40">
        <f>'Data 1'!$C82*'Data 1'!$K82</f>
        <v>466.83000000000004</v>
      </c>
      <c r="N82" s="40">
        <f>'Data 1'!$M82-'Data 1'!$L82</f>
        <v>67.830000000000041</v>
      </c>
      <c r="O82" s="37">
        <f>DAY('Data 1'!$A82)</f>
        <v>9</v>
      </c>
      <c r="P82" s="37" t="str">
        <f>TEXT('Data 1'!$A82,"mmm")</f>
        <v>Apr</v>
      </c>
      <c r="Q82" s="41">
        <f>YEAR('Data 1'!$A82)</f>
        <v>2021</v>
      </c>
    </row>
    <row r="83" spans="1:17" x14ac:dyDescent="0.3">
      <c r="A83" s="35">
        <v>44296</v>
      </c>
      <c r="B83" s="36" t="s">
        <v>41</v>
      </c>
      <c r="C83" s="37">
        <v>14</v>
      </c>
      <c r="D83" s="37" t="s">
        <v>21</v>
      </c>
      <c r="E83" s="37" t="s">
        <v>17</v>
      </c>
      <c r="F83" s="38">
        <v>0</v>
      </c>
      <c r="G83" s="42" t="str">
        <f>VLOOKUP('Data 1'!$B83,'Data 2'!$A$1:$F$46,MATCH('Data 1'!G$1,'Data 2'!$A$1:$F$1,0),0)</f>
        <v>Product22</v>
      </c>
      <c r="H83" s="42" t="str">
        <f>VLOOKUP('Data 1'!$B83,'Data 2'!$A$1:$F$46,MATCH('Data 1'!H$1,'Data 2'!$A$1:$F$1,0),0)</f>
        <v>Category03</v>
      </c>
      <c r="I83" s="42" t="str">
        <f>VLOOKUP('Data 1'!$B83,'Data 2'!$A$1:$F$46,MATCH('Data 1'!I$1,'Data 2'!$A$1:$F$1,0),0)</f>
        <v>Ft</v>
      </c>
      <c r="J83" s="42">
        <f>VLOOKUP('Data 1'!$B83,'Data 2'!$A$1:$F$46,MATCH('Data 1'!J$1,'Data 2'!$A$1:$F$1,0),0)</f>
        <v>121</v>
      </c>
      <c r="K83" s="42">
        <f>VLOOKUP('Data 1'!$B83,'Data 2'!$A$1:$F$46,MATCH('Data 1'!K$1,'Data 2'!$A$1:$F$1,0),0)</f>
        <v>141.57</v>
      </c>
      <c r="L83" s="40">
        <f>SUM('Data 1'!$J83*'Data 1'!$C83)</f>
        <v>1694</v>
      </c>
      <c r="M83" s="40">
        <f>'Data 1'!$C83*'Data 1'!$K83</f>
        <v>1981.98</v>
      </c>
      <c r="N83" s="40">
        <f>'Data 1'!$M83-'Data 1'!$L83</f>
        <v>287.98</v>
      </c>
      <c r="O83" s="37">
        <f>DAY('Data 1'!$A83)</f>
        <v>10</v>
      </c>
      <c r="P83" s="37" t="str">
        <f>TEXT('Data 1'!$A83,"mmm")</f>
        <v>Apr</v>
      </c>
      <c r="Q83" s="41">
        <f>YEAR('Data 1'!$A83)</f>
        <v>2021</v>
      </c>
    </row>
    <row r="84" spans="1:17" x14ac:dyDescent="0.3">
      <c r="A84" s="35">
        <v>44298</v>
      </c>
      <c r="B84" s="36" t="s">
        <v>27</v>
      </c>
      <c r="C84" s="37">
        <v>3</v>
      </c>
      <c r="D84" s="37" t="s">
        <v>21</v>
      </c>
      <c r="E84" s="37" t="s">
        <v>19</v>
      </c>
      <c r="F84" s="38">
        <v>0</v>
      </c>
      <c r="G84" s="39" t="str">
        <f>VLOOKUP('Data 1'!$B84,'Data 2'!$A$1:$F$46,MATCH('Data 1'!G$1,'Data 2'!$A$1:$F$1,0),0)</f>
        <v>Product37</v>
      </c>
      <c r="H84" s="39" t="str">
        <f>VLOOKUP('Data 1'!$B84,'Data 2'!$A$1:$F$46,MATCH('Data 1'!H$1,'Data 2'!$A$1:$F$1,0),0)</f>
        <v>Category05</v>
      </c>
      <c r="I84" s="39" t="str">
        <f>VLOOKUP('Data 1'!$B84,'Data 2'!$A$1:$F$46,MATCH('Data 1'!I$1,'Data 2'!$A$1:$F$1,0),0)</f>
        <v>Kg</v>
      </c>
      <c r="J84" s="39">
        <f>VLOOKUP('Data 1'!$B84,'Data 2'!$A$1:$F$46,MATCH('Data 1'!J$1,'Data 2'!$A$1:$F$1,0),0)</f>
        <v>67</v>
      </c>
      <c r="K84" s="39">
        <f>VLOOKUP('Data 1'!$B84,'Data 2'!$A$1:$F$46,MATCH('Data 1'!K$1,'Data 2'!$A$1:$F$1,0),0)</f>
        <v>85.76</v>
      </c>
      <c r="L84" s="40">
        <f>SUM('Data 1'!$J84*'Data 1'!$C84)</f>
        <v>201</v>
      </c>
      <c r="M84" s="40">
        <f>'Data 1'!$C84*'Data 1'!$K84</f>
        <v>257.28000000000003</v>
      </c>
      <c r="N84" s="40">
        <f>'Data 1'!$M84-'Data 1'!$L84</f>
        <v>56.28000000000003</v>
      </c>
      <c r="O84" s="37">
        <f>DAY('Data 1'!$A84)</f>
        <v>12</v>
      </c>
      <c r="P84" s="37" t="str">
        <f>TEXT('Data 1'!$A84,"mmm")</f>
        <v>Apr</v>
      </c>
      <c r="Q84" s="41">
        <f>YEAR('Data 1'!$A84)</f>
        <v>2021</v>
      </c>
    </row>
    <row r="85" spans="1:17" x14ac:dyDescent="0.3">
      <c r="A85" s="35">
        <v>44298</v>
      </c>
      <c r="B85" s="36" t="s">
        <v>38</v>
      </c>
      <c r="C85" s="37">
        <v>4</v>
      </c>
      <c r="D85" s="37" t="s">
        <v>21</v>
      </c>
      <c r="E85" s="37" t="s">
        <v>17</v>
      </c>
      <c r="F85" s="38">
        <v>0</v>
      </c>
      <c r="G85" s="42" t="str">
        <f>VLOOKUP('Data 1'!$B85,'Data 2'!$A$1:$F$46,MATCH('Data 1'!G$1,'Data 2'!$A$1:$F$1,0),0)</f>
        <v>Product29</v>
      </c>
      <c r="H85" s="42" t="str">
        <f>VLOOKUP('Data 1'!$B85,'Data 2'!$A$1:$F$46,MATCH('Data 1'!H$1,'Data 2'!$A$1:$F$1,0),0)</f>
        <v>Category04</v>
      </c>
      <c r="I85" s="42" t="str">
        <f>VLOOKUP('Data 1'!$B85,'Data 2'!$A$1:$F$46,MATCH('Data 1'!I$1,'Data 2'!$A$1:$F$1,0),0)</f>
        <v>Lt</v>
      </c>
      <c r="J85" s="42">
        <f>VLOOKUP('Data 1'!$B85,'Data 2'!$A$1:$F$46,MATCH('Data 1'!J$1,'Data 2'!$A$1:$F$1,0),0)</f>
        <v>47</v>
      </c>
      <c r="K85" s="42">
        <f>VLOOKUP('Data 1'!$B85,'Data 2'!$A$1:$F$46,MATCH('Data 1'!K$1,'Data 2'!$A$1:$F$1,0),0)</f>
        <v>53.11</v>
      </c>
      <c r="L85" s="40">
        <f>SUM('Data 1'!$J85*'Data 1'!$C85)</f>
        <v>188</v>
      </c>
      <c r="M85" s="40">
        <f>'Data 1'!$C85*'Data 1'!$K85</f>
        <v>212.44</v>
      </c>
      <c r="N85" s="40">
        <f>'Data 1'!$M85-'Data 1'!$L85</f>
        <v>24.439999999999998</v>
      </c>
      <c r="O85" s="37">
        <f>DAY('Data 1'!$A85)</f>
        <v>12</v>
      </c>
      <c r="P85" s="37" t="str">
        <f>TEXT('Data 1'!$A85,"mmm")</f>
        <v>Apr</v>
      </c>
      <c r="Q85" s="41">
        <f>YEAR('Data 1'!$A85)</f>
        <v>2021</v>
      </c>
    </row>
    <row r="86" spans="1:17" x14ac:dyDescent="0.3">
      <c r="A86" s="35">
        <v>44298</v>
      </c>
      <c r="B86" s="36" t="s">
        <v>45</v>
      </c>
      <c r="C86" s="37">
        <v>9</v>
      </c>
      <c r="D86" s="37" t="s">
        <v>21</v>
      </c>
      <c r="E86" s="37" t="s">
        <v>17</v>
      </c>
      <c r="F86" s="38">
        <v>0</v>
      </c>
      <c r="G86" s="39" t="str">
        <f>VLOOKUP('Data 1'!$B86,'Data 2'!$A$1:$F$46,MATCH('Data 1'!G$1,'Data 2'!$A$1:$F$1,0),0)</f>
        <v>Product27</v>
      </c>
      <c r="H86" s="39" t="str">
        <f>VLOOKUP('Data 1'!$B86,'Data 2'!$A$1:$F$46,MATCH('Data 1'!H$1,'Data 2'!$A$1:$F$1,0),0)</f>
        <v>Category04</v>
      </c>
      <c r="I86" s="39" t="str">
        <f>VLOOKUP('Data 1'!$B86,'Data 2'!$A$1:$F$46,MATCH('Data 1'!I$1,'Data 2'!$A$1:$F$1,0),0)</f>
        <v>Lt</v>
      </c>
      <c r="J86" s="39">
        <f>VLOOKUP('Data 1'!$B86,'Data 2'!$A$1:$F$46,MATCH('Data 1'!J$1,'Data 2'!$A$1:$F$1,0),0)</f>
        <v>48</v>
      </c>
      <c r="K86" s="39">
        <f>VLOOKUP('Data 1'!$B86,'Data 2'!$A$1:$F$46,MATCH('Data 1'!K$1,'Data 2'!$A$1:$F$1,0),0)</f>
        <v>57.120000000000005</v>
      </c>
      <c r="L86" s="40">
        <f>SUM('Data 1'!$J86*'Data 1'!$C86)</f>
        <v>432</v>
      </c>
      <c r="M86" s="40">
        <f>'Data 1'!$C86*'Data 1'!$K86</f>
        <v>514.08000000000004</v>
      </c>
      <c r="N86" s="40">
        <f>'Data 1'!$M86-'Data 1'!$L86</f>
        <v>82.080000000000041</v>
      </c>
      <c r="O86" s="37">
        <f>DAY('Data 1'!$A86)</f>
        <v>12</v>
      </c>
      <c r="P86" s="37" t="str">
        <f>TEXT('Data 1'!$A86,"mmm")</f>
        <v>Apr</v>
      </c>
      <c r="Q86" s="41">
        <f>YEAR('Data 1'!$A86)</f>
        <v>2021</v>
      </c>
    </row>
    <row r="87" spans="1:17" x14ac:dyDescent="0.3">
      <c r="A87" s="35">
        <v>44298</v>
      </c>
      <c r="B87" s="36" t="s">
        <v>57</v>
      </c>
      <c r="C87" s="37">
        <v>13</v>
      </c>
      <c r="D87" s="37" t="s">
        <v>21</v>
      </c>
      <c r="E87" s="37" t="s">
        <v>19</v>
      </c>
      <c r="F87" s="38">
        <v>0</v>
      </c>
      <c r="G87" s="42" t="str">
        <f>VLOOKUP('Data 1'!$B87,'Data 2'!$A$1:$F$46,MATCH('Data 1'!G$1,'Data 2'!$A$1:$F$1,0),0)</f>
        <v>Product33</v>
      </c>
      <c r="H87" s="42" t="str">
        <f>VLOOKUP('Data 1'!$B87,'Data 2'!$A$1:$F$46,MATCH('Data 1'!H$1,'Data 2'!$A$1:$F$1,0),0)</f>
        <v>Category04</v>
      </c>
      <c r="I87" s="42" t="str">
        <f>VLOOKUP('Data 1'!$B87,'Data 2'!$A$1:$F$46,MATCH('Data 1'!I$1,'Data 2'!$A$1:$F$1,0),0)</f>
        <v>Kg</v>
      </c>
      <c r="J87" s="42">
        <f>VLOOKUP('Data 1'!$B87,'Data 2'!$A$1:$F$46,MATCH('Data 1'!J$1,'Data 2'!$A$1:$F$1,0),0)</f>
        <v>95</v>
      </c>
      <c r="K87" s="42">
        <f>VLOOKUP('Data 1'!$B87,'Data 2'!$A$1:$F$46,MATCH('Data 1'!K$1,'Data 2'!$A$1:$F$1,0),0)</f>
        <v>119.7</v>
      </c>
      <c r="L87" s="40">
        <f>SUM('Data 1'!$J87*'Data 1'!$C87)</f>
        <v>1235</v>
      </c>
      <c r="M87" s="40">
        <f>'Data 1'!$C87*'Data 1'!$K87</f>
        <v>1556.1000000000001</v>
      </c>
      <c r="N87" s="40">
        <f>'Data 1'!$M87-'Data 1'!$L87</f>
        <v>321.10000000000014</v>
      </c>
      <c r="O87" s="37">
        <f>DAY('Data 1'!$A87)</f>
        <v>12</v>
      </c>
      <c r="P87" s="37" t="str">
        <f>TEXT('Data 1'!$A87,"mmm")</f>
        <v>Apr</v>
      </c>
      <c r="Q87" s="41">
        <f>YEAR('Data 1'!$A87)</f>
        <v>2021</v>
      </c>
    </row>
    <row r="88" spans="1:17" x14ac:dyDescent="0.3">
      <c r="A88" s="35">
        <v>44301</v>
      </c>
      <c r="B88" s="36" t="s">
        <v>58</v>
      </c>
      <c r="C88" s="37">
        <v>3</v>
      </c>
      <c r="D88" s="37" t="s">
        <v>21</v>
      </c>
      <c r="E88" s="37" t="s">
        <v>17</v>
      </c>
      <c r="F88" s="38">
        <v>0</v>
      </c>
      <c r="G88" s="39" t="str">
        <f>VLOOKUP('Data 1'!$B88,'Data 2'!$A$1:$F$46,MATCH('Data 1'!G$1,'Data 2'!$A$1:$F$1,0),0)</f>
        <v>Product17</v>
      </c>
      <c r="H88" s="39" t="str">
        <f>VLOOKUP('Data 1'!$B88,'Data 2'!$A$1:$F$46,MATCH('Data 1'!H$1,'Data 2'!$A$1:$F$1,0),0)</f>
        <v>Category02</v>
      </c>
      <c r="I88" s="39" t="str">
        <f>VLOOKUP('Data 1'!$B88,'Data 2'!$A$1:$F$46,MATCH('Data 1'!I$1,'Data 2'!$A$1:$F$1,0),0)</f>
        <v>Ft</v>
      </c>
      <c r="J88" s="39">
        <f>VLOOKUP('Data 1'!$B88,'Data 2'!$A$1:$F$46,MATCH('Data 1'!J$1,'Data 2'!$A$1:$F$1,0),0)</f>
        <v>134</v>
      </c>
      <c r="K88" s="39">
        <f>VLOOKUP('Data 1'!$B88,'Data 2'!$A$1:$F$46,MATCH('Data 1'!K$1,'Data 2'!$A$1:$F$1,0),0)</f>
        <v>156.78</v>
      </c>
      <c r="L88" s="40">
        <f>SUM('Data 1'!$J88*'Data 1'!$C88)</f>
        <v>402</v>
      </c>
      <c r="M88" s="40">
        <f>'Data 1'!$C88*'Data 1'!$K88</f>
        <v>470.34000000000003</v>
      </c>
      <c r="N88" s="40">
        <f>'Data 1'!$M88-'Data 1'!$L88</f>
        <v>68.340000000000032</v>
      </c>
      <c r="O88" s="37">
        <f>DAY('Data 1'!$A88)</f>
        <v>15</v>
      </c>
      <c r="P88" s="37" t="str">
        <f>TEXT('Data 1'!$A88,"mmm")</f>
        <v>Apr</v>
      </c>
      <c r="Q88" s="41">
        <f>YEAR('Data 1'!$A88)</f>
        <v>2021</v>
      </c>
    </row>
    <row r="89" spans="1:17" x14ac:dyDescent="0.3">
      <c r="A89" s="35">
        <v>44302</v>
      </c>
      <c r="B89" s="36" t="s">
        <v>49</v>
      </c>
      <c r="C89" s="37">
        <v>15</v>
      </c>
      <c r="D89" s="37" t="s">
        <v>21</v>
      </c>
      <c r="E89" s="37" t="s">
        <v>19</v>
      </c>
      <c r="F89" s="38">
        <v>0</v>
      </c>
      <c r="G89" s="42" t="str">
        <f>VLOOKUP('Data 1'!$B89,'Data 2'!$A$1:$F$46,MATCH('Data 1'!G$1,'Data 2'!$A$1:$F$1,0),0)</f>
        <v>Product18</v>
      </c>
      <c r="H89" s="42" t="str">
        <f>VLOOKUP('Data 1'!$B89,'Data 2'!$A$1:$F$46,MATCH('Data 1'!H$1,'Data 2'!$A$1:$F$1,0),0)</f>
        <v>Category02</v>
      </c>
      <c r="I89" s="42" t="str">
        <f>VLOOKUP('Data 1'!$B89,'Data 2'!$A$1:$F$46,MATCH('Data 1'!I$1,'Data 2'!$A$1:$F$1,0),0)</f>
        <v>No.</v>
      </c>
      <c r="J89" s="42">
        <f>VLOOKUP('Data 1'!$B89,'Data 2'!$A$1:$F$46,MATCH('Data 1'!J$1,'Data 2'!$A$1:$F$1,0),0)</f>
        <v>37</v>
      </c>
      <c r="K89" s="42">
        <f>VLOOKUP('Data 1'!$B89,'Data 2'!$A$1:$F$46,MATCH('Data 1'!K$1,'Data 2'!$A$1:$F$1,0),0)</f>
        <v>49.21</v>
      </c>
      <c r="L89" s="40">
        <f>SUM('Data 1'!$J89*'Data 1'!$C89)</f>
        <v>555</v>
      </c>
      <c r="M89" s="40">
        <f>'Data 1'!$C89*'Data 1'!$K89</f>
        <v>738.15</v>
      </c>
      <c r="N89" s="40">
        <f>'Data 1'!$M89-'Data 1'!$L89</f>
        <v>183.14999999999998</v>
      </c>
      <c r="O89" s="37">
        <f>DAY('Data 1'!$A89)</f>
        <v>16</v>
      </c>
      <c r="P89" s="37" t="str">
        <f>TEXT('Data 1'!$A89,"mmm")</f>
        <v>Apr</v>
      </c>
      <c r="Q89" s="41">
        <f>YEAR('Data 1'!$A89)</f>
        <v>2021</v>
      </c>
    </row>
    <row r="90" spans="1:17" x14ac:dyDescent="0.3">
      <c r="A90" s="35">
        <v>44304</v>
      </c>
      <c r="B90" s="36" t="s">
        <v>18</v>
      </c>
      <c r="C90" s="37">
        <v>9</v>
      </c>
      <c r="D90" s="37" t="s">
        <v>16</v>
      </c>
      <c r="E90" s="37" t="s">
        <v>17</v>
      </c>
      <c r="F90" s="38">
        <v>0</v>
      </c>
      <c r="G90" s="39" t="str">
        <f>VLOOKUP('Data 1'!$B90,'Data 2'!$A$1:$F$46,MATCH('Data 1'!G$1,'Data 2'!$A$1:$F$1,0),0)</f>
        <v>Product38</v>
      </c>
      <c r="H90" s="39" t="str">
        <f>VLOOKUP('Data 1'!$B90,'Data 2'!$A$1:$F$46,MATCH('Data 1'!H$1,'Data 2'!$A$1:$F$1,0),0)</f>
        <v>Category05</v>
      </c>
      <c r="I90" s="39" t="str">
        <f>VLOOKUP('Data 1'!$B90,'Data 2'!$A$1:$F$46,MATCH('Data 1'!I$1,'Data 2'!$A$1:$F$1,0),0)</f>
        <v>Kg</v>
      </c>
      <c r="J90" s="39">
        <f>VLOOKUP('Data 1'!$B90,'Data 2'!$A$1:$F$46,MATCH('Data 1'!J$1,'Data 2'!$A$1:$F$1,0),0)</f>
        <v>72</v>
      </c>
      <c r="K90" s="39">
        <f>VLOOKUP('Data 1'!$B90,'Data 2'!$A$1:$F$46,MATCH('Data 1'!K$1,'Data 2'!$A$1:$F$1,0),0)</f>
        <v>79.92</v>
      </c>
      <c r="L90" s="40">
        <f>SUM('Data 1'!$J90*'Data 1'!$C90)</f>
        <v>648</v>
      </c>
      <c r="M90" s="40">
        <f>'Data 1'!$C90*'Data 1'!$K90</f>
        <v>719.28</v>
      </c>
      <c r="N90" s="40">
        <f>'Data 1'!$M90-'Data 1'!$L90</f>
        <v>71.279999999999973</v>
      </c>
      <c r="O90" s="37">
        <f>DAY('Data 1'!$A90)</f>
        <v>18</v>
      </c>
      <c r="P90" s="37" t="str">
        <f>TEXT('Data 1'!$A90,"mmm")</f>
        <v>Apr</v>
      </c>
      <c r="Q90" s="41">
        <f>YEAR('Data 1'!$A90)</f>
        <v>2021</v>
      </c>
    </row>
    <row r="91" spans="1:17" x14ac:dyDescent="0.3">
      <c r="A91" s="35">
        <v>44304</v>
      </c>
      <c r="B91" s="36" t="s">
        <v>59</v>
      </c>
      <c r="C91" s="37">
        <v>13</v>
      </c>
      <c r="D91" s="37" t="s">
        <v>21</v>
      </c>
      <c r="E91" s="37" t="s">
        <v>19</v>
      </c>
      <c r="F91" s="38">
        <v>0</v>
      </c>
      <c r="G91" s="42" t="str">
        <f>VLOOKUP('Data 1'!$B91,'Data 2'!$A$1:$F$46,MATCH('Data 1'!G$1,'Data 2'!$A$1:$F$1,0),0)</f>
        <v>Product19</v>
      </c>
      <c r="H91" s="42" t="str">
        <f>VLOOKUP('Data 1'!$B91,'Data 2'!$A$1:$F$46,MATCH('Data 1'!H$1,'Data 2'!$A$1:$F$1,0),0)</f>
        <v>Category02</v>
      </c>
      <c r="I91" s="42" t="str">
        <f>VLOOKUP('Data 1'!$B91,'Data 2'!$A$1:$F$46,MATCH('Data 1'!I$1,'Data 2'!$A$1:$F$1,0),0)</f>
        <v>Ft</v>
      </c>
      <c r="J91" s="42">
        <f>VLOOKUP('Data 1'!$B91,'Data 2'!$A$1:$F$46,MATCH('Data 1'!J$1,'Data 2'!$A$1:$F$1,0),0)</f>
        <v>150</v>
      </c>
      <c r="K91" s="42">
        <f>VLOOKUP('Data 1'!$B91,'Data 2'!$A$1:$F$46,MATCH('Data 1'!K$1,'Data 2'!$A$1:$F$1,0),0)</f>
        <v>210</v>
      </c>
      <c r="L91" s="40">
        <f>SUM('Data 1'!$J91*'Data 1'!$C91)</f>
        <v>1950</v>
      </c>
      <c r="M91" s="40">
        <f>'Data 1'!$C91*'Data 1'!$K91</f>
        <v>2730</v>
      </c>
      <c r="N91" s="40">
        <f>'Data 1'!$M91-'Data 1'!$L91</f>
        <v>780</v>
      </c>
      <c r="O91" s="37">
        <f>DAY('Data 1'!$A91)</f>
        <v>18</v>
      </c>
      <c r="P91" s="37" t="str">
        <f>TEXT('Data 1'!$A91,"mmm")</f>
        <v>Apr</v>
      </c>
      <c r="Q91" s="41">
        <f>YEAR('Data 1'!$A91)</f>
        <v>2021</v>
      </c>
    </row>
    <row r="92" spans="1:17" x14ac:dyDescent="0.3">
      <c r="A92" s="35">
        <v>44309</v>
      </c>
      <c r="B92" s="36" t="s">
        <v>29</v>
      </c>
      <c r="C92" s="37">
        <v>6</v>
      </c>
      <c r="D92" s="37" t="s">
        <v>21</v>
      </c>
      <c r="E92" s="37" t="s">
        <v>17</v>
      </c>
      <c r="F92" s="38">
        <v>0</v>
      </c>
      <c r="G92" s="39" t="str">
        <f>VLOOKUP('Data 1'!$B92,'Data 2'!$A$1:$F$46,MATCH('Data 1'!G$1,'Data 2'!$A$1:$F$1,0),0)</f>
        <v>Product42</v>
      </c>
      <c r="H92" s="39" t="str">
        <f>VLOOKUP('Data 1'!$B92,'Data 2'!$A$1:$F$46,MATCH('Data 1'!H$1,'Data 2'!$A$1:$F$1,0),0)</f>
        <v>Category05</v>
      </c>
      <c r="I92" s="39" t="str">
        <f>VLOOKUP('Data 1'!$B92,'Data 2'!$A$1:$F$46,MATCH('Data 1'!I$1,'Data 2'!$A$1:$F$1,0),0)</f>
        <v>Ft</v>
      </c>
      <c r="J92" s="39">
        <f>VLOOKUP('Data 1'!$B92,'Data 2'!$A$1:$F$46,MATCH('Data 1'!J$1,'Data 2'!$A$1:$F$1,0),0)</f>
        <v>120</v>
      </c>
      <c r="K92" s="39">
        <f>VLOOKUP('Data 1'!$B92,'Data 2'!$A$1:$F$46,MATCH('Data 1'!K$1,'Data 2'!$A$1:$F$1,0),0)</f>
        <v>162</v>
      </c>
      <c r="L92" s="40">
        <f>SUM('Data 1'!$J92*'Data 1'!$C92)</f>
        <v>720</v>
      </c>
      <c r="M92" s="40">
        <f>'Data 1'!$C92*'Data 1'!$K92</f>
        <v>972</v>
      </c>
      <c r="N92" s="40">
        <f>'Data 1'!$M92-'Data 1'!$L92</f>
        <v>252</v>
      </c>
      <c r="O92" s="37">
        <f>DAY('Data 1'!$A92)</f>
        <v>23</v>
      </c>
      <c r="P92" s="37" t="str">
        <f>TEXT('Data 1'!$A92,"mmm")</f>
        <v>Apr</v>
      </c>
      <c r="Q92" s="41">
        <f>YEAR('Data 1'!$A92)</f>
        <v>2021</v>
      </c>
    </row>
    <row r="93" spans="1:17" x14ac:dyDescent="0.3">
      <c r="A93" s="35">
        <v>44309</v>
      </c>
      <c r="B93" s="36" t="s">
        <v>52</v>
      </c>
      <c r="C93" s="37">
        <v>10</v>
      </c>
      <c r="D93" s="37" t="s">
        <v>21</v>
      </c>
      <c r="E93" s="37" t="s">
        <v>17</v>
      </c>
      <c r="F93" s="38">
        <v>0</v>
      </c>
      <c r="G93" s="42" t="str">
        <f>VLOOKUP('Data 1'!$B93,'Data 2'!$A$1:$F$46,MATCH('Data 1'!G$1,'Data 2'!$A$1:$F$1,0),0)</f>
        <v>Product28</v>
      </c>
      <c r="H93" s="42" t="str">
        <f>VLOOKUP('Data 1'!$B93,'Data 2'!$A$1:$F$46,MATCH('Data 1'!H$1,'Data 2'!$A$1:$F$1,0),0)</f>
        <v>Category04</v>
      </c>
      <c r="I93" s="42" t="str">
        <f>VLOOKUP('Data 1'!$B93,'Data 2'!$A$1:$F$46,MATCH('Data 1'!I$1,'Data 2'!$A$1:$F$1,0),0)</f>
        <v>No.</v>
      </c>
      <c r="J93" s="42">
        <f>VLOOKUP('Data 1'!$B93,'Data 2'!$A$1:$F$46,MATCH('Data 1'!J$1,'Data 2'!$A$1:$F$1,0),0)</f>
        <v>37</v>
      </c>
      <c r="K93" s="42">
        <f>VLOOKUP('Data 1'!$B93,'Data 2'!$A$1:$F$46,MATCH('Data 1'!K$1,'Data 2'!$A$1:$F$1,0),0)</f>
        <v>41.81</v>
      </c>
      <c r="L93" s="40">
        <f>SUM('Data 1'!$J93*'Data 1'!$C93)</f>
        <v>370</v>
      </c>
      <c r="M93" s="40">
        <f>'Data 1'!$C93*'Data 1'!$K93</f>
        <v>418.1</v>
      </c>
      <c r="N93" s="40">
        <f>'Data 1'!$M93-'Data 1'!$L93</f>
        <v>48.100000000000023</v>
      </c>
      <c r="O93" s="37">
        <f>DAY('Data 1'!$A93)</f>
        <v>23</v>
      </c>
      <c r="P93" s="37" t="str">
        <f>TEXT('Data 1'!$A93,"mmm")</f>
        <v>Apr</v>
      </c>
      <c r="Q93" s="41">
        <f>YEAR('Data 1'!$A93)</f>
        <v>2021</v>
      </c>
    </row>
    <row r="94" spans="1:17" x14ac:dyDescent="0.3">
      <c r="A94" s="35">
        <v>44310</v>
      </c>
      <c r="B94" s="36" t="s">
        <v>47</v>
      </c>
      <c r="C94" s="37">
        <v>2</v>
      </c>
      <c r="D94" s="37" t="s">
        <v>17</v>
      </c>
      <c r="E94" s="37" t="s">
        <v>17</v>
      </c>
      <c r="F94" s="38">
        <v>0</v>
      </c>
      <c r="G94" s="39" t="str">
        <f>VLOOKUP('Data 1'!$B94,'Data 2'!$A$1:$F$46,MATCH('Data 1'!G$1,'Data 2'!$A$1:$F$1,0),0)</f>
        <v>Product30</v>
      </c>
      <c r="H94" s="39" t="str">
        <f>VLOOKUP('Data 1'!$B94,'Data 2'!$A$1:$F$46,MATCH('Data 1'!H$1,'Data 2'!$A$1:$F$1,0),0)</f>
        <v>Category04</v>
      </c>
      <c r="I94" s="39" t="str">
        <f>VLOOKUP('Data 1'!$B94,'Data 2'!$A$1:$F$46,MATCH('Data 1'!I$1,'Data 2'!$A$1:$F$1,0),0)</f>
        <v>Ft</v>
      </c>
      <c r="J94" s="39">
        <f>VLOOKUP('Data 1'!$B94,'Data 2'!$A$1:$F$46,MATCH('Data 1'!J$1,'Data 2'!$A$1:$F$1,0),0)</f>
        <v>148</v>
      </c>
      <c r="K94" s="39">
        <f>VLOOKUP('Data 1'!$B94,'Data 2'!$A$1:$F$46,MATCH('Data 1'!K$1,'Data 2'!$A$1:$F$1,0),0)</f>
        <v>201.28</v>
      </c>
      <c r="L94" s="40">
        <f>SUM('Data 1'!$J94*'Data 1'!$C94)</f>
        <v>296</v>
      </c>
      <c r="M94" s="40">
        <f>'Data 1'!$C94*'Data 1'!$K94</f>
        <v>402.56</v>
      </c>
      <c r="N94" s="40">
        <f>'Data 1'!$M94-'Data 1'!$L94</f>
        <v>106.56</v>
      </c>
      <c r="O94" s="37">
        <f>DAY('Data 1'!$A94)</f>
        <v>24</v>
      </c>
      <c r="P94" s="37" t="str">
        <f>TEXT('Data 1'!$A94,"mmm")</f>
        <v>Apr</v>
      </c>
      <c r="Q94" s="41">
        <f>YEAR('Data 1'!$A94)</f>
        <v>2021</v>
      </c>
    </row>
    <row r="95" spans="1:17" x14ac:dyDescent="0.3">
      <c r="A95" s="35">
        <v>44312</v>
      </c>
      <c r="B95" s="36" t="s">
        <v>27</v>
      </c>
      <c r="C95" s="37">
        <v>3</v>
      </c>
      <c r="D95" s="37" t="s">
        <v>21</v>
      </c>
      <c r="E95" s="37" t="s">
        <v>17</v>
      </c>
      <c r="F95" s="38">
        <v>0</v>
      </c>
      <c r="G95" s="42" t="str">
        <f>VLOOKUP('Data 1'!$B95,'Data 2'!$A$1:$F$46,MATCH('Data 1'!G$1,'Data 2'!$A$1:$F$1,0),0)</f>
        <v>Product37</v>
      </c>
      <c r="H95" s="42" t="str">
        <f>VLOOKUP('Data 1'!$B95,'Data 2'!$A$1:$F$46,MATCH('Data 1'!H$1,'Data 2'!$A$1:$F$1,0),0)</f>
        <v>Category05</v>
      </c>
      <c r="I95" s="42" t="str">
        <f>VLOOKUP('Data 1'!$B95,'Data 2'!$A$1:$F$46,MATCH('Data 1'!I$1,'Data 2'!$A$1:$F$1,0),0)</f>
        <v>Kg</v>
      </c>
      <c r="J95" s="42">
        <f>VLOOKUP('Data 1'!$B95,'Data 2'!$A$1:$F$46,MATCH('Data 1'!J$1,'Data 2'!$A$1:$F$1,0),0)</f>
        <v>67</v>
      </c>
      <c r="K95" s="42">
        <f>VLOOKUP('Data 1'!$B95,'Data 2'!$A$1:$F$46,MATCH('Data 1'!K$1,'Data 2'!$A$1:$F$1,0),0)</f>
        <v>85.76</v>
      </c>
      <c r="L95" s="40">
        <f>SUM('Data 1'!$J95*'Data 1'!$C95)</f>
        <v>201</v>
      </c>
      <c r="M95" s="40">
        <f>'Data 1'!$C95*'Data 1'!$K95</f>
        <v>257.28000000000003</v>
      </c>
      <c r="N95" s="40">
        <f>'Data 1'!$M95-'Data 1'!$L95</f>
        <v>56.28000000000003</v>
      </c>
      <c r="O95" s="37">
        <f>DAY('Data 1'!$A95)</f>
        <v>26</v>
      </c>
      <c r="P95" s="37" t="str">
        <f>TEXT('Data 1'!$A95,"mmm")</f>
        <v>Apr</v>
      </c>
      <c r="Q95" s="41">
        <f>YEAR('Data 1'!$A95)</f>
        <v>2021</v>
      </c>
    </row>
    <row r="96" spans="1:17" x14ac:dyDescent="0.3">
      <c r="A96" s="35">
        <v>44315</v>
      </c>
      <c r="B96" s="36" t="s">
        <v>47</v>
      </c>
      <c r="C96" s="37">
        <v>7</v>
      </c>
      <c r="D96" s="37" t="s">
        <v>21</v>
      </c>
      <c r="E96" s="37" t="s">
        <v>17</v>
      </c>
      <c r="F96" s="38">
        <v>0</v>
      </c>
      <c r="G96" s="39" t="str">
        <f>VLOOKUP('Data 1'!$B96,'Data 2'!$A$1:$F$46,MATCH('Data 1'!G$1,'Data 2'!$A$1:$F$1,0),0)</f>
        <v>Product30</v>
      </c>
      <c r="H96" s="39" t="str">
        <f>VLOOKUP('Data 1'!$B96,'Data 2'!$A$1:$F$46,MATCH('Data 1'!H$1,'Data 2'!$A$1:$F$1,0),0)</f>
        <v>Category04</v>
      </c>
      <c r="I96" s="39" t="str">
        <f>VLOOKUP('Data 1'!$B96,'Data 2'!$A$1:$F$46,MATCH('Data 1'!I$1,'Data 2'!$A$1:$F$1,0),0)</f>
        <v>Ft</v>
      </c>
      <c r="J96" s="39">
        <f>VLOOKUP('Data 1'!$B96,'Data 2'!$A$1:$F$46,MATCH('Data 1'!J$1,'Data 2'!$A$1:$F$1,0),0)</f>
        <v>148</v>
      </c>
      <c r="K96" s="39">
        <f>VLOOKUP('Data 1'!$B96,'Data 2'!$A$1:$F$46,MATCH('Data 1'!K$1,'Data 2'!$A$1:$F$1,0),0)</f>
        <v>201.28</v>
      </c>
      <c r="L96" s="40">
        <f>SUM('Data 1'!$J96*'Data 1'!$C96)</f>
        <v>1036</v>
      </c>
      <c r="M96" s="40">
        <f>'Data 1'!$C96*'Data 1'!$K96</f>
        <v>1408.96</v>
      </c>
      <c r="N96" s="40">
        <f>'Data 1'!$M96-'Data 1'!$L96</f>
        <v>372.96000000000004</v>
      </c>
      <c r="O96" s="37">
        <f>DAY('Data 1'!$A96)</f>
        <v>29</v>
      </c>
      <c r="P96" s="37" t="str">
        <f>TEXT('Data 1'!$A96,"mmm")</f>
        <v>Apr</v>
      </c>
      <c r="Q96" s="41">
        <f>YEAR('Data 1'!$A96)</f>
        <v>2021</v>
      </c>
    </row>
    <row r="97" spans="1:17" x14ac:dyDescent="0.3">
      <c r="A97" s="35">
        <v>44316</v>
      </c>
      <c r="B97" s="36" t="s">
        <v>38</v>
      </c>
      <c r="C97" s="37">
        <v>1</v>
      </c>
      <c r="D97" s="37" t="s">
        <v>21</v>
      </c>
      <c r="E97" s="37" t="s">
        <v>17</v>
      </c>
      <c r="F97" s="38">
        <v>0</v>
      </c>
      <c r="G97" s="42" t="str">
        <f>VLOOKUP('Data 1'!$B97,'Data 2'!$A$1:$F$46,MATCH('Data 1'!G$1,'Data 2'!$A$1:$F$1,0),0)</f>
        <v>Product29</v>
      </c>
      <c r="H97" s="42" t="str">
        <f>VLOOKUP('Data 1'!$B97,'Data 2'!$A$1:$F$46,MATCH('Data 1'!H$1,'Data 2'!$A$1:$F$1,0),0)</f>
        <v>Category04</v>
      </c>
      <c r="I97" s="42" t="str">
        <f>VLOOKUP('Data 1'!$B97,'Data 2'!$A$1:$F$46,MATCH('Data 1'!I$1,'Data 2'!$A$1:$F$1,0),0)</f>
        <v>Lt</v>
      </c>
      <c r="J97" s="42">
        <f>VLOOKUP('Data 1'!$B97,'Data 2'!$A$1:$F$46,MATCH('Data 1'!J$1,'Data 2'!$A$1:$F$1,0),0)</f>
        <v>47</v>
      </c>
      <c r="K97" s="42">
        <f>VLOOKUP('Data 1'!$B97,'Data 2'!$A$1:$F$46,MATCH('Data 1'!K$1,'Data 2'!$A$1:$F$1,0),0)</f>
        <v>53.11</v>
      </c>
      <c r="L97" s="40">
        <f>SUM('Data 1'!$J97*'Data 1'!$C97)</f>
        <v>47</v>
      </c>
      <c r="M97" s="40">
        <f>'Data 1'!$C97*'Data 1'!$K97</f>
        <v>53.11</v>
      </c>
      <c r="N97" s="40">
        <f>'Data 1'!$M97-'Data 1'!$L97</f>
        <v>6.1099999999999994</v>
      </c>
      <c r="O97" s="37">
        <f>DAY('Data 1'!$A97)</f>
        <v>30</v>
      </c>
      <c r="P97" s="37" t="str">
        <f>TEXT('Data 1'!$A97,"mmm")</f>
        <v>Apr</v>
      </c>
      <c r="Q97" s="41">
        <f>YEAR('Data 1'!$A97)</f>
        <v>2021</v>
      </c>
    </row>
    <row r="98" spans="1:17" x14ac:dyDescent="0.3">
      <c r="A98" s="35">
        <v>44317</v>
      </c>
      <c r="B98" s="36" t="s">
        <v>49</v>
      </c>
      <c r="C98" s="37">
        <v>3</v>
      </c>
      <c r="D98" s="37" t="s">
        <v>17</v>
      </c>
      <c r="E98" s="37" t="s">
        <v>19</v>
      </c>
      <c r="F98" s="38">
        <v>0</v>
      </c>
      <c r="G98" s="39" t="str">
        <f>VLOOKUP('Data 1'!$B98,'Data 2'!$A$1:$F$46,MATCH('Data 1'!G$1,'Data 2'!$A$1:$F$1,0),0)</f>
        <v>Product18</v>
      </c>
      <c r="H98" s="39" t="str">
        <f>VLOOKUP('Data 1'!$B98,'Data 2'!$A$1:$F$46,MATCH('Data 1'!H$1,'Data 2'!$A$1:$F$1,0),0)</f>
        <v>Category02</v>
      </c>
      <c r="I98" s="39" t="str">
        <f>VLOOKUP('Data 1'!$B98,'Data 2'!$A$1:$F$46,MATCH('Data 1'!I$1,'Data 2'!$A$1:$F$1,0),0)</f>
        <v>No.</v>
      </c>
      <c r="J98" s="39">
        <f>VLOOKUP('Data 1'!$B98,'Data 2'!$A$1:$F$46,MATCH('Data 1'!J$1,'Data 2'!$A$1:$F$1,0),0)</f>
        <v>37</v>
      </c>
      <c r="K98" s="39">
        <f>VLOOKUP('Data 1'!$B98,'Data 2'!$A$1:$F$46,MATCH('Data 1'!K$1,'Data 2'!$A$1:$F$1,0),0)</f>
        <v>49.21</v>
      </c>
      <c r="L98" s="40">
        <f>SUM('Data 1'!$J98*'Data 1'!$C98)</f>
        <v>111</v>
      </c>
      <c r="M98" s="40">
        <f>'Data 1'!$C98*'Data 1'!$K98</f>
        <v>147.63</v>
      </c>
      <c r="N98" s="40">
        <f>'Data 1'!$M98-'Data 1'!$L98</f>
        <v>36.629999999999995</v>
      </c>
      <c r="O98" s="37">
        <f>DAY('Data 1'!$A98)</f>
        <v>1</v>
      </c>
      <c r="P98" s="37" t="str">
        <f>TEXT('Data 1'!$A98,"mmm")</f>
        <v>May</v>
      </c>
      <c r="Q98" s="41">
        <f>YEAR('Data 1'!$A98)</f>
        <v>2021</v>
      </c>
    </row>
    <row r="99" spans="1:17" x14ac:dyDescent="0.3">
      <c r="A99" s="35">
        <v>44317</v>
      </c>
      <c r="B99" s="36" t="s">
        <v>29</v>
      </c>
      <c r="C99" s="37">
        <v>1</v>
      </c>
      <c r="D99" s="37" t="s">
        <v>17</v>
      </c>
      <c r="E99" s="37" t="s">
        <v>19</v>
      </c>
      <c r="F99" s="38">
        <v>0</v>
      </c>
      <c r="G99" s="42" t="str">
        <f>VLOOKUP('Data 1'!$B99,'Data 2'!$A$1:$F$46,MATCH('Data 1'!G$1,'Data 2'!$A$1:$F$1,0),0)</f>
        <v>Product42</v>
      </c>
      <c r="H99" s="42" t="str">
        <f>VLOOKUP('Data 1'!$B99,'Data 2'!$A$1:$F$46,MATCH('Data 1'!H$1,'Data 2'!$A$1:$F$1,0),0)</f>
        <v>Category05</v>
      </c>
      <c r="I99" s="42" t="str">
        <f>VLOOKUP('Data 1'!$B99,'Data 2'!$A$1:$F$46,MATCH('Data 1'!I$1,'Data 2'!$A$1:$F$1,0),0)</f>
        <v>Ft</v>
      </c>
      <c r="J99" s="42">
        <f>VLOOKUP('Data 1'!$B99,'Data 2'!$A$1:$F$46,MATCH('Data 1'!J$1,'Data 2'!$A$1:$F$1,0),0)</f>
        <v>120</v>
      </c>
      <c r="K99" s="42">
        <f>VLOOKUP('Data 1'!$B99,'Data 2'!$A$1:$F$46,MATCH('Data 1'!K$1,'Data 2'!$A$1:$F$1,0),0)</f>
        <v>162</v>
      </c>
      <c r="L99" s="40">
        <f>SUM('Data 1'!$J99*'Data 1'!$C99)</f>
        <v>120</v>
      </c>
      <c r="M99" s="40">
        <f>'Data 1'!$C99*'Data 1'!$K99</f>
        <v>162</v>
      </c>
      <c r="N99" s="40">
        <f>'Data 1'!$M99-'Data 1'!$L99</f>
        <v>42</v>
      </c>
      <c r="O99" s="37">
        <f>DAY('Data 1'!$A99)</f>
        <v>1</v>
      </c>
      <c r="P99" s="37" t="str">
        <f>TEXT('Data 1'!$A99,"mmm")</f>
        <v>May</v>
      </c>
      <c r="Q99" s="41">
        <f>YEAR('Data 1'!$A99)</f>
        <v>2021</v>
      </c>
    </row>
    <row r="100" spans="1:17" x14ac:dyDescent="0.3">
      <c r="A100" s="35">
        <v>44319</v>
      </c>
      <c r="B100" s="36" t="s">
        <v>32</v>
      </c>
      <c r="C100" s="37">
        <v>3</v>
      </c>
      <c r="D100" s="37" t="s">
        <v>17</v>
      </c>
      <c r="E100" s="37" t="s">
        <v>17</v>
      </c>
      <c r="F100" s="38">
        <v>0</v>
      </c>
      <c r="G100" s="39" t="str">
        <f>VLOOKUP('Data 1'!$B100,'Data 2'!$A$1:$F$46,MATCH('Data 1'!G$1,'Data 2'!$A$1:$F$1,0),0)</f>
        <v>Product34</v>
      </c>
      <c r="H100" s="39" t="str">
        <f>VLOOKUP('Data 1'!$B100,'Data 2'!$A$1:$F$46,MATCH('Data 1'!H$1,'Data 2'!$A$1:$F$1,0),0)</f>
        <v>Category04</v>
      </c>
      <c r="I100" s="39" t="str">
        <f>VLOOKUP('Data 1'!$B100,'Data 2'!$A$1:$F$46,MATCH('Data 1'!I$1,'Data 2'!$A$1:$F$1,0),0)</f>
        <v>Lt</v>
      </c>
      <c r="J100" s="39">
        <f>VLOOKUP('Data 1'!$B100,'Data 2'!$A$1:$F$46,MATCH('Data 1'!J$1,'Data 2'!$A$1:$F$1,0),0)</f>
        <v>55</v>
      </c>
      <c r="K100" s="39">
        <f>VLOOKUP('Data 1'!$B100,'Data 2'!$A$1:$F$46,MATCH('Data 1'!K$1,'Data 2'!$A$1:$F$1,0),0)</f>
        <v>58.3</v>
      </c>
      <c r="L100" s="40">
        <f>SUM('Data 1'!$J100*'Data 1'!$C100)</f>
        <v>165</v>
      </c>
      <c r="M100" s="40">
        <f>'Data 1'!$C100*'Data 1'!$K100</f>
        <v>174.89999999999998</v>
      </c>
      <c r="N100" s="40">
        <f>'Data 1'!$M100-'Data 1'!$L100</f>
        <v>9.8999999999999773</v>
      </c>
      <c r="O100" s="37">
        <f>DAY('Data 1'!$A100)</f>
        <v>3</v>
      </c>
      <c r="P100" s="37" t="str">
        <f>TEXT('Data 1'!$A100,"mmm")</f>
        <v>May</v>
      </c>
      <c r="Q100" s="41">
        <f>YEAR('Data 1'!$A100)</f>
        <v>2021</v>
      </c>
    </row>
    <row r="101" spans="1:17" x14ac:dyDescent="0.3">
      <c r="A101" s="35">
        <v>44320</v>
      </c>
      <c r="B101" s="36" t="s">
        <v>46</v>
      </c>
      <c r="C101" s="37">
        <v>13</v>
      </c>
      <c r="D101" s="37" t="s">
        <v>17</v>
      </c>
      <c r="E101" s="37" t="s">
        <v>17</v>
      </c>
      <c r="F101" s="38">
        <v>0</v>
      </c>
      <c r="G101" s="42" t="str">
        <f>VLOOKUP('Data 1'!$B101,'Data 2'!$A$1:$F$46,MATCH('Data 1'!G$1,'Data 2'!$A$1:$F$1,0),0)</f>
        <v>Product15</v>
      </c>
      <c r="H101" s="42" t="str">
        <f>VLOOKUP('Data 1'!$B101,'Data 2'!$A$1:$F$46,MATCH('Data 1'!H$1,'Data 2'!$A$1:$F$1,0),0)</f>
        <v>Category02</v>
      </c>
      <c r="I101" s="42" t="str">
        <f>VLOOKUP('Data 1'!$B101,'Data 2'!$A$1:$F$46,MATCH('Data 1'!I$1,'Data 2'!$A$1:$F$1,0),0)</f>
        <v>No.</v>
      </c>
      <c r="J101" s="42">
        <f>VLOOKUP('Data 1'!$B101,'Data 2'!$A$1:$F$46,MATCH('Data 1'!J$1,'Data 2'!$A$1:$F$1,0),0)</f>
        <v>12</v>
      </c>
      <c r="K101" s="42">
        <f>VLOOKUP('Data 1'!$B101,'Data 2'!$A$1:$F$46,MATCH('Data 1'!K$1,'Data 2'!$A$1:$F$1,0),0)</f>
        <v>15.719999999999999</v>
      </c>
      <c r="L101" s="40">
        <f>SUM('Data 1'!$J101*'Data 1'!$C101)</f>
        <v>156</v>
      </c>
      <c r="M101" s="40">
        <f>'Data 1'!$C101*'Data 1'!$K101</f>
        <v>204.35999999999999</v>
      </c>
      <c r="N101" s="40">
        <f>'Data 1'!$M101-'Data 1'!$L101</f>
        <v>48.359999999999985</v>
      </c>
      <c r="O101" s="37">
        <f>DAY('Data 1'!$A101)</f>
        <v>4</v>
      </c>
      <c r="P101" s="37" t="str">
        <f>TEXT('Data 1'!$A101,"mmm")</f>
        <v>May</v>
      </c>
      <c r="Q101" s="41">
        <f>YEAR('Data 1'!$A101)</f>
        <v>2021</v>
      </c>
    </row>
    <row r="102" spans="1:17" x14ac:dyDescent="0.3">
      <c r="A102" s="35">
        <v>44320</v>
      </c>
      <c r="B102" s="36" t="s">
        <v>28</v>
      </c>
      <c r="C102" s="37">
        <v>4</v>
      </c>
      <c r="D102" s="37" t="s">
        <v>21</v>
      </c>
      <c r="E102" s="37" t="s">
        <v>19</v>
      </c>
      <c r="F102" s="38">
        <v>0</v>
      </c>
      <c r="G102" s="39" t="str">
        <f>VLOOKUP('Data 1'!$B102,'Data 2'!$A$1:$F$46,MATCH('Data 1'!G$1,'Data 2'!$A$1:$F$1,0),0)</f>
        <v>Product14</v>
      </c>
      <c r="H102" s="39" t="str">
        <f>VLOOKUP('Data 1'!$B102,'Data 2'!$A$1:$F$46,MATCH('Data 1'!H$1,'Data 2'!$A$1:$F$1,0),0)</f>
        <v>Category02</v>
      </c>
      <c r="I102" s="39" t="str">
        <f>VLOOKUP('Data 1'!$B102,'Data 2'!$A$1:$F$46,MATCH('Data 1'!I$1,'Data 2'!$A$1:$F$1,0),0)</f>
        <v>Kg</v>
      </c>
      <c r="J102" s="39">
        <f>VLOOKUP('Data 1'!$B102,'Data 2'!$A$1:$F$46,MATCH('Data 1'!J$1,'Data 2'!$A$1:$F$1,0),0)</f>
        <v>112</v>
      </c>
      <c r="K102" s="39">
        <f>VLOOKUP('Data 1'!$B102,'Data 2'!$A$1:$F$46,MATCH('Data 1'!K$1,'Data 2'!$A$1:$F$1,0),0)</f>
        <v>146.72</v>
      </c>
      <c r="L102" s="40">
        <f>SUM('Data 1'!$J102*'Data 1'!$C102)</f>
        <v>448</v>
      </c>
      <c r="M102" s="40">
        <f>'Data 1'!$C102*'Data 1'!$K102</f>
        <v>586.88</v>
      </c>
      <c r="N102" s="40">
        <f>'Data 1'!$M102-'Data 1'!$L102</f>
        <v>138.88</v>
      </c>
      <c r="O102" s="37">
        <f>DAY('Data 1'!$A102)</f>
        <v>4</v>
      </c>
      <c r="P102" s="37" t="str">
        <f>TEXT('Data 1'!$A102,"mmm")</f>
        <v>May</v>
      </c>
      <c r="Q102" s="41">
        <f>YEAR('Data 1'!$A102)</f>
        <v>2021</v>
      </c>
    </row>
    <row r="103" spans="1:17" x14ac:dyDescent="0.3">
      <c r="A103" s="35">
        <v>44321</v>
      </c>
      <c r="B103" s="36" t="s">
        <v>56</v>
      </c>
      <c r="C103" s="37">
        <v>13</v>
      </c>
      <c r="D103" s="37" t="s">
        <v>21</v>
      </c>
      <c r="E103" s="37" t="s">
        <v>19</v>
      </c>
      <c r="F103" s="38">
        <v>0</v>
      </c>
      <c r="G103" s="42" t="str">
        <f>VLOOKUP('Data 1'!$B103,'Data 2'!$A$1:$F$46,MATCH('Data 1'!G$1,'Data 2'!$A$1:$F$1,0),0)</f>
        <v>Product09</v>
      </c>
      <c r="H103" s="42" t="str">
        <f>VLOOKUP('Data 1'!$B103,'Data 2'!$A$1:$F$46,MATCH('Data 1'!H$1,'Data 2'!$A$1:$F$1,0),0)</f>
        <v>Category03</v>
      </c>
      <c r="I103" s="42" t="str">
        <f>VLOOKUP('Data 1'!$B103,'Data 2'!$A$1:$F$46,MATCH('Data 1'!I$1,'Data 2'!$A$1:$F$1,0),0)</f>
        <v>No.</v>
      </c>
      <c r="J103" s="42">
        <f>VLOOKUP('Data 1'!$B103,'Data 2'!$A$1:$F$46,MATCH('Data 1'!J$1,'Data 2'!$A$1:$F$1,0),0)</f>
        <v>6</v>
      </c>
      <c r="K103" s="42">
        <f>VLOOKUP('Data 1'!$B103,'Data 2'!$A$1:$F$46,MATCH('Data 1'!K$1,'Data 2'!$A$1:$F$1,0),0)</f>
        <v>7.8599999999999994</v>
      </c>
      <c r="L103" s="40">
        <f>SUM('Data 1'!$J103*'Data 1'!$C103)</f>
        <v>78</v>
      </c>
      <c r="M103" s="40">
        <f>'Data 1'!$C103*'Data 1'!$K103</f>
        <v>102.17999999999999</v>
      </c>
      <c r="N103" s="40">
        <f>'Data 1'!$M103-'Data 1'!$L103</f>
        <v>24.179999999999993</v>
      </c>
      <c r="O103" s="37">
        <f>DAY('Data 1'!$A103)</f>
        <v>5</v>
      </c>
      <c r="P103" s="37" t="str">
        <f>TEXT('Data 1'!$A103,"mmm")</f>
        <v>May</v>
      </c>
      <c r="Q103" s="41">
        <f>YEAR('Data 1'!$A103)</f>
        <v>2021</v>
      </c>
    </row>
    <row r="104" spans="1:17" x14ac:dyDescent="0.3">
      <c r="A104" s="35">
        <v>44322</v>
      </c>
      <c r="B104" s="36" t="s">
        <v>44</v>
      </c>
      <c r="C104" s="37">
        <v>15</v>
      </c>
      <c r="D104" s="37" t="s">
        <v>21</v>
      </c>
      <c r="E104" s="37" t="s">
        <v>17</v>
      </c>
      <c r="F104" s="38">
        <v>0</v>
      </c>
      <c r="G104" s="39" t="str">
        <f>VLOOKUP('Data 1'!$B104,'Data 2'!$A$1:$F$46,MATCH('Data 1'!G$1,'Data 2'!$A$1:$F$1,0),0)</f>
        <v>Product08</v>
      </c>
      <c r="H104" s="39" t="str">
        <f>VLOOKUP('Data 1'!$B104,'Data 2'!$A$1:$F$46,MATCH('Data 1'!H$1,'Data 2'!$A$1:$F$1,0),0)</f>
        <v>Category01</v>
      </c>
      <c r="I104" s="39" t="str">
        <f>VLOOKUP('Data 1'!$B104,'Data 2'!$A$1:$F$46,MATCH('Data 1'!I$1,'Data 2'!$A$1:$F$1,0),0)</f>
        <v>Kg</v>
      </c>
      <c r="J104" s="39">
        <f>VLOOKUP('Data 1'!$B104,'Data 2'!$A$1:$F$46,MATCH('Data 1'!J$1,'Data 2'!$A$1:$F$1,0),0)</f>
        <v>83</v>
      </c>
      <c r="K104" s="39">
        <f>VLOOKUP('Data 1'!$B104,'Data 2'!$A$1:$F$46,MATCH('Data 1'!K$1,'Data 2'!$A$1:$F$1,0),0)</f>
        <v>94.62</v>
      </c>
      <c r="L104" s="40">
        <f>SUM('Data 1'!$J104*'Data 1'!$C104)</f>
        <v>1245</v>
      </c>
      <c r="M104" s="40">
        <f>'Data 1'!$C104*'Data 1'!$K104</f>
        <v>1419.3000000000002</v>
      </c>
      <c r="N104" s="40">
        <f>'Data 1'!$M104-'Data 1'!$L104</f>
        <v>174.30000000000018</v>
      </c>
      <c r="O104" s="37">
        <f>DAY('Data 1'!$A104)</f>
        <v>6</v>
      </c>
      <c r="P104" s="37" t="str">
        <f>TEXT('Data 1'!$A104,"mmm")</f>
        <v>May</v>
      </c>
      <c r="Q104" s="41">
        <f>YEAR('Data 1'!$A104)</f>
        <v>2021</v>
      </c>
    </row>
    <row r="105" spans="1:17" x14ac:dyDescent="0.3">
      <c r="A105" s="35">
        <v>44322</v>
      </c>
      <c r="B105" s="36" t="s">
        <v>56</v>
      </c>
      <c r="C105" s="37">
        <v>6</v>
      </c>
      <c r="D105" s="37" t="s">
        <v>17</v>
      </c>
      <c r="E105" s="37" t="s">
        <v>17</v>
      </c>
      <c r="F105" s="38">
        <v>0</v>
      </c>
      <c r="G105" s="42" t="str">
        <f>VLOOKUP('Data 1'!$B105,'Data 2'!$A$1:$F$46,MATCH('Data 1'!G$1,'Data 2'!$A$1:$F$1,0),0)</f>
        <v>Product09</v>
      </c>
      <c r="H105" s="42" t="str">
        <f>VLOOKUP('Data 1'!$B105,'Data 2'!$A$1:$F$46,MATCH('Data 1'!H$1,'Data 2'!$A$1:$F$1,0),0)</f>
        <v>Category03</v>
      </c>
      <c r="I105" s="42" t="str">
        <f>VLOOKUP('Data 1'!$B105,'Data 2'!$A$1:$F$46,MATCH('Data 1'!I$1,'Data 2'!$A$1:$F$1,0),0)</f>
        <v>No.</v>
      </c>
      <c r="J105" s="42">
        <f>VLOOKUP('Data 1'!$B105,'Data 2'!$A$1:$F$46,MATCH('Data 1'!J$1,'Data 2'!$A$1:$F$1,0),0)</f>
        <v>6</v>
      </c>
      <c r="K105" s="42">
        <f>VLOOKUP('Data 1'!$B105,'Data 2'!$A$1:$F$46,MATCH('Data 1'!K$1,'Data 2'!$A$1:$F$1,0),0)</f>
        <v>7.8599999999999994</v>
      </c>
      <c r="L105" s="40">
        <f>SUM('Data 1'!$J105*'Data 1'!$C105)</f>
        <v>36</v>
      </c>
      <c r="M105" s="40">
        <f>'Data 1'!$C105*'Data 1'!$K105</f>
        <v>47.16</v>
      </c>
      <c r="N105" s="40">
        <f>'Data 1'!$M105-'Data 1'!$L105</f>
        <v>11.159999999999997</v>
      </c>
      <c r="O105" s="37">
        <f>DAY('Data 1'!$A105)</f>
        <v>6</v>
      </c>
      <c r="P105" s="37" t="str">
        <f>TEXT('Data 1'!$A105,"mmm")</f>
        <v>May</v>
      </c>
      <c r="Q105" s="41">
        <f>YEAR('Data 1'!$A105)</f>
        <v>2021</v>
      </c>
    </row>
    <row r="106" spans="1:17" x14ac:dyDescent="0.3">
      <c r="A106" s="35">
        <v>44323</v>
      </c>
      <c r="B106" s="36" t="s">
        <v>49</v>
      </c>
      <c r="C106" s="37">
        <v>1</v>
      </c>
      <c r="D106" s="37" t="s">
        <v>21</v>
      </c>
      <c r="E106" s="37" t="s">
        <v>19</v>
      </c>
      <c r="F106" s="38">
        <v>0</v>
      </c>
      <c r="G106" s="39" t="str">
        <f>VLOOKUP('Data 1'!$B106,'Data 2'!$A$1:$F$46,MATCH('Data 1'!G$1,'Data 2'!$A$1:$F$1,0),0)</f>
        <v>Product18</v>
      </c>
      <c r="H106" s="39" t="str">
        <f>VLOOKUP('Data 1'!$B106,'Data 2'!$A$1:$F$46,MATCH('Data 1'!H$1,'Data 2'!$A$1:$F$1,0),0)</f>
        <v>Category02</v>
      </c>
      <c r="I106" s="39" t="str">
        <f>VLOOKUP('Data 1'!$B106,'Data 2'!$A$1:$F$46,MATCH('Data 1'!I$1,'Data 2'!$A$1:$F$1,0),0)</f>
        <v>No.</v>
      </c>
      <c r="J106" s="39">
        <f>VLOOKUP('Data 1'!$B106,'Data 2'!$A$1:$F$46,MATCH('Data 1'!J$1,'Data 2'!$A$1:$F$1,0),0)</f>
        <v>37</v>
      </c>
      <c r="K106" s="39">
        <f>VLOOKUP('Data 1'!$B106,'Data 2'!$A$1:$F$46,MATCH('Data 1'!K$1,'Data 2'!$A$1:$F$1,0),0)</f>
        <v>49.21</v>
      </c>
      <c r="L106" s="40">
        <f>SUM('Data 1'!$J106*'Data 1'!$C106)</f>
        <v>37</v>
      </c>
      <c r="M106" s="40">
        <f>'Data 1'!$C106*'Data 1'!$K106</f>
        <v>49.21</v>
      </c>
      <c r="N106" s="40">
        <f>'Data 1'!$M106-'Data 1'!$L106</f>
        <v>12.21</v>
      </c>
      <c r="O106" s="37">
        <f>DAY('Data 1'!$A106)</f>
        <v>7</v>
      </c>
      <c r="P106" s="37" t="str">
        <f>TEXT('Data 1'!$A106,"mmm")</f>
        <v>May</v>
      </c>
      <c r="Q106" s="41">
        <f>YEAR('Data 1'!$A106)</f>
        <v>2021</v>
      </c>
    </row>
    <row r="107" spans="1:17" x14ac:dyDescent="0.3">
      <c r="A107" s="35">
        <v>44325</v>
      </c>
      <c r="B107" s="36" t="s">
        <v>40</v>
      </c>
      <c r="C107" s="37">
        <v>6</v>
      </c>
      <c r="D107" s="37" t="s">
        <v>17</v>
      </c>
      <c r="E107" s="37" t="s">
        <v>17</v>
      </c>
      <c r="F107" s="38">
        <v>0</v>
      </c>
      <c r="G107" s="42" t="str">
        <f>VLOOKUP('Data 1'!$B107,'Data 2'!$A$1:$F$46,MATCH('Data 1'!G$1,'Data 2'!$A$1:$F$1,0),0)</f>
        <v>Product16</v>
      </c>
      <c r="H107" s="42" t="str">
        <f>VLOOKUP('Data 1'!$B107,'Data 2'!$A$1:$F$46,MATCH('Data 1'!H$1,'Data 2'!$A$1:$F$1,0),0)</f>
        <v>Category02</v>
      </c>
      <c r="I107" s="42" t="str">
        <f>VLOOKUP('Data 1'!$B107,'Data 2'!$A$1:$F$46,MATCH('Data 1'!I$1,'Data 2'!$A$1:$F$1,0),0)</f>
        <v>No.</v>
      </c>
      <c r="J107" s="42">
        <f>VLOOKUP('Data 1'!$B107,'Data 2'!$A$1:$F$46,MATCH('Data 1'!J$1,'Data 2'!$A$1:$F$1,0),0)</f>
        <v>13</v>
      </c>
      <c r="K107" s="42">
        <f>VLOOKUP('Data 1'!$B107,'Data 2'!$A$1:$F$46,MATCH('Data 1'!K$1,'Data 2'!$A$1:$F$1,0),0)</f>
        <v>16.64</v>
      </c>
      <c r="L107" s="40">
        <f>SUM('Data 1'!$J107*'Data 1'!$C107)</f>
        <v>78</v>
      </c>
      <c r="M107" s="40">
        <f>'Data 1'!$C107*'Data 1'!$K107</f>
        <v>99.84</v>
      </c>
      <c r="N107" s="40">
        <f>'Data 1'!$M107-'Data 1'!$L107</f>
        <v>21.840000000000003</v>
      </c>
      <c r="O107" s="37">
        <f>DAY('Data 1'!$A107)</f>
        <v>9</v>
      </c>
      <c r="P107" s="37" t="str">
        <f>TEXT('Data 1'!$A107,"mmm")</f>
        <v>May</v>
      </c>
      <c r="Q107" s="41">
        <f>YEAR('Data 1'!$A107)</f>
        <v>2021</v>
      </c>
    </row>
    <row r="108" spans="1:17" x14ac:dyDescent="0.3">
      <c r="A108" s="35">
        <v>44325</v>
      </c>
      <c r="B108" s="36" t="s">
        <v>52</v>
      </c>
      <c r="C108" s="37">
        <v>8</v>
      </c>
      <c r="D108" s="37" t="s">
        <v>21</v>
      </c>
      <c r="E108" s="37" t="s">
        <v>19</v>
      </c>
      <c r="F108" s="38">
        <v>0</v>
      </c>
      <c r="G108" s="39" t="str">
        <f>VLOOKUP('Data 1'!$B108,'Data 2'!$A$1:$F$46,MATCH('Data 1'!G$1,'Data 2'!$A$1:$F$1,0),0)</f>
        <v>Product28</v>
      </c>
      <c r="H108" s="39" t="str">
        <f>VLOOKUP('Data 1'!$B108,'Data 2'!$A$1:$F$46,MATCH('Data 1'!H$1,'Data 2'!$A$1:$F$1,0),0)</f>
        <v>Category04</v>
      </c>
      <c r="I108" s="39" t="str">
        <f>VLOOKUP('Data 1'!$B108,'Data 2'!$A$1:$F$46,MATCH('Data 1'!I$1,'Data 2'!$A$1:$F$1,0),0)</f>
        <v>No.</v>
      </c>
      <c r="J108" s="39">
        <f>VLOOKUP('Data 1'!$B108,'Data 2'!$A$1:$F$46,MATCH('Data 1'!J$1,'Data 2'!$A$1:$F$1,0),0)</f>
        <v>37</v>
      </c>
      <c r="K108" s="39">
        <f>VLOOKUP('Data 1'!$B108,'Data 2'!$A$1:$F$46,MATCH('Data 1'!K$1,'Data 2'!$A$1:$F$1,0),0)</f>
        <v>41.81</v>
      </c>
      <c r="L108" s="40">
        <f>SUM('Data 1'!$J108*'Data 1'!$C108)</f>
        <v>296</v>
      </c>
      <c r="M108" s="40">
        <f>'Data 1'!$C108*'Data 1'!$K108</f>
        <v>334.48</v>
      </c>
      <c r="N108" s="40">
        <f>'Data 1'!$M108-'Data 1'!$L108</f>
        <v>38.480000000000018</v>
      </c>
      <c r="O108" s="37">
        <f>DAY('Data 1'!$A108)</f>
        <v>9</v>
      </c>
      <c r="P108" s="37" t="str">
        <f>TEXT('Data 1'!$A108,"mmm")</f>
        <v>May</v>
      </c>
      <c r="Q108" s="41">
        <f>YEAR('Data 1'!$A108)</f>
        <v>2021</v>
      </c>
    </row>
    <row r="109" spans="1:17" x14ac:dyDescent="0.3">
      <c r="A109" s="35">
        <v>44328</v>
      </c>
      <c r="B109" s="36" t="s">
        <v>40</v>
      </c>
      <c r="C109" s="37">
        <v>3</v>
      </c>
      <c r="D109" s="37" t="s">
        <v>21</v>
      </c>
      <c r="E109" s="37" t="s">
        <v>17</v>
      </c>
      <c r="F109" s="38">
        <v>0</v>
      </c>
      <c r="G109" s="42" t="str">
        <f>VLOOKUP('Data 1'!$B109,'Data 2'!$A$1:$F$46,MATCH('Data 1'!G$1,'Data 2'!$A$1:$F$1,0),0)</f>
        <v>Product16</v>
      </c>
      <c r="H109" s="42" t="str">
        <f>VLOOKUP('Data 1'!$B109,'Data 2'!$A$1:$F$46,MATCH('Data 1'!H$1,'Data 2'!$A$1:$F$1,0),0)</f>
        <v>Category02</v>
      </c>
      <c r="I109" s="42" t="str">
        <f>VLOOKUP('Data 1'!$B109,'Data 2'!$A$1:$F$46,MATCH('Data 1'!I$1,'Data 2'!$A$1:$F$1,0),0)</f>
        <v>No.</v>
      </c>
      <c r="J109" s="42">
        <f>VLOOKUP('Data 1'!$B109,'Data 2'!$A$1:$F$46,MATCH('Data 1'!J$1,'Data 2'!$A$1:$F$1,0),0)</f>
        <v>13</v>
      </c>
      <c r="K109" s="42">
        <f>VLOOKUP('Data 1'!$B109,'Data 2'!$A$1:$F$46,MATCH('Data 1'!K$1,'Data 2'!$A$1:$F$1,0),0)</f>
        <v>16.64</v>
      </c>
      <c r="L109" s="40">
        <f>SUM('Data 1'!$J109*'Data 1'!$C109)</f>
        <v>39</v>
      </c>
      <c r="M109" s="40">
        <f>'Data 1'!$C109*'Data 1'!$K109</f>
        <v>49.92</v>
      </c>
      <c r="N109" s="40">
        <f>'Data 1'!$M109-'Data 1'!$L109</f>
        <v>10.920000000000002</v>
      </c>
      <c r="O109" s="37">
        <f>DAY('Data 1'!$A109)</f>
        <v>12</v>
      </c>
      <c r="P109" s="37" t="str">
        <f>TEXT('Data 1'!$A109,"mmm")</f>
        <v>May</v>
      </c>
      <c r="Q109" s="41">
        <f>YEAR('Data 1'!$A109)</f>
        <v>2021</v>
      </c>
    </row>
    <row r="110" spans="1:17" x14ac:dyDescent="0.3">
      <c r="A110" s="35">
        <v>44328</v>
      </c>
      <c r="B110" s="36" t="s">
        <v>23</v>
      </c>
      <c r="C110" s="37">
        <v>15</v>
      </c>
      <c r="D110" s="37" t="s">
        <v>21</v>
      </c>
      <c r="E110" s="37" t="s">
        <v>17</v>
      </c>
      <c r="F110" s="38">
        <v>0</v>
      </c>
      <c r="G110" s="39" t="str">
        <f>VLOOKUP('Data 1'!$B110,'Data 2'!$A$1:$F$46,MATCH('Data 1'!G$1,'Data 2'!$A$1:$F$1,0),0)</f>
        <v>Product35</v>
      </c>
      <c r="H110" s="39" t="str">
        <f>VLOOKUP('Data 1'!$B110,'Data 2'!$A$1:$F$46,MATCH('Data 1'!H$1,'Data 2'!$A$1:$F$1,0),0)</f>
        <v>Category04</v>
      </c>
      <c r="I110" s="39" t="str">
        <f>VLOOKUP('Data 1'!$B110,'Data 2'!$A$1:$F$46,MATCH('Data 1'!I$1,'Data 2'!$A$1:$F$1,0),0)</f>
        <v>No.</v>
      </c>
      <c r="J110" s="39">
        <f>VLOOKUP('Data 1'!$B110,'Data 2'!$A$1:$F$46,MATCH('Data 1'!J$1,'Data 2'!$A$1:$F$1,0),0)</f>
        <v>5</v>
      </c>
      <c r="K110" s="39">
        <f>VLOOKUP('Data 1'!$B110,'Data 2'!$A$1:$F$46,MATCH('Data 1'!K$1,'Data 2'!$A$1:$F$1,0),0)</f>
        <v>6.7</v>
      </c>
      <c r="L110" s="40">
        <f>SUM('Data 1'!$J110*'Data 1'!$C110)</f>
        <v>75</v>
      </c>
      <c r="M110" s="40">
        <f>'Data 1'!$C110*'Data 1'!$K110</f>
        <v>100.5</v>
      </c>
      <c r="N110" s="40">
        <f>'Data 1'!$M110-'Data 1'!$L110</f>
        <v>25.5</v>
      </c>
      <c r="O110" s="37">
        <f>DAY('Data 1'!$A110)</f>
        <v>12</v>
      </c>
      <c r="P110" s="37" t="str">
        <f>TEXT('Data 1'!$A110,"mmm")</f>
        <v>May</v>
      </c>
      <c r="Q110" s="41">
        <f>YEAR('Data 1'!$A110)</f>
        <v>2021</v>
      </c>
    </row>
    <row r="111" spans="1:17" x14ac:dyDescent="0.3">
      <c r="A111" s="35">
        <v>44329</v>
      </c>
      <c r="B111" s="36" t="s">
        <v>38</v>
      </c>
      <c r="C111" s="37">
        <v>4</v>
      </c>
      <c r="D111" s="37" t="s">
        <v>21</v>
      </c>
      <c r="E111" s="37" t="s">
        <v>17</v>
      </c>
      <c r="F111" s="38">
        <v>0</v>
      </c>
      <c r="G111" s="42" t="str">
        <f>VLOOKUP('Data 1'!$B111,'Data 2'!$A$1:$F$46,MATCH('Data 1'!G$1,'Data 2'!$A$1:$F$1,0),0)</f>
        <v>Product29</v>
      </c>
      <c r="H111" s="42" t="str">
        <f>VLOOKUP('Data 1'!$B111,'Data 2'!$A$1:$F$46,MATCH('Data 1'!H$1,'Data 2'!$A$1:$F$1,0),0)</f>
        <v>Category04</v>
      </c>
      <c r="I111" s="42" t="str">
        <f>VLOOKUP('Data 1'!$B111,'Data 2'!$A$1:$F$46,MATCH('Data 1'!I$1,'Data 2'!$A$1:$F$1,0),0)</f>
        <v>Lt</v>
      </c>
      <c r="J111" s="42">
        <f>VLOOKUP('Data 1'!$B111,'Data 2'!$A$1:$F$46,MATCH('Data 1'!J$1,'Data 2'!$A$1:$F$1,0),0)</f>
        <v>47</v>
      </c>
      <c r="K111" s="42">
        <f>VLOOKUP('Data 1'!$B111,'Data 2'!$A$1:$F$46,MATCH('Data 1'!K$1,'Data 2'!$A$1:$F$1,0),0)</f>
        <v>53.11</v>
      </c>
      <c r="L111" s="40">
        <f>SUM('Data 1'!$J111*'Data 1'!$C111)</f>
        <v>188</v>
      </c>
      <c r="M111" s="40">
        <f>'Data 1'!$C111*'Data 1'!$K111</f>
        <v>212.44</v>
      </c>
      <c r="N111" s="40">
        <f>'Data 1'!$M111-'Data 1'!$L111</f>
        <v>24.439999999999998</v>
      </c>
      <c r="O111" s="37">
        <f>DAY('Data 1'!$A111)</f>
        <v>13</v>
      </c>
      <c r="P111" s="37" t="str">
        <f>TEXT('Data 1'!$A111,"mmm")</f>
        <v>May</v>
      </c>
      <c r="Q111" s="41">
        <f>YEAR('Data 1'!$A111)</f>
        <v>2021</v>
      </c>
    </row>
    <row r="112" spans="1:17" x14ac:dyDescent="0.3">
      <c r="A112" s="35">
        <v>44336</v>
      </c>
      <c r="B112" s="36" t="s">
        <v>29</v>
      </c>
      <c r="C112" s="37">
        <v>2</v>
      </c>
      <c r="D112" s="37" t="s">
        <v>17</v>
      </c>
      <c r="E112" s="37" t="s">
        <v>19</v>
      </c>
      <c r="F112" s="38">
        <v>0</v>
      </c>
      <c r="G112" s="39" t="str">
        <f>VLOOKUP('Data 1'!$B112,'Data 2'!$A$1:$F$46,MATCH('Data 1'!G$1,'Data 2'!$A$1:$F$1,0),0)</f>
        <v>Product42</v>
      </c>
      <c r="H112" s="39" t="str">
        <f>VLOOKUP('Data 1'!$B112,'Data 2'!$A$1:$F$46,MATCH('Data 1'!H$1,'Data 2'!$A$1:$F$1,0),0)</f>
        <v>Category05</v>
      </c>
      <c r="I112" s="39" t="str">
        <f>VLOOKUP('Data 1'!$B112,'Data 2'!$A$1:$F$46,MATCH('Data 1'!I$1,'Data 2'!$A$1:$F$1,0),0)</f>
        <v>Ft</v>
      </c>
      <c r="J112" s="39">
        <f>VLOOKUP('Data 1'!$B112,'Data 2'!$A$1:$F$46,MATCH('Data 1'!J$1,'Data 2'!$A$1:$F$1,0),0)</f>
        <v>120</v>
      </c>
      <c r="K112" s="39">
        <f>VLOOKUP('Data 1'!$B112,'Data 2'!$A$1:$F$46,MATCH('Data 1'!K$1,'Data 2'!$A$1:$F$1,0),0)</f>
        <v>162</v>
      </c>
      <c r="L112" s="40">
        <f>SUM('Data 1'!$J112*'Data 1'!$C112)</f>
        <v>240</v>
      </c>
      <c r="M112" s="40">
        <f>'Data 1'!$C112*'Data 1'!$K112</f>
        <v>324</v>
      </c>
      <c r="N112" s="40">
        <f>'Data 1'!$M112-'Data 1'!$L112</f>
        <v>84</v>
      </c>
      <c r="O112" s="37">
        <f>DAY('Data 1'!$A112)</f>
        <v>20</v>
      </c>
      <c r="P112" s="37" t="str">
        <f>TEXT('Data 1'!$A112,"mmm")</f>
        <v>May</v>
      </c>
      <c r="Q112" s="41">
        <f>YEAR('Data 1'!$A112)</f>
        <v>2021</v>
      </c>
    </row>
    <row r="113" spans="1:17" x14ac:dyDescent="0.3">
      <c r="A113" s="35">
        <v>44339</v>
      </c>
      <c r="B113" s="36" t="s">
        <v>36</v>
      </c>
      <c r="C113" s="37">
        <v>11</v>
      </c>
      <c r="D113" s="37" t="s">
        <v>21</v>
      </c>
      <c r="E113" s="37" t="s">
        <v>17</v>
      </c>
      <c r="F113" s="38">
        <v>0</v>
      </c>
      <c r="G113" s="42" t="str">
        <f>VLOOKUP('Data 1'!$B113,'Data 2'!$A$1:$F$46,MATCH('Data 1'!G$1,'Data 2'!$A$1:$F$1,0),0)</f>
        <v>Product40</v>
      </c>
      <c r="H113" s="42" t="str">
        <f>VLOOKUP('Data 1'!$B113,'Data 2'!$A$1:$F$46,MATCH('Data 1'!H$1,'Data 2'!$A$1:$F$1,0),0)</f>
        <v>Category05</v>
      </c>
      <c r="I113" s="42" t="str">
        <f>VLOOKUP('Data 1'!$B113,'Data 2'!$A$1:$F$46,MATCH('Data 1'!I$1,'Data 2'!$A$1:$F$1,0),0)</f>
        <v>Kg</v>
      </c>
      <c r="J113" s="42">
        <f>VLOOKUP('Data 1'!$B113,'Data 2'!$A$1:$F$46,MATCH('Data 1'!J$1,'Data 2'!$A$1:$F$1,0),0)</f>
        <v>90</v>
      </c>
      <c r="K113" s="42">
        <f>VLOOKUP('Data 1'!$B113,'Data 2'!$A$1:$F$46,MATCH('Data 1'!K$1,'Data 2'!$A$1:$F$1,0),0)</f>
        <v>115.2</v>
      </c>
      <c r="L113" s="40">
        <f>SUM('Data 1'!$J113*'Data 1'!$C113)</f>
        <v>990</v>
      </c>
      <c r="M113" s="40">
        <f>'Data 1'!$C113*'Data 1'!$K113</f>
        <v>1267.2</v>
      </c>
      <c r="N113" s="40">
        <f>'Data 1'!$M113-'Data 1'!$L113</f>
        <v>277.20000000000005</v>
      </c>
      <c r="O113" s="37">
        <f>DAY('Data 1'!$A113)</f>
        <v>23</v>
      </c>
      <c r="P113" s="37" t="str">
        <f>TEXT('Data 1'!$A113,"mmm")</f>
        <v>May</v>
      </c>
      <c r="Q113" s="41">
        <f>YEAR('Data 1'!$A113)</f>
        <v>2021</v>
      </c>
    </row>
    <row r="114" spans="1:17" x14ac:dyDescent="0.3">
      <c r="A114" s="35">
        <v>44346</v>
      </c>
      <c r="B114" s="36" t="s">
        <v>31</v>
      </c>
      <c r="C114" s="37">
        <v>13</v>
      </c>
      <c r="D114" s="37" t="s">
        <v>17</v>
      </c>
      <c r="E114" s="37" t="s">
        <v>17</v>
      </c>
      <c r="F114" s="38">
        <v>0</v>
      </c>
      <c r="G114" s="39" t="str">
        <f>VLOOKUP('Data 1'!$B114,'Data 2'!$A$1:$F$46,MATCH('Data 1'!G$1,'Data 2'!$A$1:$F$1,0),0)</f>
        <v>Product23</v>
      </c>
      <c r="H114" s="39" t="str">
        <f>VLOOKUP('Data 1'!$B114,'Data 2'!$A$1:$F$46,MATCH('Data 1'!H$1,'Data 2'!$A$1:$F$1,0),0)</f>
        <v>Category03</v>
      </c>
      <c r="I114" s="39" t="str">
        <f>VLOOKUP('Data 1'!$B114,'Data 2'!$A$1:$F$46,MATCH('Data 1'!I$1,'Data 2'!$A$1:$F$1,0),0)</f>
        <v>Ft</v>
      </c>
      <c r="J114" s="39">
        <f>VLOOKUP('Data 1'!$B114,'Data 2'!$A$1:$F$46,MATCH('Data 1'!J$1,'Data 2'!$A$1:$F$1,0),0)</f>
        <v>141</v>
      </c>
      <c r="K114" s="39">
        <f>VLOOKUP('Data 1'!$B114,'Data 2'!$A$1:$F$46,MATCH('Data 1'!K$1,'Data 2'!$A$1:$F$1,0),0)</f>
        <v>149.46</v>
      </c>
      <c r="L114" s="40">
        <f>SUM('Data 1'!$J114*'Data 1'!$C114)</f>
        <v>1833</v>
      </c>
      <c r="M114" s="40">
        <f>'Data 1'!$C114*'Data 1'!$K114</f>
        <v>1942.98</v>
      </c>
      <c r="N114" s="40">
        <f>'Data 1'!$M114-'Data 1'!$L114</f>
        <v>109.98000000000002</v>
      </c>
      <c r="O114" s="37">
        <f>DAY('Data 1'!$A114)</f>
        <v>30</v>
      </c>
      <c r="P114" s="37" t="str">
        <f>TEXT('Data 1'!$A114,"mmm")</f>
        <v>May</v>
      </c>
      <c r="Q114" s="41">
        <f>YEAR('Data 1'!$A114)</f>
        <v>2021</v>
      </c>
    </row>
    <row r="115" spans="1:17" x14ac:dyDescent="0.3">
      <c r="A115" s="35">
        <v>44346</v>
      </c>
      <c r="B115" s="36" t="s">
        <v>20</v>
      </c>
      <c r="C115" s="37">
        <v>6</v>
      </c>
      <c r="D115" s="37" t="s">
        <v>17</v>
      </c>
      <c r="E115" s="37" t="s">
        <v>19</v>
      </c>
      <c r="F115" s="38">
        <v>0</v>
      </c>
      <c r="G115" s="42" t="str">
        <f>VLOOKUP('Data 1'!$B115,'Data 2'!$A$1:$F$46,MATCH('Data 1'!G$1,'Data 2'!$A$1:$F$1,0),0)</f>
        <v>Product13</v>
      </c>
      <c r="H115" s="42" t="str">
        <f>VLOOKUP('Data 1'!$B115,'Data 2'!$A$1:$F$46,MATCH('Data 1'!H$1,'Data 2'!$A$1:$F$1,0),0)</f>
        <v>Category02</v>
      </c>
      <c r="I115" s="42" t="str">
        <f>VLOOKUP('Data 1'!$B115,'Data 2'!$A$1:$F$46,MATCH('Data 1'!I$1,'Data 2'!$A$1:$F$1,0),0)</f>
        <v>Kg</v>
      </c>
      <c r="J115" s="42">
        <f>VLOOKUP('Data 1'!$B115,'Data 2'!$A$1:$F$46,MATCH('Data 1'!J$1,'Data 2'!$A$1:$F$1,0),0)</f>
        <v>112</v>
      </c>
      <c r="K115" s="42">
        <f>VLOOKUP('Data 1'!$B115,'Data 2'!$A$1:$F$46,MATCH('Data 1'!K$1,'Data 2'!$A$1:$F$1,0),0)</f>
        <v>122.08</v>
      </c>
      <c r="L115" s="40">
        <f>SUM('Data 1'!$J115*'Data 1'!$C115)</f>
        <v>672</v>
      </c>
      <c r="M115" s="40">
        <f>'Data 1'!$C115*'Data 1'!$K115</f>
        <v>732.48</v>
      </c>
      <c r="N115" s="40">
        <f>'Data 1'!$M115-'Data 1'!$L115</f>
        <v>60.480000000000018</v>
      </c>
      <c r="O115" s="37">
        <f>DAY('Data 1'!$A115)</f>
        <v>30</v>
      </c>
      <c r="P115" s="37" t="str">
        <f>TEXT('Data 1'!$A115,"mmm")</f>
        <v>May</v>
      </c>
      <c r="Q115" s="41">
        <f>YEAR('Data 1'!$A115)</f>
        <v>2021</v>
      </c>
    </row>
    <row r="116" spans="1:17" x14ac:dyDescent="0.3">
      <c r="A116" s="35">
        <v>44350</v>
      </c>
      <c r="B116" s="36" t="s">
        <v>51</v>
      </c>
      <c r="C116" s="37">
        <v>10</v>
      </c>
      <c r="D116" s="37" t="s">
        <v>21</v>
      </c>
      <c r="E116" s="37" t="s">
        <v>19</v>
      </c>
      <c r="F116" s="38">
        <v>0</v>
      </c>
      <c r="G116" s="39" t="str">
        <f>VLOOKUP('Data 1'!$B116,'Data 2'!$A$1:$F$46,MATCH('Data 1'!G$1,'Data 2'!$A$1:$F$1,0),0)</f>
        <v>Product21</v>
      </c>
      <c r="H116" s="39" t="str">
        <f>VLOOKUP('Data 1'!$B116,'Data 2'!$A$1:$F$46,MATCH('Data 1'!H$1,'Data 2'!$A$1:$F$1,0),0)</f>
        <v>Category03</v>
      </c>
      <c r="I116" s="39" t="str">
        <f>VLOOKUP('Data 1'!$B116,'Data 2'!$A$1:$F$46,MATCH('Data 1'!I$1,'Data 2'!$A$1:$F$1,0),0)</f>
        <v>Ft</v>
      </c>
      <c r="J116" s="39">
        <f>VLOOKUP('Data 1'!$B116,'Data 2'!$A$1:$F$46,MATCH('Data 1'!J$1,'Data 2'!$A$1:$F$1,0),0)</f>
        <v>126</v>
      </c>
      <c r="K116" s="39">
        <f>VLOOKUP('Data 1'!$B116,'Data 2'!$A$1:$F$46,MATCH('Data 1'!K$1,'Data 2'!$A$1:$F$1,0),0)</f>
        <v>162.54</v>
      </c>
      <c r="L116" s="40">
        <f>SUM('Data 1'!$J116*'Data 1'!$C116)</f>
        <v>1260</v>
      </c>
      <c r="M116" s="40">
        <f>'Data 1'!$C116*'Data 1'!$K116</f>
        <v>1625.3999999999999</v>
      </c>
      <c r="N116" s="40">
        <f>'Data 1'!$M116-'Data 1'!$L116</f>
        <v>365.39999999999986</v>
      </c>
      <c r="O116" s="37">
        <f>DAY('Data 1'!$A116)</f>
        <v>3</v>
      </c>
      <c r="P116" s="37" t="str">
        <f>TEXT('Data 1'!$A116,"mmm")</f>
        <v>Jun</v>
      </c>
      <c r="Q116" s="41">
        <f>YEAR('Data 1'!$A116)</f>
        <v>2021</v>
      </c>
    </row>
    <row r="117" spans="1:17" x14ac:dyDescent="0.3">
      <c r="A117" s="35">
        <v>44351</v>
      </c>
      <c r="B117" s="36" t="s">
        <v>33</v>
      </c>
      <c r="C117" s="37">
        <v>8</v>
      </c>
      <c r="D117" s="37" t="s">
        <v>16</v>
      </c>
      <c r="E117" s="37" t="s">
        <v>17</v>
      </c>
      <c r="F117" s="38">
        <v>0</v>
      </c>
      <c r="G117" s="42" t="str">
        <f>VLOOKUP('Data 1'!$B117,'Data 2'!$A$1:$F$46,MATCH('Data 1'!G$1,'Data 2'!$A$1:$F$1,0),0)</f>
        <v>Product20</v>
      </c>
      <c r="H117" s="42" t="str">
        <f>VLOOKUP('Data 1'!$B117,'Data 2'!$A$1:$F$46,MATCH('Data 1'!H$1,'Data 2'!$A$1:$F$1,0),0)</f>
        <v>Category03</v>
      </c>
      <c r="I117" s="42" t="str">
        <f>VLOOKUP('Data 1'!$B117,'Data 2'!$A$1:$F$46,MATCH('Data 1'!I$1,'Data 2'!$A$1:$F$1,0),0)</f>
        <v>Lt</v>
      </c>
      <c r="J117" s="42">
        <f>VLOOKUP('Data 1'!$B117,'Data 2'!$A$1:$F$46,MATCH('Data 1'!J$1,'Data 2'!$A$1:$F$1,0),0)</f>
        <v>61</v>
      </c>
      <c r="K117" s="42">
        <f>VLOOKUP('Data 1'!$B117,'Data 2'!$A$1:$F$46,MATCH('Data 1'!K$1,'Data 2'!$A$1:$F$1,0),0)</f>
        <v>76.25</v>
      </c>
      <c r="L117" s="40">
        <f>SUM('Data 1'!$J117*'Data 1'!$C117)</f>
        <v>488</v>
      </c>
      <c r="M117" s="40">
        <f>'Data 1'!$C117*'Data 1'!$K117</f>
        <v>610</v>
      </c>
      <c r="N117" s="40">
        <f>'Data 1'!$M117-'Data 1'!$L117</f>
        <v>122</v>
      </c>
      <c r="O117" s="37">
        <f>DAY('Data 1'!$A117)</f>
        <v>4</v>
      </c>
      <c r="P117" s="37" t="str">
        <f>TEXT('Data 1'!$A117,"mmm")</f>
        <v>Jun</v>
      </c>
      <c r="Q117" s="41">
        <f>YEAR('Data 1'!$A117)</f>
        <v>2021</v>
      </c>
    </row>
    <row r="118" spans="1:17" x14ac:dyDescent="0.3">
      <c r="A118" s="35">
        <v>44351</v>
      </c>
      <c r="B118" s="36" t="s">
        <v>33</v>
      </c>
      <c r="C118" s="37">
        <v>12</v>
      </c>
      <c r="D118" s="37" t="s">
        <v>17</v>
      </c>
      <c r="E118" s="37" t="s">
        <v>19</v>
      </c>
      <c r="F118" s="38">
        <v>0</v>
      </c>
      <c r="G118" s="39" t="str">
        <f>VLOOKUP('Data 1'!$B118,'Data 2'!$A$1:$F$46,MATCH('Data 1'!G$1,'Data 2'!$A$1:$F$1,0),0)</f>
        <v>Product20</v>
      </c>
      <c r="H118" s="39" t="str">
        <f>VLOOKUP('Data 1'!$B118,'Data 2'!$A$1:$F$46,MATCH('Data 1'!H$1,'Data 2'!$A$1:$F$1,0),0)</f>
        <v>Category03</v>
      </c>
      <c r="I118" s="39" t="str">
        <f>VLOOKUP('Data 1'!$B118,'Data 2'!$A$1:$F$46,MATCH('Data 1'!I$1,'Data 2'!$A$1:$F$1,0),0)</f>
        <v>Lt</v>
      </c>
      <c r="J118" s="39">
        <f>VLOOKUP('Data 1'!$B118,'Data 2'!$A$1:$F$46,MATCH('Data 1'!J$1,'Data 2'!$A$1:$F$1,0),0)</f>
        <v>61</v>
      </c>
      <c r="K118" s="39">
        <f>VLOOKUP('Data 1'!$B118,'Data 2'!$A$1:$F$46,MATCH('Data 1'!K$1,'Data 2'!$A$1:$F$1,0),0)</f>
        <v>76.25</v>
      </c>
      <c r="L118" s="40">
        <f>SUM('Data 1'!$J118*'Data 1'!$C118)</f>
        <v>732</v>
      </c>
      <c r="M118" s="40">
        <f>'Data 1'!$C118*'Data 1'!$K118</f>
        <v>915</v>
      </c>
      <c r="N118" s="40">
        <f>'Data 1'!$M118-'Data 1'!$L118</f>
        <v>183</v>
      </c>
      <c r="O118" s="37">
        <f>DAY('Data 1'!$A118)</f>
        <v>4</v>
      </c>
      <c r="P118" s="37" t="str">
        <f>TEXT('Data 1'!$A118,"mmm")</f>
        <v>Jun</v>
      </c>
      <c r="Q118" s="41">
        <f>YEAR('Data 1'!$A118)</f>
        <v>2021</v>
      </c>
    </row>
    <row r="119" spans="1:17" x14ac:dyDescent="0.3">
      <c r="A119" s="35">
        <v>44352</v>
      </c>
      <c r="B119" s="36" t="s">
        <v>41</v>
      </c>
      <c r="C119" s="37">
        <v>15</v>
      </c>
      <c r="D119" s="37" t="s">
        <v>16</v>
      </c>
      <c r="E119" s="37" t="s">
        <v>17</v>
      </c>
      <c r="F119" s="38">
        <v>0</v>
      </c>
      <c r="G119" s="42" t="str">
        <f>VLOOKUP('Data 1'!$B119,'Data 2'!$A$1:$F$46,MATCH('Data 1'!G$1,'Data 2'!$A$1:$F$1,0),0)</f>
        <v>Product22</v>
      </c>
      <c r="H119" s="42" t="str">
        <f>VLOOKUP('Data 1'!$B119,'Data 2'!$A$1:$F$46,MATCH('Data 1'!H$1,'Data 2'!$A$1:$F$1,0),0)</f>
        <v>Category03</v>
      </c>
      <c r="I119" s="42" t="str">
        <f>VLOOKUP('Data 1'!$B119,'Data 2'!$A$1:$F$46,MATCH('Data 1'!I$1,'Data 2'!$A$1:$F$1,0),0)</f>
        <v>Ft</v>
      </c>
      <c r="J119" s="42">
        <f>VLOOKUP('Data 1'!$B119,'Data 2'!$A$1:$F$46,MATCH('Data 1'!J$1,'Data 2'!$A$1:$F$1,0),0)</f>
        <v>121</v>
      </c>
      <c r="K119" s="42">
        <f>VLOOKUP('Data 1'!$B119,'Data 2'!$A$1:$F$46,MATCH('Data 1'!K$1,'Data 2'!$A$1:$F$1,0),0)</f>
        <v>141.57</v>
      </c>
      <c r="L119" s="40">
        <f>SUM('Data 1'!$J119*'Data 1'!$C119)</f>
        <v>1815</v>
      </c>
      <c r="M119" s="40">
        <f>'Data 1'!$C119*'Data 1'!$K119</f>
        <v>2123.5499999999997</v>
      </c>
      <c r="N119" s="40">
        <f>'Data 1'!$M119-'Data 1'!$L119</f>
        <v>308.54999999999973</v>
      </c>
      <c r="O119" s="37">
        <f>DAY('Data 1'!$A119)</f>
        <v>5</v>
      </c>
      <c r="P119" s="37" t="str">
        <f>TEXT('Data 1'!$A119,"mmm")</f>
        <v>Jun</v>
      </c>
      <c r="Q119" s="41">
        <f>YEAR('Data 1'!$A119)</f>
        <v>2021</v>
      </c>
    </row>
    <row r="120" spans="1:17" x14ac:dyDescent="0.3">
      <c r="A120" s="35">
        <v>44352</v>
      </c>
      <c r="B120" s="36" t="s">
        <v>23</v>
      </c>
      <c r="C120" s="37">
        <v>10</v>
      </c>
      <c r="D120" s="37" t="s">
        <v>21</v>
      </c>
      <c r="E120" s="37" t="s">
        <v>17</v>
      </c>
      <c r="F120" s="38">
        <v>0</v>
      </c>
      <c r="G120" s="39" t="str">
        <f>VLOOKUP('Data 1'!$B120,'Data 2'!$A$1:$F$46,MATCH('Data 1'!G$1,'Data 2'!$A$1:$F$1,0),0)</f>
        <v>Product35</v>
      </c>
      <c r="H120" s="39" t="str">
        <f>VLOOKUP('Data 1'!$B120,'Data 2'!$A$1:$F$46,MATCH('Data 1'!H$1,'Data 2'!$A$1:$F$1,0),0)</f>
        <v>Category04</v>
      </c>
      <c r="I120" s="39" t="str">
        <f>VLOOKUP('Data 1'!$B120,'Data 2'!$A$1:$F$46,MATCH('Data 1'!I$1,'Data 2'!$A$1:$F$1,0),0)</f>
        <v>No.</v>
      </c>
      <c r="J120" s="39">
        <f>VLOOKUP('Data 1'!$B120,'Data 2'!$A$1:$F$46,MATCH('Data 1'!J$1,'Data 2'!$A$1:$F$1,0),0)</f>
        <v>5</v>
      </c>
      <c r="K120" s="39">
        <f>VLOOKUP('Data 1'!$B120,'Data 2'!$A$1:$F$46,MATCH('Data 1'!K$1,'Data 2'!$A$1:$F$1,0),0)</f>
        <v>6.7</v>
      </c>
      <c r="L120" s="40">
        <f>SUM('Data 1'!$J120*'Data 1'!$C120)</f>
        <v>50</v>
      </c>
      <c r="M120" s="40">
        <f>'Data 1'!$C120*'Data 1'!$K120</f>
        <v>67</v>
      </c>
      <c r="N120" s="40">
        <f>'Data 1'!$M120-'Data 1'!$L120</f>
        <v>17</v>
      </c>
      <c r="O120" s="37">
        <f>DAY('Data 1'!$A120)</f>
        <v>5</v>
      </c>
      <c r="P120" s="37" t="str">
        <f>TEXT('Data 1'!$A120,"mmm")</f>
        <v>Jun</v>
      </c>
      <c r="Q120" s="41">
        <f>YEAR('Data 1'!$A120)</f>
        <v>2021</v>
      </c>
    </row>
    <row r="121" spans="1:17" x14ac:dyDescent="0.3">
      <c r="A121" s="35">
        <v>44353</v>
      </c>
      <c r="B121" s="36" t="s">
        <v>57</v>
      </c>
      <c r="C121" s="37">
        <v>6</v>
      </c>
      <c r="D121" s="37" t="s">
        <v>21</v>
      </c>
      <c r="E121" s="37" t="s">
        <v>17</v>
      </c>
      <c r="F121" s="38">
        <v>0</v>
      </c>
      <c r="G121" s="42" t="str">
        <f>VLOOKUP('Data 1'!$B121,'Data 2'!$A$1:$F$46,MATCH('Data 1'!G$1,'Data 2'!$A$1:$F$1,0),0)</f>
        <v>Product33</v>
      </c>
      <c r="H121" s="42" t="str">
        <f>VLOOKUP('Data 1'!$B121,'Data 2'!$A$1:$F$46,MATCH('Data 1'!H$1,'Data 2'!$A$1:$F$1,0),0)</f>
        <v>Category04</v>
      </c>
      <c r="I121" s="42" t="str">
        <f>VLOOKUP('Data 1'!$B121,'Data 2'!$A$1:$F$46,MATCH('Data 1'!I$1,'Data 2'!$A$1:$F$1,0),0)</f>
        <v>Kg</v>
      </c>
      <c r="J121" s="42">
        <f>VLOOKUP('Data 1'!$B121,'Data 2'!$A$1:$F$46,MATCH('Data 1'!J$1,'Data 2'!$A$1:$F$1,0),0)</f>
        <v>95</v>
      </c>
      <c r="K121" s="42">
        <f>VLOOKUP('Data 1'!$B121,'Data 2'!$A$1:$F$46,MATCH('Data 1'!K$1,'Data 2'!$A$1:$F$1,0),0)</f>
        <v>119.7</v>
      </c>
      <c r="L121" s="40">
        <f>SUM('Data 1'!$J121*'Data 1'!$C121)</f>
        <v>570</v>
      </c>
      <c r="M121" s="40">
        <f>'Data 1'!$C121*'Data 1'!$K121</f>
        <v>718.2</v>
      </c>
      <c r="N121" s="40">
        <f>'Data 1'!$M121-'Data 1'!$L121</f>
        <v>148.20000000000005</v>
      </c>
      <c r="O121" s="37">
        <f>DAY('Data 1'!$A121)</f>
        <v>6</v>
      </c>
      <c r="P121" s="37" t="str">
        <f>TEXT('Data 1'!$A121,"mmm")</f>
        <v>Jun</v>
      </c>
      <c r="Q121" s="41">
        <f>YEAR('Data 1'!$A121)</f>
        <v>2021</v>
      </c>
    </row>
    <row r="122" spans="1:17" x14ac:dyDescent="0.3">
      <c r="A122" s="35">
        <v>44355</v>
      </c>
      <c r="B122" s="36" t="s">
        <v>52</v>
      </c>
      <c r="C122" s="37">
        <v>11</v>
      </c>
      <c r="D122" s="37" t="s">
        <v>21</v>
      </c>
      <c r="E122" s="37" t="s">
        <v>17</v>
      </c>
      <c r="F122" s="38">
        <v>0</v>
      </c>
      <c r="G122" s="39" t="str">
        <f>VLOOKUP('Data 1'!$B122,'Data 2'!$A$1:$F$46,MATCH('Data 1'!G$1,'Data 2'!$A$1:$F$1,0),0)</f>
        <v>Product28</v>
      </c>
      <c r="H122" s="39" t="str">
        <f>VLOOKUP('Data 1'!$B122,'Data 2'!$A$1:$F$46,MATCH('Data 1'!H$1,'Data 2'!$A$1:$F$1,0),0)</f>
        <v>Category04</v>
      </c>
      <c r="I122" s="39" t="str">
        <f>VLOOKUP('Data 1'!$B122,'Data 2'!$A$1:$F$46,MATCH('Data 1'!I$1,'Data 2'!$A$1:$F$1,0),0)</f>
        <v>No.</v>
      </c>
      <c r="J122" s="39">
        <f>VLOOKUP('Data 1'!$B122,'Data 2'!$A$1:$F$46,MATCH('Data 1'!J$1,'Data 2'!$A$1:$F$1,0),0)</f>
        <v>37</v>
      </c>
      <c r="K122" s="39">
        <f>VLOOKUP('Data 1'!$B122,'Data 2'!$A$1:$F$46,MATCH('Data 1'!K$1,'Data 2'!$A$1:$F$1,0),0)</f>
        <v>41.81</v>
      </c>
      <c r="L122" s="40">
        <f>SUM('Data 1'!$J122*'Data 1'!$C122)</f>
        <v>407</v>
      </c>
      <c r="M122" s="40">
        <f>'Data 1'!$C122*'Data 1'!$K122</f>
        <v>459.91</v>
      </c>
      <c r="N122" s="40">
        <f>'Data 1'!$M122-'Data 1'!$L122</f>
        <v>52.910000000000025</v>
      </c>
      <c r="O122" s="37">
        <f>DAY('Data 1'!$A122)</f>
        <v>8</v>
      </c>
      <c r="P122" s="37" t="str">
        <f>TEXT('Data 1'!$A122,"mmm")</f>
        <v>Jun</v>
      </c>
      <c r="Q122" s="41">
        <f>YEAR('Data 1'!$A122)</f>
        <v>2021</v>
      </c>
    </row>
    <row r="123" spans="1:17" x14ac:dyDescent="0.3">
      <c r="A123" s="35">
        <v>44355</v>
      </c>
      <c r="B123" s="36" t="s">
        <v>22</v>
      </c>
      <c r="C123" s="37">
        <v>11</v>
      </c>
      <c r="D123" s="37" t="s">
        <v>16</v>
      </c>
      <c r="E123" s="37" t="s">
        <v>19</v>
      </c>
      <c r="F123" s="38">
        <v>0</v>
      </c>
      <c r="G123" s="42" t="str">
        <f>VLOOKUP('Data 1'!$B123,'Data 2'!$A$1:$F$46,MATCH('Data 1'!G$1,'Data 2'!$A$1:$F$1,0),0)</f>
        <v>Product04</v>
      </c>
      <c r="H123" s="42" t="str">
        <f>VLOOKUP('Data 1'!$B123,'Data 2'!$A$1:$F$46,MATCH('Data 1'!H$1,'Data 2'!$A$1:$F$1,0),0)</f>
        <v>Category01</v>
      </c>
      <c r="I123" s="42" t="str">
        <f>VLOOKUP('Data 1'!$B123,'Data 2'!$A$1:$F$46,MATCH('Data 1'!I$1,'Data 2'!$A$1:$F$1,0),0)</f>
        <v>Lt</v>
      </c>
      <c r="J123" s="42">
        <f>VLOOKUP('Data 1'!$B123,'Data 2'!$A$1:$F$46,MATCH('Data 1'!J$1,'Data 2'!$A$1:$F$1,0),0)</f>
        <v>44</v>
      </c>
      <c r="K123" s="42">
        <f>VLOOKUP('Data 1'!$B123,'Data 2'!$A$1:$F$46,MATCH('Data 1'!K$1,'Data 2'!$A$1:$F$1,0),0)</f>
        <v>48.84</v>
      </c>
      <c r="L123" s="40">
        <f>SUM('Data 1'!$J123*'Data 1'!$C123)</f>
        <v>484</v>
      </c>
      <c r="M123" s="40">
        <f>'Data 1'!$C123*'Data 1'!$K123</f>
        <v>537.24</v>
      </c>
      <c r="N123" s="40">
        <f>'Data 1'!$M123-'Data 1'!$L123</f>
        <v>53.240000000000009</v>
      </c>
      <c r="O123" s="37">
        <f>DAY('Data 1'!$A123)</f>
        <v>8</v>
      </c>
      <c r="P123" s="37" t="str">
        <f>TEXT('Data 1'!$A123,"mmm")</f>
        <v>Jun</v>
      </c>
      <c r="Q123" s="41">
        <f>YEAR('Data 1'!$A123)</f>
        <v>2021</v>
      </c>
    </row>
    <row r="124" spans="1:17" x14ac:dyDescent="0.3">
      <c r="A124" s="35">
        <v>44356</v>
      </c>
      <c r="B124" s="36" t="s">
        <v>35</v>
      </c>
      <c r="C124" s="37">
        <v>7</v>
      </c>
      <c r="D124" s="37" t="s">
        <v>21</v>
      </c>
      <c r="E124" s="37" t="s">
        <v>17</v>
      </c>
      <c r="F124" s="38">
        <v>0</v>
      </c>
      <c r="G124" s="39" t="str">
        <f>VLOOKUP('Data 1'!$B124,'Data 2'!$A$1:$F$46,MATCH('Data 1'!G$1,'Data 2'!$A$1:$F$1,0),0)</f>
        <v>Product01</v>
      </c>
      <c r="H124" s="39" t="str">
        <f>VLOOKUP('Data 1'!$B124,'Data 2'!$A$1:$F$46,MATCH('Data 1'!H$1,'Data 2'!$A$1:$F$1,0),0)</f>
        <v>Category01</v>
      </c>
      <c r="I124" s="39" t="str">
        <f>VLOOKUP('Data 1'!$B124,'Data 2'!$A$1:$F$46,MATCH('Data 1'!I$1,'Data 2'!$A$1:$F$1,0),0)</f>
        <v>Kg</v>
      </c>
      <c r="J124" s="39">
        <f>VLOOKUP('Data 1'!$B124,'Data 2'!$A$1:$F$46,MATCH('Data 1'!J$1,'Data 2'!$A$1:$F$1,0),0)</f>
        <v>98</v>
      </c>
      <c r="K124" s="39">
        <f>VLOOKUP('Data 1'!$B124,'Data 2'!$A$1:$F$46,MATCH('Data 1'!K$1,'Data 2'!$A$1:$F$1,0),0)</f>
        <v>103.88</v>
      </c>
      <c r="L124" s="40">
        <f>SUM('Data 1'!$J124*'Data 1'!$C124)</f>
        <v>686</v>
      </c>
      <c r="M124" s="40">
        <f>'Data 1'!$C124*'Data 1'!$K124</f>
        <v>727.16</v>
      </c>
      <c r="N124" s="40">
        <f>'Data 1'!$M124-'Data 1'!$L124</f>
        <v>41.159999999999968</v>
      </c>
      <c r="O124" s="37">
        <f>DAY('Data 1'!$A124)</f>
        <v>9</v>
      </c>
      <c r="P124" s="37" t="str">
        <f>TEXT('Data 1'!$A124,"mmm")</f>
        <v>Jun</v>
      </c>
      <c r="Q124" s="41">
        <f>YEAR('Data 1'!$A124)</f>
        <v>2021</v>
      </c>
    </row>
    <row r="125" spans="1:17" x14ac:dyDescent="0.3">
      <c r="A125" s="35">
        <v>44358</v>
      </c>
      <c r="B125" s="36" t="s">
        <v>37</v>
      </c>
      <c r="C125" s="37">
        <v>12</v>
      </c>
      <c r="D125" s="37" t="s">
        <v>16</v>
      </c>
      <c r="E125" s="37" t="s">
        <v>19</v>
      </c>
      <c r="F125" s="38">
        <v>0</v>
      </c>
      <c r="G125" s="42" t="str">
        <f>VLOOKUP('Data 1'!$B125,'Data 2'!$A$1:$F$46,MATCH('Data 1'!G$1,'Data 2'!$A$1:$F$1,0),0)</f>
        <v>Product32</v>
      </c>
      <c r="H125" s="42" t="str">
        <f>VLOOKUP('Data 1'!$B125,'Data 2'!$A$1:$F$46,MATCH('Data 1'!H$1,'Data 2'!$A$1:$F$1,0),0)</f>
        <v>Category04</v>
      </c>
      <c r="I125" s="42" t="str">
        <f>VLOOKUP('Data 1'!$B125,'Data 2'!$A$1:$F$46,MATCH('Data 1'!I$1,'Data 2'!$A$1:$F$1,0),0)</f>
        <v>Kg</v>
      </c>
      <c r="J125" s="42">
        <f>VLOOKUP('Data 1'!$B125,'Data 2'!$A$1:$F$46,MATCH('Data 1'!J$1,'Data 2'!$A$1:$F$1,0),0)</f>
        <v>89</v>
      </c>
      <c r="K125" s="42">
        <f>VLOOKUP('Data 1'!$B125,'Data 2'!$A$1:$F$46,MATCH('Data 1'!K$1,'Data 2'!$A$1:$F$1,0),0)</f>
        <v>117.48</v>
      </c>
      <c r="L125" s="40">
        <f>SUM('Data 1'!$J125*'Data 1'!$C125)</f>
        <v>1068</v>
      </c>
      <c r="M125" s="40">
        <f>'Data 1'!$C125*'Data 1'!$K125</f>
        <v>1409.76</v>
      </c>
      <c r="N125" s="40">
        <f>'Data 1'!$M125-'Data 1'!$L125</f>
        <v>341.76</v>
      </c>
      <c r="O125" s="37">
        <f>DAY('Data 1'!$A125)</f>
        <v>11</v>
      </c>
      <c r="P125" s="37" t="str">
        <f>TEXT('Data 1'!$A125,"mmm")</f>
        <v>Jun</v>
      </c>
      <c r="Q125" s="41">
        <f>YEAR('Data 1'!$A125)</f>
        <v>2021</v>
      </c>
    </row>
    <row r="126" spans="1:17" x14ac:dyDescent="0.3">
      <c r="A126" s="35">
        <v>44359</v>
      </c>
      <c r="B126" s="36" t="s">
        <v>60</v>
      </c>
      <c r="C126" s="37">
        <v>6</v>
      </c>
      <c r="D126" s="37" t="s">
        <v>21</v>
      </c>
      <c r="E126" s="37" t="s">
        <v>17</v>
      </c>
      <c r="F126" s="38">
        <v>0</v>
      </c>
      <c r="G126" s="39" t="str">
        <f>VLOOKUP('Data 1'!$B126,'Data 2'!$A$1:$F$46,MATCH('Data 1'!G$1,'Data 2'!$A$1:$F$1,0),0)</f>
        <v>Product41</v>
      </c>
      <c r="H126" s="39" t="str">
        <f>VLOOKUP('Data 1'!$B126,'Data 2'!$A$1:$F$46,MATCH('Data 1'!H$1,'Data 2'!$A$1:$F$1,0),0)</f>
        <v>Category05</v>
      </c>
      <c r="I126" s="39" t="str">
        <f>VLOOKUP('Data 1'!$B126,'Data 2'!$A$1:$F$46,MATCH('Data 1'!I$1,'Data 2'!$A$1:$F$1,0),0)</f>
        <v>Ft</v>
      </c>
      <c r="J126" s="39">
        <f>VLOOKUP('Data 1'!$B126,'Data 2'!$A$1:$F$46,MATCH('Data 1'!J$1,'Data 2'!$A$1:$F$1,0),0)</f>
        <v>138</v>
      </c>
      <c r="K126" s="39">
        <f>VLOOKUP('Data 1'!$B126,'Data 2'!$A$1:$F$46,MATCH('Data 1'!K$1,'Data 2'!$A$1:$F$1,0),0)</f>
        <v>173.88</v>
      </c>
      <c r="L126" s="40">
        <f>SUM('Data 1'!$J126*'Data 1'!$C126)</f>
        <v>828</v>
      </c>
      <c r="M126" s="40">
        <f>'Data 1'!$C126*'Data 1'!$K126</f>
        <v>1043.28</v>
      </c>
      <c r="N126" s="40">
        <f>'Data 1'!$M126-'Data 1'!$L126</f>
        <v>215.27999999999997</v>
      </c>
      <c r="O126" s="37">
        <f>DAY('Data 1'!$A126)</f>
        <v>12</v>
      </c>
      <c r="P126" s="37" t="str">
        <f>TEXT('Data 1'!$A126,"mmm")</f>
        <v>Jun</v>
      </c>
      <c r="Q126" s="41">
        <f>YEAR('Data 1'!$A126)</f>
        <v>2021</v>
      </c>
    </row>
    <row r="127" spans="1:17" x14ac:dyDescent="0.3">
      <c r="A127" s="35">
        <v>44361</v>
      </c>
      <c r="B127" s="36" t="s">
        <v>26</v>
      </c>
      <c r="C127" s="37">
        <v>10</v>
      </c>
      <c r="D127" s="37" t="s">
        <v>17</v>
      </c>
      <c r="E127" s="37" t="s">
        <v>19</v>
      </c>
      <c r="F127" s="38">
        <v>0</v>
      </c>
      <c r="G127" s="42" t="str">
        <f>VLOOKUP('Data 1'!$B127,'Data 2'!$A$1:$F$46,MATCH('Data 1'!G$1,'Data 2'!$A$1:$F$1,0),0)</f>
        <v>Product25</v>
      </c>
      <c r="H127" s="42" t="str">
        <f>VLOOKUP('Data 1'!$B127,'Data 2'!$A$1:$F$46,MATCH('Data 1'!H$1,'Data 2'!$A$1:$F$1,0),0)</f>
        <v>Category03</v>
      </c>
      <c r="I127" s="42" t="str">
        <f>VLOOKUP('Data 1'!$B127,'Data 2'!$A$1:$F$46,MATCH('Data 1'!I$1,'Data 2'!$A$1:$F$1,0),0)</f>
        <v>No.</v>
      </c>
      <c r="J127" s="42">
        <f>VLOOKUP('Data 1'!$B127,'Data 2'!$A$1:$F$46,MATCH('Data 1'!J$1,'Data 2'!$A$1:$F$1,0),0)</f>
        <v>7</v>
      </c>
      <c r="K127" s="42">
        <f>VLOOKUP('Data 1'!$B127,'Data 2'!$A$1:$F$46,MATCH('Data 1'!K$1,'Data 2'!$A$1:$F$1,0),0)</f>
        <v>8.33</v>
      </c>
      <c r="L127" s="40">
        <f>SUM('Data 1'!$J127*'Data 1'!$C127)</f>
        <v>70</v>
      </c>
      <c r="M127" s="40">
        <f>'Data 1'!$C127*'Data 1'!$K127</f>
        <v>83.3</v>
      </c>
      <c r="N127" s="40">
        <f>'Data 1'!$M127-'Data 1'!$L127</f>
        <v>13.299999999999997</v>
      </c>
      <c r="O127" s="37">
        <f>DAY('Data 1'!$A127)</f>
        <v>14</v>
      </c>
      <c r="P127" s="37" t="str">
        <f>TEXT('Data 1'!$A127,"mmm")</f>
        <v>Jun</v>
      </c>
      <c r="Q127" s="41">
        <f>YEAR('Data 1'!$A127)</f>
        <v>2021</v>
      </c>
    </row>
    <row r="128" spans="1:17" x14ac:dyDescent="0.3">
      <c r="A128" s="35">
        <v>44363</v>
      </c>
      <c r="B128" s="36" t="s">
        <v>59</v>
      </c>
      <c r="C128" s="37">
        <v>5</v>
      </c>
      <c r="D128" s="37" t="s">
        <v>16</v>
      </c>
      <c r="E128" s="37" t="s">
        <v>19</v>
      </c>
      <c r="F128" s="38">
        <v>0</v>
      </c>
      <c r="G128" s="39" t="str">
        <f>VLOOKUP('Data 1'!$B128,'Data 2'!$A$1:$F$46,MATCH('Data 1'!G$1,'Data 2'!$A$1:$F$1,0),0)</f>
        <v>Product19</v>
      </c>
      <c r="H128" s="39" t="str">
        <f>VLOOKUP('Data 1'!$B128,'Data 2'!$A$1:$F$46,MATCH('Data 1'!H$1,'Data 2'!$A$1:$F$1,0),0)</f>
        <v>Category02</v>
      </c>
      <c r="I128" s="39" t="str">
        <f>VLOOKUP('Data 1'!$B128,'Data 2'!$A$1:$F$46,MATCH('Data 1'!I$1,'Data 2'!$A$1:$F$1,0),0)</f>
        <v>Ft</v>
      </c>
      <c r="J128" s="39">
        <f>VLOOKUP('Data 1'!$B128,'Data 2'!$A$1:$F$46,MATCH('Data 1'!J$1,'Data 2'!$A$1:$F$1,0),0)</f>
        <v>150</v>
      </c>
      <c r="K128" s="39">
        <f>VLOOKUP('Data 1'!$B128,'Data 2'!$A$1:$F$46,MATCH('Data 1'!K$1,'Data 2'!$A$1:$F$1,0),0)</f>
        <v>210</v>
      </c>
      <c r="L128" s="40">
        <f>SUM('Data 1'!$J128*'Data 1'!$C128)</f>
        <v>750</v>
      </c>
      <c r="M128" s="40">
        <f>'Data 1'!$C128*'Data 1'!$K128</f>
        <v>1050</v>
      </c>
      <c r="N128" s="40">
        <f>'Data 1'!$M128-'Data 1'!$L128</f>
        <v>300</v>
      </c>
      <c r="O128" s="37">
        <f>DAY('Data 1'!$A128)</f>
        <v>16</v>
      </c>
      <c r="P128" s="37" t="str">
        <f>TEXT('Data 1'!$A128,"mmm")</f>
        <v>Jun</v>
      </c>
      <c r="Q128" s="41">
        <f>YEAR('Data 1'!$A128)</f>
        <v>2021</v>
      </c>
    </row>
    <row r="129" spans="1:17" x14ac:dyDescent="0.3">
      <c r="A129" s="35">
        <v>44363</v>
      </c>
      <c r="B129" s="36" t="s">
        <v>46</v>
      </c>
      <c r="C129" s="37">
        <v>12</v>
      </c>
      <c r="D129" s="37" t="s">
        <v>17</v>
      </c>
      <c r="E129" s="37" t="s">
        <v>19</v>
      </c>
      <c r="F129" s="38">
        <v>0</v>
      </c>
      <c r="G129" s="42" t="str">
        <f>VLOOKUP('Data 1'!$B129,'Data 2'!$A$1:$F$46,MATCH('Data 1'!G$1,'Data 2'!$A$1:$F$1,0),0)</f>
        <v>Product15</v>
      </c>
      <c r="H129" s="42" t="str">
        <f>VLOOKUP('Data 1'!$B129,'Data 2'!$A$1:$F$46,MATCH('Data 1'!H$1,'Data 2'!$A$1:$F$1,0),0)</f>
        <v>Category02</v>
      </c>
      <c r="I129" s="42" t="str">
        <f>VLOOKUP('Data 1'!$B129,'Data 2'!$A$1:$F$46,MATCH('Data 1'!I$1,'Data 2'!$A$1:$F$1,0),0)</f>
        <v>No.</v>
      </c>
      <c r="J129" s="42">
        <f>VLOOKUP('Data 1'!$B129,'Data 2'!$A$1:$F$46,MATCH('Data 1'!J$1,'Data 2'!$A$1:$F$1,0),0)</f>
        <v>12</v>
      </c>
      <c r="K129" s="42">
        <f>VLOOKUP('Data 1'!$B129,'Data 2'!$A$1:$F$46,MATCH('Data 1'!K$1,'Data 2'!$A$1:$F$1,0),0)</f>
        <v>15.719999999999999</v>
      </c>
      <c r="L129" s="40">
        <f>SUM('Data 1'!$J129*'Data 1'!$C129)</f>
        <v>144</v>
      </c>
      <c r="M129" s="40">
        <f>'Data 1'!$C129*'Data 1'!$K129</f>
        <v>188.64</v>
      </c>
      <c r="N129" s="40">
        <f>'Data 1'!$M129-'Data 1'!$L129</f>
        <v>44.639999999999986</v>
      </c>
      <c r="O129" s="37">
        <f>DAY('Data 1'!$A129)</f>
        <v>16</v>
      </c>
      <c r="P129" s="37" t="str">
        <f>TEXT('Data 1'!$A129,"mmm")</f>
        <v>Jun</v>
      </c>
      <c r="Q129" s="41">
        <f>YEAR('Data 1'!$A129)</f>
        <v>2021</v>
      </c>
    </row>
    <row r="130" spans="1:17" x14ac:dyDescent="0.3">
      <c r="A130" s="35">
        <v>44363</v>
      </c>
      <c r="B130" s="36" t="s">
        <v>53</v>
      </c>
      <c r="C130" s="37">
        <v>11</v>
      </c>
      <c r="D130" s="37" t="s">
        <v>21</v>
      </c>
      <c r="E130" s="37" t="s">
        <v>19</v>
      </c>
      <c r="F130" s="38">
        <v>0</v>
      </c>
      <c r="G130" s="39" t="str">
        <f>VLOOKUP('Data 1'!$B130,'Data 2'!$A$1:$F$46,MATCH('Data 1'!G$1,'Data 2'!$A$1:$F$1,0),0)</f>
        <v>Product39</v>
      </c>
      <c r="H130" s="39" t="str">
        <f>VLOOKUP('Data 1'!$B130,'Data 2'!$A$1:$F$46,MATCH('Data 1'!H$1,'Data 2'!$A$1:$F$1,0),0)</f>
        <v>Category05</v>
      </c>
      <c r="I130" s="39" t="str">
        <f>VLOOKUP('Data 1'!$B130,'Data 2'!$A$1:$F$46,MATCH('Data 1'!I$1,'Data 2'!$A$1:$F$1,0),0)</f>
        <v>No.</v>
      </c>
      <c r="J130" s="39">
        <f>VLOOKUP('Data 1'!$B130,'Data 2'!$A$1:$F$46,MATCH('Data 1'!J$1,'Data 2'!$A$1:$F$1,0),0)</f>
        <v>37</v>
      </c>
      <c r="K130" s="39">
        <f>VLOOKUP('Data 1'!$B130,'Data 2'!$A$1:$F$46,MATCH('Data 1'!K$1,'Data 2'!$A$1:$F$1,0),0)</f>
        <v>42.55</v>
      </c>
      <c r="L130" s="40">
        <f>SUM('Data 1'!$J130*'Data 1'!$C130)</f>
        <v>407</v>
      </c>
      <c r="M130" s="40">
        <f>'Data 1'!$C130*'Data 1'!$K130</f>
        <v>468.04999999999995</v>
      </c>
      <c r="N130" s="40">
        <f>'Data 1'!$M130-'Data 1'!$L130</f>
        <v>61.049999999999955</v>
      </c>
      <c r="O130" s="37">
        <f>DAY('Data 1'!$A130)</f>
        <v>16</v>
      </c>
      <c r="P130" s="37" t="str">
        <f>TEXT('Data 1'!$A130,"mmm")</f>
        <v>Jun</v>
      </c>
      <c r="Q130" s="41">
        <f>YEAR('Data 1'!$A130)</f>
        <v>2021</v>
      </c>
    </row>
    <row r="131" spans="1:17" x14ac:dyDescent="0.3">
      <c r="A131" s="35">
        <v>44365</v>
      </c>
      <c r="B131" s="36" t="s">
        <v>26</v>
      </c>
      <c r="C131" s="37">
        <v>13</v>
      </c>
      <c r="D131" s="37" t="s">
        <v>21</v>
      </c>
      <c r="E131" s="37" t="s">
        <v>19</v>
      </c>
      <c r="F131" s="38">
        <v>0</v>
      </c>
      <c r="G131" s="42" t="str">
        <f>VLOOKUP('Data 1'!$B131,'Data 2'!$A$1:$F$46,MATCH('Data 1'!G$1,'Data 2'!$A$1:$F$1,0),0)</f>
        <v>Product25</v>
      </c>
      <c r="H131" s="42" t="str">
        <f>VLOOKUP('Data 1'!$B131,'Data 2'!$A$1:$F$46,MATCH('Data 1'!H$1,'Data 2'!$A$1:$F$1,0),0)</f>
        <v>Category03</v>
      </c>
      <c r="I131" s="42" t="str">
        <f>VLOOKUP('Data 1'!$B131,'Data 2'!$A$1:$F$46,MATCH('Data 1'!I$1,'Data 2'!$A$1:$F$1,0),0)</f>
        <v>No.</v>
      </c>
      <c r="J131" s="42">
        <f>VLOOKUP('Data 1'!$B131,'Data 2'!$A$1:$F$46,MATCH('Data 1'!J$1,'Data 2'!$A$1:$F$1,0),0)</f>
        <v>7</v>
      </c>
      <c r="K131" s="42">
        <f>VLOOKUP('Data 1'!$B131,'Data 2'!$A$1:$F$46,MATCH('Data 1'!K$1,'Data 2'!$A$1:$F$1,0),0)</f>
        <v>8.33</v>
      </c>
      <c r="L131" s="40">
        <f>SUM('Data 1'!$J131*'Data 1'!$C131)</f>
        <v>91</v>
      </c>
      <c r="M131" s="40">
        <f>'Data 1'!$C131*'Data 1'!$K131</f>
        <v>108.29</v>
      </c>
      <c r="N131" s="40">
        <f>'Data 1'!$M131-'Data 1'!$L131</f>
        <v>17.290000000000006</v>
      </c>
      <c r="O131" s="37">
        <f>DAY('Data 1'!$A131)</f>
        <v>18</v>
      </c>
      <c r="P131" s="37" t="str">
        <f>TEXT('Data 1'!$A131,"mmm")</f>
        <v>Jun</v>
      </c>
      <c r="Q131" s="41">
        <f>YEAR('Data 1'!$A131)</f>
        <v>2021</v>
      </c>
    </row>
    <row r="132" spans="1:17" x14ac:dyDescent="0.3">
      <c r="A132" s="35">
        <v>44366</v>
      </c>
      <c r="B132" s="36" t="s">
        <v>60</v>
      </c>
      <c r="C132" s="37">
        <v>5</v>
      </c>
      <c r="D132" s="37" t="s">
        <v>21</v>
      </c>
      <c r="E132" s="37" t="s">
        <v>17</v>
      </c>
      <c r="F132" s="38">
        <v>0</v>
      </c>
      <c r="G132" s="39" t="str">
        <f>VLOOKUP('Data 1'!$B132,'Data 2'!$A$1:$F$46,MATCH('Data 1'!G$1,'Data 2'!$A$1:$F$1,0),0)</f>
        <v>Product41</v>
      </c>
      <c r="H132" s="39" t="str">
        <f>VLOOKUP('Data 1'!$B132,'Data 2'!$A$1:$F$46,MATCH('Data 1'!H$1,'Data 2'!$A$1:$F$1,0),0)</f>
        <v>Category05</v>
      </c>
      <c r="I132" s="39" t="str">
        <f>VLOOKUP('Data 1'!$B132,'Data 2'!$A$1:$F$46,MATCH('Data 1'!I$1,'Data 2'!$A$1:$F$1,0),0)</f>
        <v>Ft</v>
      </c>
      <c r="J132" s="39">
        <f>VLOOKUP('Data 1'!$B132,'Data 2'!$A$1:$F$46,MATCH('Data 1'!J$1,'Data 2'!$A$1:$F$1,0),0)</f>
        <v>138</v>
      </c>
      <c r="K132" s="39">
        <f>VLOOKUP('Data 1'!$B132,'Data 2'!$A$1:$F$46,MATCH('Data 1'!K$1,'Data 2'!$A$1:$F$1,0),0)</f>
        <v>173.88</v>
      </c>
      <c r="L132" s="40">
        <f>SUM('Data 1'!$J132*'Data 1'!$C132)</f>
        <v>690</v>
      </c>
      <c r="M132" s="40">
        <f>'Data 1'!$C132*'Data 1'!$K132</f>
        <v>869.4</v>
      </c>
      <c r="N132" s="40">
        <f>'Data 1'!$M132-'Data 1'!$L132</f>
        <v>179.39999999999998</v>
      </c>
      <c r="O132" s="37">
        <f>DAY('Data 1'!$A132)</f>
        <v>19</v>
      </c>
      <c r="P132" s="37" t="str">
        <f>TEXT('Data 1'!$A132,"mmm")</f>
        <v>Jun</v>
      </c>
      <c r="Q132" s="41">
        <f>YEAR('Data 1'!$A132)</f>
        <v>2021</v>
      </c>
    </row>
    <row r="133" spans="1:17" x14ac:dyDescent="0.3">
      <c r="A133" s="35">
        <v>44367</v>
      </c>
      <c r="B133" s="36" t="s">
        <v>40</v>
      </c>
      <c r="C133" s="37">
        <v>1</v>
      </c>
      <c r="D133" s="37" t="s">
        <v>16</v>
      </c>
      <c r="E133" s="37" t="s">
        <v>19</v>
      </c>
      <c r="F133" s="38">
        <v>0</v>
      </c>
      <c r="G133" s="42" t="str">
        <f>VLOOKUP('Data 1'!$B133,'Data 2'!$A$1:$F$46,MATCH('Data 1'!G$1,'Data 2'!$A$1:$F$1,0),0)</f>
        <v>Product16</v>
      </c>
      <c r="H133" s="42" t="str">
        <f>VLOOKUP('Data 1'!$B133,'Data 2'!$A$1:$F$46,MATCH('Data 1'!H$1,'Data 2'!$A$1:$F$1,0),0)</f>
        <v>Category02</v>
      </c>
      <c r="I133" s="42" t="str">
        <f>VLOOKUP('Data 1'!$B133,'Data 2'!$A$1:$F$46,MATCH('Data 1'!I$1,'Data 2'!$A$1:$F$1,0),0)</f>
        <v>No.</v>
      </c>
      <c r="J133" s="42">
        <f>VLOOKUP('Data 1'!$B133,'Data 2'!$A$1:$F$46,MATCH('Data 1'!J$1,'Data 2'!$A$1:$F$1,0),0)</f>
        <v>13</v>
      </c>
      <c r="K133" s="42">
        <f>VLOOKUP('Data 1'!$B133,'Data 2'!$A$1:$F$46,MATCH('Data 1'!K$1,'Data 2'!$A$1:$F$1,0),0)</f>
        <v>16.64</v>
      </c>
      <c r="L133" s="40">
        <f>SUM('Data 1'!$J133*'Data 1'!$C133)</f>
        <v>13</v>
      </c>
      <c r="M133" s="40">
        <f>'Data 1'!$C133*'Data 1'!$K133</f>
        <v>16.64</v>
      </c>
      <c r="N133" s="40">
        <f>'Data 1'!$M133-'Data 1'!$L133</f>
        <v>3.6400000000000006</v>
      </c>
      <c r="O133" s="37">
        <f>DAY('Data 1'!$A133)</f>
        <v>20</v>
      </c>
      <c r="P133" s="37" t="str">
        <f>TEXT('Data 1'!$A133,"mmm")</f>
        <v>Jun</v>
      </c>
      <c r="Q133" s="41">
        <f>YEAR('Data 1'!$A133)</f>
        <v>2021</v>
      </c>
    </row>
    <row r="134" spans="1:17" x14ac:dyDescent="0.3">
      <c r="A134" s="35">
        <v>44370</v>
      </c>
      <c r="B134" s="36" t="s">
        <v>40</v>
      </c>
      <c r="C134" s="37">
        <v>4</v>
      </c>
      <c r="D134" s="37" t="s">
        <v>21</v>
      </c>
      <c r="E134" s="37" t="s">
        <v>17</v>
      </c>
      <c r="F134" s="38">
        <v>0</v>
      </c>
      <c r="G134" s="39" t="str">
        <f>VLOOKUP('Data 1'!$B134,'Data 2'!$A$1:$F$46,MATCH('Data 1'!G$1,'Data 2'!$A$1:$F$1,0),0)</f>
        <v>Product16</v>
      </c>
      <c r="H134" s="39" t="str">
        <f>VLOOKUP('Data 1'!$B134,'Data 2'!$A$1:$F$46,MATCH('Data 1'!H$1,'Data 2'!$A$1:$F$1,0),0)</f>
        <v>Category02</v>
      </c>
      <c r="I134" s="39" t="str">
        <f>VLOOKUP('Data 1'!$B134,'Data 2'!$A$1:$F$46,MATCH('Data 1'!I$1,'Data 2'!$A$1:$F$1,0),0)</f>
        <v>No.</v>
      </c>
      <c r="J134" s="39">
        <f>VLOOKUP('Data 1'!$B134,'Data 2'!$A$1:$F$46,MATCH('Data 1'!J$1,'Data 2'!$A$1:$F$1,0),0)</f>
        <v>13</v>
      </c>
      <c r="K134" s="39">
        <f>VLOOKUP('Data 1'!$B134,'Data 2'!$A$1:$F$46,MATCH('Data 1'!K$1,'Data 2'!$A$1:$F$1,0),0)</f>
        <v>16.64</v>
      </c>
      <c r="L134" s="40">
        <f>SUM('Data 1'!$J134*'Data 1'!$C134)</f>
        <v>52</v>
      </c>
      <c r="M134" s="40">
        <f>'Data 1'!$C134*'Data 1'!$K134</f>
        <v>66.56</v>
      </c>
      <c r="N134" s="40">
        <f>'Data 1'!$M134-'Data 1'!$L134</f>
        <v>14.560000000000002</v>
      </c>
      <c r="O134" s="37">
        <f>DAY('Data 1'!$A134)</f>
        <v>23</v>
      </c>
      <c r="P134" s="37" t="str">
        <f>TEXT('Data 1'!$A134,"mmm")</f>
        <v>Jun</v>
      </c>
      <c r="Q134" s="41">
        <f>YEAR('Data 1'!$A134)</f>
        <v>2021</v>
      </c>
    </row>
    <row r="135" spans="1:17" x14ac:dyDescent="0.3">
      <c r="A135" s="35">
        <v>44371</v>
      </c>
      <c r="B135" s="36" t="s">
        <v>50</v>
      </c>
      <c r="C135" s="37">
        <v>13</v>
      </c>
      <c r="D135" s="37" t="s">
        <v>21</v>
      </c>
      <c r="E135" s="37" t="s">
        <v>17</v>
      </c>
      <c r="F135" s="38">
        <v>0</v>
      </c>
      <c r="G135" s="42" t="str">
        <f>VLOOKUP('Data 1'!$B135,'Data 2'!$A$1:$F$46,MATCH('Data 1'!G$1,'Data 2'!$A$1:$F$1,0),0)</f>
        <v>Product11</v>
      </c>
      <c r="H135" s="42" t="str">
        <f>VLOOKUP('Data 1'!$B135,'Data 2'!$A$1:$F$46,MATCH('Data 1'!H$1,'Data 2'!$A$1:$F$1,0),0)</f>
        <v>Category02</v>
      </c>
      <c r="I135" s="42" t="str">
        <f>VLOOKUP('Data 1'!$B135,'Data 2'!$A$1:$F$46,MATCH('Data 1'!I$1,'Data 2'!$A$1:$F$1,0),0)</f>
        <v>Lt</v>
      </c>
      <c r="J135" s="42">
        <f>VLOOKUP('Data 1'!$B135,'Data 2'!$A$1:$F$46,MATCH('Data 1'!J$1,'Data 2'!$A$1:$F$1,0),0)</f>
        <v>44</v>
      </c>
      <c r="K135" s="42">
        <f>VLOOKUP('Data 1'!$B135,'Data 2'!$A$1:$F$46,MATCH('Data 1'!K$1,'Data 2'!$A$1:$F$1,0),0)</f>
        <v>48.4</v>
      </c>
      <c r="L135" s="40">
        <f>SUM('Data 1'!$J135*'Data 1'!$C135)</f>
        <v>572</v>
      </c>
      <c r="M135" s="40">
        <f>'Data 1'!$C135*'Data 1'!$K135</f>
        <v>629.19999999999993</v>
      </c>
      <c r="N135" s="40">
        <f>'Data 1'!$M135-'Data 1'!$L135</f>
        <v>57.199999999999932</v>
      </c>
      <c r="O135" s="37">
        <f>DAY('Data 1'!$A135)</f>
        <v>24</v>
      </c>
      <c r="P135" s="37" t="str">
        <f>TEXT('Data 1'!$A135,"mmm")</f>
        <v>Jun</v>
      </c>
      <c r="Q135" s="41">
        <f>YEAR('Data 1'!$A135)</f>
        <v>2021</v>
      </c>
    </row>
    <row r="136" spans="1:17" x14ac:dyDescent="0.3">
      <c r="A136" s="35">
        <v>44373</v>
      </c>
      <c r="B136" s="36" t="s">
        <v>56</v>
      </c>
      <c r="C136" s="37">
        <v>7</v>
      </c>
      <c r="D136" s="37" t="s">
        <v>17</v>
      </c>
      <c r="E136" s="37" t="s">
        <v>17</v>
      </c>
      <c r="F136" s="38">
        <v>0</v>
      </c>
      <c r="G136" s="39" t="str">
        <f>VLOOKUP('Data 1'!$B136,'Data 2'!$A$1:$F$46,MATCH('Data 1'!G$1,'Data 2'!$A$1:$F$1,0),0)</f>
        <v>Product09</v>
      </c>
      <c r="H136" s="39" t="str">
        <f>VLOOKUP('Data 1'!$B136,'Data 2'!$A$1:$F$46,MATCH('Data 1'!H$1,'Data 2'!$A$1:$F$1,0),0)</f>
        <v>Category03</v>
      </c>
      <c r="I136" s="39" t="str">
        <f>VLOOKUP('Data 1'!$B136,'Data 2'!$A$1:$F$46,MATCH('Data 1'!I$1,'Data 2'!$A$1:$F$1,0),0)</f>
        <v>No.</v>
      </c>
      <c r="J136" s="39">
        <f>VLOOKUP('Data 1'!$B136,'Data 2'!$A$1:$F$46,MATCH('Data 1'!J$1,'Data 2'!$A$1:$F$1,0),0)</f>
        <v>6</v>
      </c>
      <c r="K136" s="39">
        <f>VLOOKUP('Data 1'!$B136,'Data 2'!$A$1:$F$46,MATCH('Data 1'!K$1,'Data 2'!$A$1:$F$1,0),0)</f>
        <v>7.8599999999999994</v>
      </c>
      <c r="L136" s="40">
        <f>SUM('Data 1'!$J136*'Data 1'!$C136)</f>
        <v>42</v>
      </c>
      <c r="M136" s="40">
        <f>'Data 1'!$C136*'Data 1'!$K136</f>
        <v>55.019999999999996</v>
      </c>
      <c r="N136" s="40">
        <f>'Data 1'!$M136-'Data 1'!$L136</f>
        <v>13.019999999999996</v>
      </c>
      <c r="O136" s="37">
        <f>DAY('Data 1'!$A136)</f>
        <v>26</v>
      </c>
      <c r="P136" s="37" t="str">
        <f>TEXT('Data 1'!$A136,"mmm")</f>
        <v>Jun</v>
      </c>
      <c r="Q136" s="41">
        <f>YEAR('Data 1'!$A136)</f>
        <v>2021</v>
      </c>
    </row>
    <row r="137" spans="1:17" x14ac:dyDescent="0.3">
      <c r="A137" s="35">
        <v>44374</v>
      </c>
      <c r="B137" s="36" t="s">
        <v>43</v>
      </c>
      <c r="C137" s="37">
        <v>11</v>
      </c>
      <c r="D137" s="37" t="s">
        <v>21</v>
      </c>
      <c r="E137" s="37" t="s">
        <v>19</v>
      </c>
      <c r="F137" s="38">
        <v>0</v>
      </c>
      <c r="G137" s="42" t="str">
        <f>VLOOKUP('Data 1'!$B137,'Data 2'!$A$1:$F$46,MATCH('Data 1'!G$1,'Data 2'!$A$1:$F$1,0),0)</f>
        <v>Product05</v>
      </c>
      <c r="H137" s="42" t="str">
        <f>VLOOKUP('Data 1'!$B137,'Data 2'!$A$1:$F$46,MATCH('Data 1'!H$1,'Data 2'!$A$1:$F$1,0),0)</f>
        <v>Category01</v>
      </c>
      <c r="I137" s="42" t="str">
        <f>VLOOKUP('Data 1'!$B137,'Data 2'!$A$1:$F$46,MATCH('Data 1'!I$1,'Data 2'!$A$1:$F$1,0),0)</f>
        <v>Ft</v>
      </c>
      <c r="J137" s="42">
        <f>VLOOKUP('Data 1'!$B137,'Data 2'!$A$1:$F$46,MATCH('Data 1'!J$1,'Data 2'!$A$1:$F$1,0),0)</f>
        <v>133</v>
      </c>
      <c r="K137" s="42">
        <f>VLOOKUP('Data 1'!$B137,'Data 2'!$A$1:$F$46,MATCH('Data 1'!K$1,'Data 2'!$A$1:$F$1,0),0)</f>
        <v>155.61000000000001</v>
      </c>
      <c r="L137" s="40">
        <f>SUM('Data 1'!$J137*'Data 1'!$C137)</f>
        <v>1463</v>
      </c>
      <c r="M137" s="40">
        <f>'Data 1'!$C137*'Data 1'!$K137</f>
        <v>1711.71</v>
      </c>
      <c r="N137" s="40">
        <f>'Data 1'!$M137-'Data 1'!$L137</f>
        <v>248.71000000000004</v>
      </c>
      <c r="O137" s="37">
        <f>DAY('Data 1'!$A137)</f>
        <v>27</v>
      </c>
      <c r="P137" s="37" t="str">
        <f>TEXT('Data 1'!$A137,"mmm")</f>
        <v>Jun</v>
      </c>
      <c r="Q137" s="41">
        <f>YEAR('Data 1'!$A137)</f>
        <v>2021</v>
      </c>
    </row>
    <row r="138" spans="1:17" x14ac:dyDescent="0.3">
      <c r="A138" s="35">
        <v>44375</v>
      </c>
      <c r="B138" s="36" t="s">
        <v>51</v>
      </c>
      <c r="C138" s="37">
        <v>2</v>
      </c>
      <c r="D138" s="37" t="s">
        <v>17</v>
      </c>
      <c r="E138" s="37" t="s">
        <v>19</v>
      </c>
      <c r="F138" s="38">
        <v>0</v>
      </c>
      <c r="G138" s="39" t="str">
        <f>VLOOKUP('Data 1'!$B138,'Data 2'!$A$1:$F$46,MATCH('Data 1'!G$1,'Data 2'!$A$1:$F$1,0),0)</f>
        <v>Product21</v>
      </c>
      <c r="H138" s="39" t="str">
        <f>VLOOKUP('Data 1'!$B138,'Data 2'!$A$1:$F$46,MATCH('Data 1'!H$1,'Data 2'!$A$1:$F$1,0),0)</f>
        <v>Category03</v>
      </c>
      <c r="I138" s="39" t="str">
        <f>VLOOKUP('Data 1'!$B138,'Data 2'!$A$1:$F$46,MATCH('Data 1'!I$1,'Data 2'!$A$1:$F$1,0),0)</f>
        <v>Ft</v>
      </c>
      <c r="J138" s="39">
        <f>VLOOKUP('Data 1'!$B138,'Data 2'!$A$1:$F$46,MATCH('Data 1'!J$1,'Data 2'!$A$1:$F$1,0),0)</f>
        <v>126</v>
      </c>
      <c r="K138" s="39">
        <f>VLOOKUP('Data 1'!$B138,'Data 2'!$A$1:$F$46,MATCH('Data 1'!K$1,'Data 2'!$A$1:$F$1,0),0)</f>
        <v>162.54</v>
      </c>
      <c r="L138" s="40">
        <f>SUM('Data 1'!$J138*'Data 1'!$C138)</f>
        <v>252</v>
      </c>
      <c r="M138" s="40">
        <f>'Data 1'!$C138*'Data 1'!$K138</f>
        <v>325.08</v>
      </c>
      <c r="N138" s="40">
        <f>'Data 1'!$M138-'Data 1'!$L138</f>
        <v>73.079999999999984</v>
      </c>
      <c r="O138" s="37">
        <f>DAY('Data 1'!$A138)</f>
        <v>28</v>
      </c>
      <c r="P138" s="37" t="str">
        <f>TEXT('Data 1'!$A138,"mmm")</f>
        <v>Jun</v>
      </c>
      <c r="Q138" s="41">
        <f>YEAR('Data 1'!$A138)</f>
        <v>2021</v>
      </c>
    </row>
    <row r="139" spans="1:17" x14ac:dyDescent="0.3">
      <c r="A139" s="35">
        <v>44375</v>
      </c>
      <c r="B139" s="36" t="s">
        <v>23</v>
      </c>
      <c r="C139" s="37">
        <v>7</v>
      </c>
      <c r="D139" s="37" t="s">
        <v>17</v>
      </c>
      <c r="E139" s="37" t="s">
        <v>17</v>
      </c>
      <c r="F139" s="38">
        <v>0</v>
      </c>
      <c r="G139" s="42" t="str">
        <f>VLOOKUP('Data 1'!$B139,'Data 2'!$A$1:$F$46,MATCH('Data 1'!G$1,'Data 2'!$A$1:$F$1,0),0)</f>
        <v>Product35</v>
      </c>
      <c r="H139" s="42" t="str">
        <f>VLOOKUP('Data 1'!$B139,'Data 2'!$A$1:$F$46,MATCH('Data 1'!H$1,'Data 2'!$A$1:$F$1,0),0)</f>
        <v>Category04</v>
      </c>
      <c r="I139" s="42" t="str">
        <f>VLOOKUP('Data 1'!$B139,'Data 2'!$A$1:$F$46,MATCH('Data 1'!I$1,'Data 2'!$A$1:$F$1,0),0)</f>
        <v>No.</v>
      </c>
      <c r="J139" s="42">
        <f>VLOOKUP('Data 1'!$B139,'Data 2'!$A$1:$F$46,MATCH('Data 1'!J$1,'Data 2'!$A$1:$F$1,0),0)</f>
        <v>5</v>
      </c>
      <c r="K139" s="42">
        <f>VLOOKUP('Data 1'!$B139,'Data 2'!$A$1:$F$46,MATCH('Data 1'!K$1,'Data 2'!$A$1:$F$1,0),0)</f>
        <v>6.7</v>
      </c>
      <c r="L139" s="40">
        <f>SUM('Data 1'!$J139*'Data 1'!$C139)</f>
        <v>35</v>
      </c>
      <c r="M139" s="40">
        <f>'Data 1'!$C139*'Data 1'!$K139</f>
        <v>46.9</v>
      </c>
      <c r="N139" s="40">
        <f>'Data 1'!$M139-'Data 1'!$L139</f>
        <v>11.899999999999999</v>
      </c>
      <c r="O139" s="37">
        <f>DAY('Data 1'!$A139)</f>
        <v>28</v>
      </c>
      <c r="P139" s="37" t="str">
        <f>TEXT('Data 1'!$A139,"mmm")</f>
        <v>Jun</v>
      </c>
      <c r="Q139" s="41">
        <f>YEAR('Data 1'!$A139)</f>
        <v>2021</v>
      </c>
    </row>
    <row r="140" spans="1:17" x14ac:dyDescent="0.3">
      <c r="A140" s="35">
        <v>44376</v>
      </c>
      <c r="B140" s="36" t="s">
        <v>28</v>
      </c>
      <c r="C140" s="37">
        <v>4</v>
      </c>
      <c r="D140" s="37" t="s">
        <v>21</v>
      </c>
      <c r="E140" s="37" t="s">
        <v>17</v>
      </c>
      <c r="F140" s="38">
        <v>0</v>
      </c>
      <c r="G140" s="39" t="str">
        <f>VLOOKUP('Data 1'!$B140,'Data 2'!$A$1:$F$46,MATCH('Data 1'!G$1,'Data 2'!$A$1:$F$1,0),0)</f>
        <v>Product14</v>
      </c>
      <c r="H140" s="39" t="str">
        <f>VLOOKUP('Data 1'!$B140,'Data 2'!$A$1:$F$46,MATCH('Data 1'!H$1,'Data 2'!$A$1:$F$1,0),0)</f>
        <v>Category02</v>
      </c>
      <c r="I140" s="39" t="str">
        <f>VLOOKUP('Data 1'!$B140,'Data 2'!$A$1:$F$46,MATCH('Data 1'!I$1,'Data 2'!$A$1:$F$1,0),0)</f>
        <v>Kg</v>
      </c>
      <c r="J140" s="39">
        <f>VLOOKUP('Data 1'!$B140,'Data 2'!$A$1:$F$46,MATCH('Data 1'!J$1,'Data 2'!$A$1:$F$1,0),0)</f>
        <v>112</v>
      </c>
      <c r="K140" s="39">
        <f>VLOOKUP('Data 1'!$B140,'Data 2'!$A$1:$F$46,MATCH('Data 1'!K$1,'Data 2'!$A$1:$F$1,0),0)</f>
        <v>146.72</v>
      </c>
      <c r="L140" s="40">
        <f>SUM('Data 1'!$J140*'Data 1'!$C140)</f>
        <v>448</v>
      </c>
      <c r="M140" s="40">
        <f>'Data 1'!$C140*'Data 1'!$K140</f>
        <v>586.88</v>
      </c>
      <c r="N140" s="40">
        <f>'Data 1'!$M140-'Data 1'!$L140</f>
        <v>138.88</v>
      </c>
      <c r="O140" s="37">
        <f>DAY('Data 1'!$A140)</f>
        <v>29</v>
      </c>
      <c r="P140" s="37" t="str">
        <f>TEXT('Data 1'!$A140,"mmm")</f>
        <v>Jun</v>
      </c>
      <c r="Q140" s="41">
        <f>YEAR('Data 1'!$A140)</f>
        <v>2021</v>
      </c>
    </row>
    <row r="141" spans="1:17" x14ac:dyDescent="0.3">
      <c r="A141" s="35">
        <v>44378</v>
      </c>
      <c r="B141" s="36" t="s">
        <v>43</v>
      </c>
      <c r="C141" s="37">
        <v>11</v>
      </c>
      <c r="D141" s="37" t="s">
        <v>21</v>
      </c>
      <c r="E141" s="37" t="s">
        <v>19</v>
      </c>
      <c r="F141" s="38">
        <v>0</v>
      </c>
      <c r="G141" s="42" t="str">
        <f>VLOOKUP('Data 1'!$B141,'Data 2'!$A$1:$F$46,MATCH('Data 1'!G$1,'Data 2'!$A$1:$F$1,0),0)</f>
        <v>Product05</v>
      </c>
      <c r="H141" s="42" t="str">
        <f>VLOOKUP('Data 1'!$B141,'Data 2'!$A$1:$F$46,MATCH('Data 1'!H$1,'Data 2'!$A$1:$F$1,0),0)</f>
        <v>Category01</v>
      </c>
      <c r="I141" s="42" t="str">
        <f>VLOOKUP('Data 1'!$B141,'Data 2'!$A$1:$F$46,MATCH('Data 1'!I$1,'Data 2'!$A$1:$F$1,0),0)</f>
        <v>Ft</v>
      </c>
      <c r="J141" s="42">
        <f>VLOOKUP('Data 1'!$B141,'Data 2'!$A$1:$F$46,MATCH('Data 1'!J$1,'Data 2'!$A$1:$F$1,0),0)</f>
        <v>133</v>
      </c>
      <c r="K141" s="42">
        <f>VLOOKUP('Data 1'!$B141,'Data 2'!$A$1:$F$46,MATCH('Data 1'!K$1,'Data 2'!$A$1:$F$1,0),0)</f>
        <v>155.61000000000001</v>
      </c>
      <c r="L141" s="40">
        <f>SUM('Data 1'!$J141*'Data 1'!$C141)</f>
        <v>1463</v>
      </c>
      <c r="M141" s="40">
        <f>'Data 1'!$C141*'Data 1'!$K141</f>
        <v>1711.71</v>
      </c>
      <c r="N141" s="40">
        <f>'Data 1'!$M141-'Data 1'!$L141</f>
        <v>248.71000000000004</v>
      </c>
      <c r="O141" s="37">
        <f>DAY('Data 1'!$A141)</f>
        <v>1</v>
      </c>
      <c r="P141" s="37" t="str">
        <f>TEXT('Data 1'!$A141,"mmm")</f>
        <v>Jul</v>
      </c>
      <c r="Q141" s="41">
        <f>YEAR('Data 1'!$A141)</f>
        <v>2021</v>
      </c>
    </row>
    <row r="142" spans="1:17" x14ac:dyDescent="0.3">
      <c r="A142" s="35">
        <v>44379</v>
      </c>
      <c r="B142" s="36" t="s">
        <v>39</v>
      </c>
      <c r="C142" s="37">
        <v>11</v>
      </c>
      <c r="D142" s="37" t="s">
        <v>21</v>
      </c>
      <c r="E142" s="37" t="s">
        <v>19</v>
      </c>
      <c r="F142" s="38">
        <v>0</v>
      </c>
      <c r="G142" s="39" t="str">
        <f>VLOOKUP('Data 1'!$B142,'Data 2'!$A$1:$F$46,MATCH('Data 1'!G$1,'Data 2'!$A$1:$F$1,0),0)</f>
        <v>Product10</v>
      </c>
      <c r="H142" s="39" t="str">
        <f>VLOOKUP('Data 1'!$B142,'Data 2'!$A$1:$F$46,MATCH('Data 1'!H$1,'Data 2'!$A$1:$F$1,0),0)</f>
        <v>Category02</v>
      </c>
      <c r="I142" s="39" t="str">
        <f>VLOOKUP('Data 1'!$B142,'Data 2'!$A$1:$F$46,MATCH('Data 1'!I$1,'Data 2'!$A$1:$F$1,0),0)</f>
        <v>Ft</v>
      </c>
      <c r="J142" s="39">
        <f>VLOOKUP('Data 1'!$B142,'Data 2'!$A$1:$F$46,MATCH('Data 1'!J$1,'Data 2'!$A$1:$F$1,0),0)</f>
        <v>148</v>
      </c>
      <c r="K142" s="39">
        <f>VLOOKUP('Data 1'!$B142,'Data 2'!$A$1:$F$46,MATCH('Data 1'!K$1,'Data 2'!$A$1:$F$1,0),0)</f>
        <v>164.28</v>
      </c>
      <c r="L142" s="40">
        <f>SUM('Data 1'!$J142*'Data 1'!$C142)</f>
        <v>1628</v>
      </c>
      <c r="M142" s="40">
        <f>'Data 1'!$C142*'Data 1'!$K142</f>
        <v>1807.08</v>
      </c>
      <c r="N142" s="40">
        <f>'Data 1'!$M142-'Data 1'!$L142</f>
        <v>179.07999999999993</v>
      </c>
      <c r="O142" s="37">
        <f>DAY('Data 1'!$A142)</f>
        <v>2</v>
      </c>
      <c r="P142" s="37" t="str">
        <f>TEXT('Data 1'!$A142,"mmm")</f>
        <v>Jul</v>
      </c>
      <c r="Q142" s="41">
        <f>YEAR('Data 1'!$A142)</f>
        <v>2021</v>
      </c>
    </row>
    <row r="143" spans="1:17" x14ac:dyDescent="0.3">
      <c r="A143" s="35">
        <v>44380</v>
      </c>
      <c r="B143" s="36" t="s">
        <v>57</v>
      </c>
      <c r="C143" s="37">
        <v>9</v>
      </c>
      <c r="D143" s="37" t="s">
        <v>17</v>
      </c>
      <c r="E143" s="37" t="s">
        <v>19</v>
      </c>
      <c r="F143" s="38">
        <v>0</v>
      </c>
      <c r="G143" s="42" t="str">
        <f>VLOOKUP('Data 1'!$B143,'Data 2'!$A$1:$F$46,MATCH('Data 1'!G$1,'Data 2'!$A$1:$F$1,0),0)</f>
        <v>Product33</v>
      </c>
      <c r="H143" s="42" t="str">
        <f>VLOOKUP('Data 1'!$B143,'Data 2'!$A$1:$F$46,MATCH('Data 1'!H$1,'Data 2'!$A$1:$F$1,0),0)</f>
        <v>Category04</v>
      </c>
      <c r="I143" s="42" t="str">
        <f>VLOOKUP('Data 1'!$B143,'Data 2'!$A$1:$F$46,MATCH('Data 1'!I$1,'Data 2'!$A$1:$F$1,0),0)</f>
        <v>Kg</v>
      </c>
      <c r="J143" s="42">
        <f>VLOOKUP('Data 1'!$B143,'Data 2'!$A$1:$F$46,MATCH('Data 1'!J$1,'Data 2'!$A$1:$F$1,0),0)</f>
        <v>95</v>
      </c>
      <c r="K143" s="42">
        <f>VLOOKUP('Data 1'!$B143,'Data 2'!$A$1:$F$46,MATCH('Data 1'!K$1,'Data 2'!$A$1:$F$1,0),0)</f>
        <v>119.7</v>
      </c>
      <c r="L143" s="40">
        <f>SUM('Data 1'!$J143*'Data 1'!$C143)</f>
        <v>855</v>
      </c>
      <c r="M143" s="40">
        <f>'Data 1'!$C143*'Data 1'!$K143</f>
        <v>1077.3</v>
      </c>
      <c r="N143" s="40">
        <f>'Data 1'!$M143-'Data 1'!$L143</f>
        <v>222.29999999999995</v>
      </c>
      <c r="O143" s="37">
        <f>DAY('Data 1'!$A143)</f>
        <v>3</v>
      </c>
      <c r="P143" s="37" t="str">
        <f>TEXT('Data 1'!$A143,"mmm")</f>
        <v>Jul</v>
      </c>
      <c r="Q143" s="41">
        <f>YEAR('Data 1'!$A143)</f>
        <v>2021</v>
      </c>
    </row>
    <row r="144" spans="1:17" x14ac:dyDescent="0.3">
      <c r="A144" s="35">
        <v>44380</v>
      </c>
      <c r="B144" s="36" t="s">
        <v>25</v>
      </c>
      <c r="C144" s="37">
        <v>8</v>
      </c>
      <c r="D144" s="37" t="s">
        <v>17</v>
      </c>
      <c r="E144" s="37" t="s">
        <v>19</v>
      </c>
      <c r="F144" s="38">
        <v>0</v>
      </c>
      <c r="G144" s="39" t="str">
        <f>VLOOKUP('Data 1'!$B144,'Data 2'!$A$1:$F$46,MATCH('Data 1'!G$1,'Data 2'!$A$1:$F$1,0),0)</f>
        <v>Product03</v>
      </c>
      <c r="H144" s="39" t="str">
        <f>VLOOKUP('Data 1'!$B144,'Data 2'!$A$1:$F$46,MATCH('Data 1'!H$1,'Data 2'!$A$1:$F$1,0),0)</f>
        <v>Category01</v>
      </c>
      <c r="I144" s="39" t="str">
        <f>VLOOKUP('Data 1'!$B144,'Data 2'!$A$1:$F$46,MATCH('Data 1'!I$1,'Data 2'!$A$1:$F$1,0),0)</f>
        <v>Kg</v>
      </c>
      <c r="J144" s="39">
        <f>VLOOKUP('Data 1'!$B144,'Data 2'!$A$1:$F$46,MATCH('Data 1'!J$1,'Data 2'!$A$1:$F$1,0),0)</f>
        <v>71</v>
      </c>
      <c r="K144" s="39">
        <f>VLOOKUP('Data 1'!$B144,'Data 2'!$A$1:$F$46,MATCH('Data 1'!K$1,'Data 2'!$A$1:$F$1,0),0)</f>
        <v>80.94</v>
      </c>
      <c r="L144" s="40">
        <f>SUM('Data 1'!$J144*'Data 1'!$C144)</f>
        <v>568</v>
      </c>
      <c r="M144" s="40">
        <f>'Data 1'!$C144*'Data 1'!$K144</f>
        <v>647.52</v>
      </c>
      <c r="N144" s="40">
        <f>'Data 1'!$M144-'Data 1'!$L144</f>
        <v>79.519999999999982</v>
      </c>
      <c r="O144" s="37">
        <f>DAY('Data 1'!$A144)</f>
        <v>3</v>
      </c>
      <c r="P144" s="37" t="str">
        <f>TEXT('Data 1'!$A144,"mmm")</f>
        <v>Jul</v>
      </c>
      <c r="Q144" s="41">
        <f>YEAR('Data 1'!$A144)</f>
        <v>2021</v>
      </c>
    </row>
    <row r="145" spans="1:17" x14ac:dyDescent="0.3">
      <c r="A145" s="35">
        <v>44382</v>
      </c>
      <c r="B145" s="36" t="s">
        <v>48</v>
      </c>
      <c r="C145" s="37">
        <v>8</v>
      </c>
      <c r="D145" s="37" t="s">
        <v>21</v>
      </c>
      <c r="E145" s="37" t="s">
        <v>17</v>
      </c>
      <c r="F145" s="38">
        <v>0</v>
      </c>
      <c r="G145" s="42" t="str">
        <f>VLOOKUP('Data 1'!$B145,'Data 2'!$A$1:$F$46,MATCH('Data 1'!G$1,'Data 2'!$A$1:$F$1,0),0)</f>
        <v>Product02</v>
      </c>
      <c r="H145" s="42" t="str">
        <f>VLOOKUP('Data 1'!$B145,'Data 2'!$A$1:$F$46,MATCH('Data 1'!H$1,'Data 2'!$A$1:$F$1,0),0)</f>
        <v>Category01</v>
      </c>
      <c r="I145" s="42" t="str">
        <f>VLOOKUP('Data 1'!$B145,'Data 2'!$A$1:$F$46,MATCH('Data 1'!I$1,'Data 2'!$A$1:$F$1,0),0)</f>
        <v>Kg</v>
      </c>
      <c r="J145" s="42">
        <f>VLOOKUP('Data 1'!$B145,'Data 2'!$A$1:$F$46,MATCH('Data 1'!J$1,'Data 2'!$A$1:$F$1,0),0)</f>
        <v>105</v>
      </c>
      <c r="K145" s="42">
        <f>VLOOKUP('Data 1'!$B145,'Data 2'!$A$1:$F$46,MATCH('Data 1'!K$1,'Data 2'!$A$1:$F$1,0),0)</f>
        <v>142.80000000000001</v>
      </c>
      <c r="L145" s="40">
        <f>SUM('Data 1'!$J145*'Data 1'!$C145)</f>
        <v>840</v>
      </c>
      <c r="M145" s="40">
        <f>'Data 1'!$C145*'Data 1'!$K145</f>
        <v>1142.4000000000001</v>
      </c>
      <c r="N145" s="40">
        <f>'Data 1'!$M145-'Data 1'!$L145</f>
        <v>302.40000000000009</v>
      </c>
      <c r="O145" s="37">
        <f>DAY('Data 1'!$A145)</f>
        <v>5</v>
      </c>
      <c r="P145" s="37" t="str">
        <f>TEXT('Data 1'!$A145,"mmm")</f>
        <v>Jul</v>
      </c>
      <c r="Q145" s="41">
        <f>YEAR('Data 1'!$A145)</f>
        <v>2021</v>
      </c>
    </row>
    <row r="146" spans="1:17" x14ac:dyDescent="0.3">
      <c r="A146" s="35">
        <v>44383</v>
      </c>
      <c r="B146" s="36" t="s">
        <v>60</v>
      </c>
      <c r="C146" s="37">
        <v>15</v>
      </c>
      <c r="D146" s="37" t="s">
        <v>21</v>
      </c>
      <c r="E146" s="37" t="s">
        <v>19</v>
      </c>
      <c r="F146" s="38">
        <v>0</v>
      </c>
      <c r="G146" s="39" t="str">
        <f>VLOOKUP('Data 1'!$B146,'Data 2'!$A$1:$F$46,MATCH('Data 1'!G$1,'Data 2'!$A$1:$F$1,0),0)</f>
        <v>Product41</v>
      </c>
      <c r="H146" s="39" t="str">
        <f>VLOOKUP('Data 1'!$B146,'Data 2'!$A$1:$F$46,MATCH('Data 1'!H$1,'Data 2'!$A$1:$F$1,0),0)</f>
        <v>Category05</v>
      </c>
      <c r="I146" s="39" t="str">
        <f>VLOOKUP('Data 1'!$B146,'Data 2'!$A$1:$F$46,MATCH('Data 1'!I$1,'Data 2'!$A$1:$F$1,0),0)</f>
        <v>Ft</v>
      </c>
      <c r="J146" s="39">
        <f>VLOOKUP('Data 1'!$B146,'Data 2'!$A$1:$F$46,MATCH('Data 1'!J$1,'Data 2'!$A$1:$F$1,0),0)</f>
        <v>138</v>
      </c>
      <c r="K146" s="39">
        <f>VLOOKUP('Data 1'!$B146,'Data 2'!$A$1:$F$46,MATCH('Data 1'!K$1,'Data 2'!$A$1:$F$1,0),0)</f>
        <v>173.88</v>
      </c>
      <c r="L146" s="40">
        <f>SUM('Data 1'!$J146*'Data 1'!$C146)</f>
        <v>2070</v>
      </c>
      <c r="M146" s="40">
        <f>'Data 1'!$C146*'Data 1'!$K146</f>
        <v>2608.1999999999998</v>
      </c>
      <c r="N146" s="40">
        <f>'Data 1'!$M146-'Data 1'!$L146</f>
        <v>538.19999999999982</v>
      </c>
      <c r="O146" s="37">
        <f>DAY('Data 1'!$A146)</f>
        <v>6</v>
      </c>
      <c r="P146" s="37" t="str">
        <f>TEXT('Data 1'!$A146,"mmm")</f>
        <v>Jul</v>
      </c>
      <c r="Q146" s="41">
        <f>YEAR('Data 1'!$A146)</f>
        <v>2021</v>
      </c>
    </row>
    <row r="147" spans="1:17" x14ac:dyDescent="0.3">
      <c r="A147" s="35">
        <v>44385</v>
      </c>
      <c r="B147" s="36" t="s">
        <v>22</v>
      </c>
      <c r="C147" s="37">
        <v>10</v>
      </c>
      <c r="D147" s="37" t="s">
        <v>21</v>
      </c>
      <c r="E147" s="37" t="s">
        <v>17</v>
      </c>
      <c r="F147" s="38">
        <v>0</v>
      </c>
      <c r="G147" s="42" t="str">
        <f>VLOOKUP('Data 1'!$B147,'Data 2'!$A$1:$F$46,MATCH('Data 1'!G$1,'Data 2'!$A$1:$F$1,0),0)</f>
        <v>Product04</v>
      </c>
      <c r="H147" s="42" t="str">
        <f>VLOOKUP('Data 1'!$B147,'Data 2'!$A$1:$F$46,MATCH('Data 1'!H$1,'Data 2'!$A$1:$F$1,0),0)</f>
        <v>Category01</v>
      </c>
      <c r="I147" s="42" t="str">
        <f>VLOOKUP('Data 1'!$B147,'Data 2'!$A$1:$F$46,MATCH('Data 1'!I$1,'Data 2'!$A$1:$F$1,0),0)</f>
        <v>Lt</v>
      </c>
      <c r="J147" s="42">
        <f>VLOOKUP('Data 1'!$B147,'Data 2'!$A$1:$F$46,MATCH('Data 1'!J$1,'Data 2'!$A$1:$F$1,0),0)</f>
        <v>44</v>
      </c>
      <c r="K147" s="42">
        <f>VLOOKUP('Data 1'!$B147,'Data 2'!$A$1:$F$46,MATCH('Data 1'!K$1,'Data 2'!$A$1:$F$1,0),0)</f>
        <v>48.84</v>
      </c>
      <c r="L147" s="40">
        <f>SUM('Data 1'!$J147*'Data 1'!$C147)</f>
        <v>440</v>
      </c>
      <c r="M147" s="40">
        <f>'Data 1'!$C147*'Data 1'!$K147</f>
        <v>488.40000000000003</v>
      </c>
      <c r="N147" s="40">
        <f>'Data 1'!$M147-'Data 1'!$L147</f>
        <v>48.400000000000034</v>
      </c>
      <c r="O147" s="37">
        <f>DAY('Data 1'!$A147)</f>
        <v>8</v>
      </c>
      <c r="P147" s="37" t="str">
        <f>TEXT('Data 1'!$A147,"mmm")</f>
        <v>Jul</v>
      </c>
      <c r="Q147" s="41">
        <f>YEAR('Data 1'!$A147)</f>
        <v>2021</v>
      </c>
    </row>
    <row r="148" spans="1:17" x14ac:dyDescent="0.3">
      <c r="A148" s="35">
        <v>44387</v>
      </c>
      <c r="B148" s="36" t="s">
        <v>32</v>
      </c>
      <c r="C148" s="37">
        <v>6</v>
      </c>
      <c r="D148" s="37" t="s">
        <v>16</v>
      </c>
      <c r="E148" s="37" t="s">
        <v>19</v>
      </c>
      <c r="F148" s="38">
        <v>0</v>
      </c>
      <c r="G148" s="39" t="str">
        <f>VLOOKUP('Data 1'!$B148,'Data 2'!$A$1:$F$46,MATCH('Data 1'!G$1,'Data 2'!$A$1:$F$1,0),0)</f>
        <v>Product34</v>
      </c>
      <c r="H148" s="39" t="str">
        <f>VLOOKUP('Data 1'!$B148,'Data 2'!$A$1:$F$46,MATCH('Data 1'!H$1,'Data 2'!$A$1:$F$1,0),0)</f>
        <v>Category04</v>
      </c>
      <c r="I148" s="39" t="str">
        <f>VLOOKUP('Data 1'!$B148,'Data 2'!$A$1:$F$46,MATCH('Data 1'!I$1,'Data 2'!$A$1:$F$1,0),0)</f>
        <v>Lt</v>
      </c>
      <c r="J148" s="39">
        <f>VLOOKUP('Data 1'!$B148,'Data 2'!$A$1:$F$46,MATCH('Data 1'!J$1,'Data 2'!$A$1:$F$1,0),0)</f>
        <v>55</v>
      </c>
      <c r="K148" s="39">
        <f>VLOOKUP('Data 1'!$B148,'Data 2'!$A$1:$F$46,MATCH('Data 1'!K$1,'Data 2'!$A$1:$F$1,0),0)</f>
        <v>58.3</v>
      </c>
      <c r="L148" s="40">
        <f>SUM('Data 1'!$J148*'Data 1'!$C148)</f>
        <v>330</v>
      </c>
      <c r="M148" s="40">
        <f>'Data 1'!$C148*'Data 1'!$K148</f>
        <v>349.79999999999995</v>
      </c>
      <c r="N148" s="40">
        <f>'Data 1'!$M148-'Data 1'!$L148</f>
        <v>19.799999999999955</v>
      </c>
      <c r="O148" s="37">
        <f>DAY('Data 1'!$A148)</f>
        <v>10</v>
      </c>
      <c r="P148" s="37" t="str">
        <f>TEXT('Data 1'!$A148,"mmm")</f>
        <v>Jul</v>
      </c>
      <c r="Q148" s="41">
        <f>YEAR('Data 1'!$A148)</f>
        <v>2021</v>
      </c>
    </row>
    <row r="149" spans="1:17" x14ac:dyDescent="0.3">
      <c r="A149" s="35">
        <v>44388</v>
      </c>
      <c r="B149" s="36" t="s">
        <v>56</v>
      </c>
      <c r="C149" s="37">
        <v>4</v>
      </c>
      <c r="D149" s="37" t="s">
        <v>16</v>
      </c>
      <c r="E149" s="37" t="s">
        <v>17</v>
      </c>
      <c r="F149" s="38">
        <v>0</v>
      </c>
      <c r="G149" s="42" t="str">
        <f>VLOOKUP('Data 1'!$B149,'Data 2'!$A$1:$F$46,MATCH('Data 1'!G$1,'Data 2'!$A$1:$F$1,0),0)</f>
        <v>Product09</v>
      </c>
      <c r="H149" s="42" t="str">
        <f>VLOOKUP('Data 1'!$B149,'Data 2'!$A$1:$F$46,MATCH('Data 1'!H$1,'Data 2'!$A$1:$F$1,0),0)</f>
        <v>Category03</v>
      </c>
      <c r="I149" s="42" t="str">
        <f>VLOOKUP('Data 1'!$B149,'Data 2'!$A$1:$F$46,MATCH('Data 1'!I$1,'Data 2'!$A$1:$F$1,0),0)</f>
        <v>No.</v>
      </c>
      <c r="J149" s="42">
        <f>VLOOKUP('Data 1'!$B149,'Data 2'!$A$1:$F$46,MATCH('Data 1'!J$1,'Data 2'!$A$1:$F$1,0),0)</f>
        <v>6</v>
      </c>
      <c r="K149" s="42">
        <f>VLOOKUP('Data 1'!$B149,'Data 2'!$A$1:$F$46,MATCH('Data 1'!K$1,'Data 2'!$A$1:$F$1,0),0)</f>
        <v>7.8599999999999994</v>
      </c>
      <c r="L149" s="40">
        <f>SUM('Data 1'!$J149*'Data 1'!$C149)</f>
        <v>24</v>
      </c>
      <c r="M149" s="40">
        <f>'Data 1'!$C149*'Data 1'!$K149</f>
        <v>31.439999999999998</v>
      </c>
      <c r="N149" s="40">
        <f>'Data 1'!$M149-'Data 1'!$L149</f>
        <v>7.4399999999999977</v>
      </c>
      <c r="O149" s="37">
        <f>DAY('Data 1'!$A149)</f>
        <v>11</v>
      </c>
      <c r="P149" s="37" t="str">
        <f>TEXT('Data 1'!$A149,"mmm")</f>
        <v>Jul</v>
      </c>
      <c r="Q149" s="41">
        <f>YEAR('Data 1'!$A149)</f>
        <v>2021</v>
      </c>
    </row>
    <row r="150" spans="1:17" x14ac:dyDescent="0.3">
      <c r="A150" s="35">
        <v>44390</v>
      </c>
      <c r="B150" s="36" t="s">
        <v>59</v>
      </c>
      <c r="C150" s="37">
        <v>1</v>
      </c>
      <c r="D150" s="37" t="s">
        <v>21</v>
      </c>
      <c r="E150" s="37" t="s">
        <v>19</v>
      </c>
      <c r="F150" s="38">
        <v>0</v>
      </c>
      <c r="G150" s="39" t="str">
        <f>VLOOKUP('Data 1'!$B150,'Data 2'!$A$1:$F$46,MATCH('Data 1'!G$1,'Data 2'!$A$1:$F$1,0),0)</f>
        <v>Product19</v>
      </c>
      <c r="H150" s="39" t="str">
        <f>VLOOKUP('Data 1'!$B150,'Data 2'!$A$1:$F$46,MATCH('Data 1'!H$1,'Data 2'!$A$1:$F$1,0),0)</f>
        <v>Category02</v>
      </c>
      <c r="I150" s="39" t="str">
        <f>VLOOKUP('Data 1'!$B150,'Data 2'!$A$1:$F$46,MATCH('Data 1'!I$1,'Data 2'!$A$1:$F$1,0),0)</f>
        <v>Ft</v>
      </c>
      <c r="J150" s="39">
        <f>VLOOKUP('Data 1'!$B150,'Data 2'!$A$1:$F$46,MATCH('Data 1'!J$1,'Data 2'!$A$1:$F$1,0),0)</f>
        <v>150</v>
      </c>
      <c r="K150" s="39">
        <f>VLOOKUP('Data 1'!$B150,'Data 2'!$A$1:$F$46,MATCH('Data 1'!K$1,'Data 2'!$A$1:$F$1,0),0)</f>
        <v>210</v>
      </c>
      <c r="L150" s="40">
        <f>SUM('Data 1'!$J150*'Data 1'!$C150)</f>
        <v>150</v>
      </c>
      <c r="M150" s="40">
        <f>'Data 1'!$C150*'Data 1'!$K150</f>
        <v>210</v>
      </c>
      <c r="N150" s="40">
        <f>'Data 1'!$M150-'Data 1'!$L150</f>
        <v>60</v>
      </c>
      <c r="O150" s="37">
        <f>DAY('Data 1'!$A150)</f>
        <v>13</v>
      </c>
      <c r="P150" s="37" t="str">
        <f>TEXT('Data 1'!$A150,"mmm")</f>
        <v>Jul</v>
      </c>
      <c r="Q150" s="41">
        <f>YEAR('Data 1'!$A150)</f>
        <v>2021</v>
      </c>
    </row>
    <row r="151" spans="1:17" x14ac:dyDescent="0.3">
      <c r="A151" s="35">
        <v>44393</v>
      </c>
      <c r="B151" s="36" t="s">
        <v>31</v>
      </c>
      <c r="C151" s="37">
        <v>8</v>
      </c>
      <c r="D151" s="37" t="s">
        <v>16</v>
      </c>
      <c r="E151" s="37" t="s">
        <v>19</v>
      </c>
      <c r="F151" s="38">
        <v>0</v>
      </c>
      <c r="G151" s="42" t="str">
        <f>VLOOKUP('Data 1'!$B151,'Data 2'!$A$1:$F$46,MATCH('Data 1'!G$1,'Data 2'!$A$1:$F$1,0),0)</f>
        <v>Product23</v>
      </c>
      <c r="H151" s="42" t="str">
        <f>VLOOKUP('Data 1'!$B151,'Data 2'!$A$1:$F$46,MATCH('Data 1'!H$1,'Data 2'!$A$1:$F$1,0),0)</f>
        <v>Category03</v>
      </c>
      <c r="I151" s="42" t="str">
        <f>VLOOKUP('Data 1'!$B151,'Data 2'!$A$1:$F$46,MATCH('Data 1'!I$1,'Data 2'!$A$1:$F$1,0),0)</f>
        <v>Ft</v>
      </c>
      <c r="J151" s="42">
        <f>VLOOKUP('Data 1'!$B151,'Data 2'!$A$1:$F$46,MATCH('Data 1'!J$1,'Data 2'!$A$1:$F$1,0),0)</f>
        <v>141</v>
      </c>
      <c r="K151" s="42">
        <f>VLOOKUP('Data 1'!$B151,'Data 2'!$A$1:$F$46,MATCH('Data 1'!K$1,'Data 2'!$A$1:$F$1,0),0)</f>
        <v>149.46</v>
      </c>
      <c r="L151" s="40">
        <f>SUM('Data 1'!$J151*'Data 1'!$C151)</f>
        <v>1128</v>
      </c>
      <c r="M151" s="40">
        <f>'Data 1'!$C151*'Data 1'!$K151</f>
        <v>1195.68</v>
      </c>
      <c r="N151" s="40">
        <f>'Data 1'!$M151-'Data 1'!$L151</f>
        <v>67.680000000000064</v>
      </c>
      <c r="O151" s="37">
        <f>DAY('Data 1'!$A151)</f>
        <v>16</v>
      </c>
      <c r="P151" s="37" t="str">
        <f>TEXT('Data 1'!$A151,"mmm")</f>
        <v>Jul</v>
      </c>
      <c r="Q151" s="41">
        <f>YEAR('Data 1'!$A151)</f>
        <v>2021</v>
      </c>
    </row>
    <row r="152" spans="1:17" x14ac:dyDescent="0.3">
      <c r="A152" s="35">
        <v>44395</v>
      </c>
      <c r="B152" s="36" t="s">
        <v>45</v>
      </c>
      <c r="C152" s="37">
        <v>14</v>
      </c>
      <c r="D152" s="37" t="s">
        <v>17</v>
      </c>
      <c r="E152" s="37" t="s">
        <v>17</v>
      </c>
      <c r="F152" s="38">
        <v>0</v>
      </c>
      <c r="G152" s="39" t="str">
        <f>VLOOKUP('Data 1'!$B152,'Data 2'!$A$1:$F$46,MATCH('Data 1'!G$1,'Data 2'!$A$1:$F$1,0),0)</f>
        <v>Product27</v>
      </c>
      <c r="H152" s="39" t="str">
        <f>VLOOKUP('Data 1'!$B152,'Data 2'!$A$1:$F$46,MATCH('Data 1'!H$1,'Data 2'!$A$1:$F$1,0),0)</f>
        <v>Category04</v>
      </c>
      <c r="I152" s="39" t="str">
        <f>VLOOKUP('Data 1'!$B152,'Data 2'!$A$1:$F$46,MATCH('Data 1'!I$1,'Data 2'!$A$1:$F$1,0),0)</f>
        <v>Lt</v>
      </c>
      <c r="J152" s="39">
        <f>VLOOKUP('Data 1'!$B152,'Data 2'!$A$1:$F$46,MATCH('Data 1'!J$1,'Data 2'!$A$1:$F$1,0),0)</f>
        <v>48</v>
      </c>
      <c r="K152" s="39">
        <f>VLOOKUP('Data 1'!$B152,'Data 2'!$A$1:$F$46,MATCH('Data 1'!K$1,'Data 2'!$A$1:$F$1,0),0)</f>
        <v>57.120000000000005</v>
      </c>
      <c r="L152" s="40">
        <f>SUM('Data 1'!$J152*'Data 1'!$C152)</f>
        <v>672</v>
      </c>
      <c r="M152" s="40">
        <f>'Data 1'!$C152*'Data 1'!$K152</f>
        <v>799.68000000000006</v>
      </c>
      <c r="N152" s="40">
        <f>'Data 1'!$M152-'Data 1'!$L152</f>
        <v>127.68000000000006</v>
      </c>
      <c r="O152" s="37">
        <f>DAY('Data 1'!$A152)</f>
        <v>18</v>
      </c>
      <c r="P152" s="37" t="str">
        <f>TEXT('Data 1'!$A152,"mmm")</f>
        <v>Jul</v>
      </c>
      <c r="Q152" s="41">
        <f>YEAR('Data 1'!$A152)</f>
        <v>2021</v>
      </c>
    </row>
    <row r="153" spans="1:17" x14ac:dyDescent="0.3">
      <c r="A153" s="35">
        <v>44397</v>
      </c>
      <c r="B153" s="36" t="s">
        <v>18</v>
      </c>
      <c r="C153" s="37">
        <v>11</v>
      </c>
      <c r="D153" s="37" t="s">
        <v>17</v>
      </c>
      <c r="E153" s="37" t="s">
        <v>17</v>
      </c>
      <c r="F153" s="38">
        <v>0</v>
      </c>
      <c r="G153" s="42" t="str">
        <f>VLOOKUP('Data 1'!$B153,'Data 2'!$A$1:$F$46,MATCH('Data 1'!G$1,'Data 2'!$A$1:$F$1,0),0)</f>
        <v>Product38</v>
      </c>
      <c r="H153" s="42" t="str">
        <f>VLOOKUP('Data 1'!$B153,'Data 2'!$A$1:$F$46,MATCH('Data 1'!H$1,'Data 2'!$A$1:$F$1,0),0)</f>
        <v>Category05</v>
      </c>
      <c r="I153" s="42" t="str">
        <f>VLOOKUP('Data 1'!$B153,'Data 2'!$A$1:$F$46,MATCH('Data 1'!I$1,'Data 2'!$A$1:$F$1,0),0)</f>
        <v>Kg</v>
      </c>
      <c r="J153" s="42">
        <f>VLOOKUP('Data 1'!$B153,'Data 2'!$A$1:$F$46,MATCH('Data 1'!J$1,'Data 2'!$A$1:$F$1,0),0)</f>
        <v>72</v>
      </c>
      <c r="K153" s="42">
        <f>VLOOKUP('Data 1'!$B153,'Data 2'!$A$1:$F$46,MATCH('Data 1'!K$1,'Data 2'!$A$1:$F$1,0),0)</f>
        <v>79.92</v>
      </c>
      <c r="L153" s="40">
        <f>SUM('Data 1'!$J153*'Data 1'!$C153)</f>
        <v>792</v>
      </c>
      <c r="M153" s="40">
        <f>'Data 1'!$C153*'Data 1'!$K153</f>
        <v>879.12</v>
      </c>
      <c r="N153" s="40">
        <f>'Data 1'!$M153-'Data 1'!$L153</f>
        <v>87.12</v>
      </c>
      <c r="O153" s="37">
        <f>DAY('Data 1'!$A153)</f>
        <v>20</v>
      </c>
      <c r="P153" s="37" t="str">
        <f>TEXT('Data 1'!$A153,"mmm")</f>
        <v>Jul</v>
      </c>
      <c r="Q153" s="41">
        <f>YEAR('Data 1'!$A153)</f>
        <v>2021</v>
      </c>
    </row>
    <row r="154" spans="1:17" x14ac:dyDescent="0.3">
      <c r="A154" s="35">
        <v>44397</v>
      </c>
      <c r="B154" s="36" t="s">
        <v>42</v>
      </c>
      <c r="C154" s="37">
        <v>5</v>
      </c>
      <c r="D154" s="37" t="s">
        <v>21</v>
      </c>
      <c r="E154" s="37" t="s">
        <v>17</v>
      </c>
      <c r="F154" s="38">
        <v>0</v>
      </c>
      <c r="G154" s="39" t="str">
        <f>VLOOKUP('Data 1'!$B154,'Data 2'!$A$1:$F$46,MATCH('Data 1'!G$1,'Data 2'!$A$1:$F$1,0),0)</f>
        <v>Product43</v>
      </c>
      <c r="H154" s="39" t="str">
        <f>VLOOKUP('Data 1'!$B154,'Data 2'!$A$1:$F$46,MATCH('Data 1'!H$1,'Data 2'!$A$1:$F$1,0),0)</f>
        <v>Category05</v>
      </c>
      <c r="I154" s="39" t="str">
        <f>VLOOKUP('Data 1'!$B154,'Data 2'!$A$1:$F$46,MATCH('Data 1'!I$1,'Data 2'!$A$1:$F$1,0),0)</f>
        <v>Kg</v>
      </c>
      <c r="J154" s="39">
        <f>VLOOKUP('Data 1'!$B154,'Data 2'!$A$1:$F$46,MATCH('Data 1'!J$1,'Data 2'!$A$1:$F$1,0),0)</f>
        <v>67</v>
      </c>
      <c r="K154" s="39">
        <f>VLOOKUP('Data 1'!$B154,'Data 2'!$A$1:$F$46,MATCH('Data 1'!K$1,'Data 2'!$A$1:$F$1,0),0)</f>
        <v>83.08</v>
      </c>
      <c r="L154" s="40">
        <f>SUM('Data 1'!$J154*'Data 1'!$C154)</f>
        <v>335</v>
      </c>
      <c r="M154" s="40">
        <f>'Data 1'!$C154*'Data 1'!$K154</f>
        <v>415.4</v>
      </c>
      <c r="N154" s="40">
        <f>'Data 1'!$M154-'Data 1'!$L154</f>
        <v>80.399999999999977</v>
      </c>
      <c r="O154" s="37">
        <f>DAY('Data 1'!$A154)</f>
        <v>20</v>
      </c>
      <c r="P154" s="37" t="str">
        <f>TEXT('Data 1'!$A154,"mmm")</f>
        <v>Jul</v>
      </c>
      <c r="Q154" s="41">
        <f>YEAR('Data 1'!$A154)</f>
        <v>2021</v>
      </c>
    </row>
    <row r="155" spans="1:17" x14ac:dyDescent="0.3">
      <c r="A155" s="35">
        <v>44398</v>
      </c>
      <c r="B155" s="36" t="s">
        <v>38</v>
      </c>
      <c r="C155" s="37">
        <v>15</v>
      </c>
      <c r="D155" s="37" t="s">
        <v>21</v>
      </c>
      <c r="E155" s="37" t="s">
        <v>17</v>
      </c>
      <c r="F155" s="38">
        <v>0</v>
      </c>
      <c r="G155" s="42" t="str">
        <f>VLOOKUP('Data 1'!$B155,'Data 2'!$A$1:$F$46,MATCH('Data 1'!G$1,'Data 2'!$A$1:$F$1,0),0)</f>
        <v>Product29</v>
      </c>
      <c r="H155" s="42" t="str">
        <f>VLOOKUP('Data 1'!$B155,'Data 2'!$A$1:$F$46,MATCH('Data 1'!H$1,'Data 2'!$A$1:$F$1,0),0)</f>
        <v>Category04</v>
      </c>
      <c r="I155" s="42" t="str">
        <f>VLOOKUP('Data 1'!$B155,'Data 2'!$A$1:$F$46,MATCH('Data 1'!I$1,'Data 2'!$A$1:$F$1,0),0)</f>
        <v>Lt</v>
      </c>
      <c r="J155" s="42">
        <f>VLOOKUP('Data 1'!$B155,'Data 2'!$A$1:$F$46,MATCH('Data 1'!J$1,'Data 2'!$A$1:$F$1,0),0)</f>
        <v>47</v>
      </c>
      <c r="K155" s="42">
        <f>VLOOKUP('Data 1'!$B155,'Data 2'!$A$1:$F$46,MATCH('Data 1'!K$1,'Data 2'!$A$1:$F$1,0),0)</f>
        <v>53.11</v>
      </c>
      <c r="L155" s="40">
        <f>SUM('Data 1'!$J155*'Data 1'!$C155)</f>
        <v>705</v>
      </c>
      <c r="M155" s="40">
        <f>'Data 1'!$C155*'Data 1'!$K155</f>
        <v>796.65</v>
      </c>
      <c r="N155" s="40">
        <f>'Data 1'!$M155-'Data 1'!$L155</f>
        <v>91.649999999999977</v>
      </c>
      <c r="O155" s="37">
        <f>DAY('Data 1'!$A155)</f>
        <v>21</v>
      </c>
      <c r="P155" s="37" t="str">
        <f>TEXT('Data 1'!$A155,"mmm")</f>
        <v>Jul</v>
      </c>
      <c r="Q155" s="41">
        <f>YEAR('Data 1'!$A155)</f>
        <v>2021</v>
      </c>
    </row>
    <row r="156" spans="1:17" x14ac:dyDescent="0.3">
      <c r="A156" s="35">
        <v>44399</v>
      </c>
      <c r="B156" s="36" t="s">
        <v>61</v>
      </c>
      <c r="C156" s="37">
        <v>3</v>
      </c>
      <c r="D156" s="37" t="s">
        <v>16</v>
      </c>
      <c r="E156" s="37" t="s">
        <v>19</v>
      </c>
      <c r="F156" s="38">
        <v>0</v>
      </c>
      <c r="G156" s="39" t="str">
        <f>VLOOKUP('Data 1'!$B156,'Data 2'!$A$1:$F$46,MATCH('Data 1'!G$1,'Data 2'!$A$1:$F$1,0),0)</f>
        <v>Product26</v>
      </c>
      <c r="H156" s="39" t="str">
        <f>VLOOKUP('Data 1'!$B156,'Data 2'!$A$1:$F$46,MATCH('Data 1'!H$1,'Data 2'!$A$1:$F$1,0),0)</f>
        <v>Category04</v>
      </c>
      <c r="I156" s="39" t="str">
        <f>VLOOKUP('Data 1'!$B156,'Data 2'!$A$1:$F$46,MATCH('Data 1'!I$1,'Data 2'!$A$1:$F$1,0),0)</f>
        <v>No.</v>
      </c>
      <c r="J156" s="39">
        <f>VLOOKUP('Data 1'!$B156,'Data 2'!$A$1:$F$46,MATCH('Data 1'!J$1,'Data 2'!$A$1:$F$1,0),0)</f>
        <v>18</v>
      </c>
      <c r="K156" s="39">
        <f>VLOOKUP('Data 1'!$B156,'Data 2'!$A$1:$F$46,MATCH('Data 1'!K$1,'Data 2'!$A$1:$F$1,0),0)</f>
        <v>24.66</v>
      </c>
      <c r="L156" s="40">
        <f>SUM('Data 1'!$J156*'Data 1'!$C156)</f>
        <v>54</v>
      </c>
      <c r="M156" s="40">
        <f>'Data 1'!$C156*'Data 1'!$K156</f>
        <v>73.98</v>
      </c>
      <c r="N156" s="40">
        <f>'Data 1'!$M156-'Data 1'!$L156</f>
        <v>19.980000000000004</v>
      </c>
      <c r="O156" s="37">
        <f>DAY('Data 1'!$A156)</f>
        <v>22</v>
      </c>
      <c r="P156" s="37" t="str">
        <f>TEXT('Data 1'!$A156,"mmm")</f>
        <v>Jul</v>
      </c>
      <c r="Q156" s="41">
        <f>YEAR('Data 1'!$A156)</f>
        <v>2021</v>
      </c>
    </row>
    <row r="157" spans="1:17" x14ac:dyDescent="0.3">
      <c r="A157" s="35">
        <v>44399</v>
      </c>
      <c r="B157" s="36" t="s">
        <v>15</v>
      </c>
      <c r="C157" s="37">
        <v>14</v>
      </c>
      <c r="D157" s="37" t="s">
        <v>17</v>
      </c>
      <c r="E157" s="37" t="s">
        <v>19</v>
      </c>
      <c r="F157" s="38">
        <v>0</v>
      </c>
      <c r="G157" s="42" t="str">
        <f>VLOOKUP('Data 1'!$B157,'Data 2'!$A$1:$F$46,MATCH('Data 1'!G$1,'Data 2'!$A$1:$F$1,0),0)</f>
        <v>Product24</v>
      </c>
      <c r="H157" s="42" t="str">
        <f>VLOOKUP('Data 1'!$B157,'Data 2'!$A$1:$F$46,MATCH('Data 1'!H$1,'Data 2'!$A$1:$F$1,0),0)</f>
        <v>Category03</v>
      </c>
      <c r="I157" s="42" t="str">
        <f>VLOOKUP('Data 1'!$B157,'Data 2'!$A$1:$F$46,MATCH('Data 1'!I$1,'Data 2'!$A$1:$F$1,0),0)</f>
        <v>Ft</v>
      </c>
      <c r="J157" s="42">
        <f>VLOOKUP('Data 1'!$B157,'Data 2'!$A$1:$F$46,MATCH('Data 1'!J$1,'Data 2'!$A$1:$F$1,0),0)</f>
        <v>144</v>
      </c>
      <c r="K157" s="42">
        <f>VLOOKUP('Data 1'!$B157,'Data 2'!$A$1:$F$46,MATCH('Data 1'!K$1,'Data 2'!$A$1:$F$1,0),0)</f>
        <v>156.96</v>
      </c>
      <c r="L157" s="40">
        <f>SUM('Data 1'!$J157*'Data 1'!$C157)</f>
        <v>2016</v>
      </c>
      <c r="M157" s="40">
        <f>'Data 1'!$C157*'Data 1'!$K157</f>
        <v>2197.44</v>
      </c>
      <c r="N157" s="40">
        <f>'Data 1'!$M157-'Data 1'!$L157</f>
        <v>181.44000000000005</v>
      </c>
      <c r="O157" s="37">
        <f>DAY('Data 1'!$A157)</f>
        <v>22</v>
      </c>
      <c r="P157" s="37" t="str">
        <f>TEXT('Data 1'!$A157,"mmm")</f>
        <v>Jul</v>
      </c>
      <c r="Q157" s="41">
        <f>YEAR('Data 1'!$A157)</f>
        <v>2021</v>
      </c>
    </row>
    <row r="158" spans="1:17" x14ac:dyDescent="0.3">
      <c r="A158" s="35">
        <v>44400</v>
      </c>
      <c r="B158" s="36" t="s">
        <v>62</v>
      </c>
      <c r="C158" s="37">
        <v>7</v>
      </c>
      <c r="D158" s="37" t="s">
        <v>16</v>
      </c>
      <c r="E158" s="37" t="s">
        <v>17</v>
      </c>
      <c r="F158" s="38">
        <v>0</v>
      </c>
      <c r="G158" s="39" t="str">
        <f>VLOOKUP('Data 1'!$B158,'Data 2'!$A$1:$F$46,MATCH('Data 1'!G$1,'Data 2'!$A$1:$F$1,0),0)</f>
        <v>Product36</v>
      </c>
      <c r="H158" s="39" t="str">
        <f>VLOOKUP('Data 1'!$B158,'Data 2'!$A$1:$F$46,MATCH('Data 1'!H$1,'Data 2'!$A$1:$F$1,0),0)</f>
        <v>Category04</v>
      </c>
      <c r="I158" s="39" t="str">
        <f>VLOOKUP('Data 1'!$B158,'Data 2'!$A$1:$F$46,MATCH('Data 1'!I$1,'Data 2'!$A$1:$F$1,0),0)</f>
        <v>Kg</v>
      </c>
      <c r="J158" s="39">
        <f>VLOOKUP('Data 1'!$B158,'Data 2'!$A$1:$F$46,MATCH('Data 1'!J$1,'Data 2'!$A$1:$F$1,0),0)</f>
        <v>90</v>
      </c>
      <c r="K158" s="39">
        <f>VLOOKUP('Data 1'!$B158,'Data 2'!$A$1:$F$46,MATCH('Data 1'!K$1,'Data 2'!$A$1:$F$1,0),0)</f>
        <v>96.3</v>
      </c>
      <c r="L158" s="40">
        <f>SUM('Data 1'!$J158*'Data 1'!$C158)</f>
        <v>630</v>
      </c>
      <c r="M158" s="40">
        <f>'Data 1'!$C158*'Data 1'!$K158</f>
        <v>674.1</v>
      </c>
      <c r="N158" s="40">
        <f>'Data 1'!$M158-'Data 1'!$L158</f>
        <v>44.100000000000023</v>
      </c>
      <c r="O158" s="37">
        <f>DAY('Data 1'!$A158)</f>
        <v>23</v>
      </c>
      <c r="P158" s="37" t="str">
        <f>TEXT('Data 1'!$A158,"mmm")</f>
        <v>Jul</v>
      </c>
      <c r="Q158" s="41">
        <f>YEAR('Data 1'!$A158)</f>
        <v>2021</v>
      </c>
    </row>
    <row r="159" spans="1:17" x14ac:dyDescent="0.3">
      <c r="A159" s="35">
        <v>44400</v>
      </c>
      <c r="B159" s="36" t="s">
        <v>27</v>
      </c>
      <c r="C159" s="37">
        <v>8</v>
      </c>
      <c r="D159" s="37" t="s">
        <v>21</v>
      </c>
      <c r="E159" s="37" t="s">
        <v>17</v>
      </c>
      <c r="F159" s="38">
        <v>0</v>
      </c>
      <c r="G159" s="42" t="str">
        <f>VLOOKUP('Data 1'!$B159,'Data 2'!$A$1:$F$46,MATCH('Data 1'!G$1,'Data 2'!$A$1:$F$1,0),0)</f>
        <v>Product37</v>
      </c>
      <c r="H159" s="42" t="str">
        <f>VLOOKUP('Data 1'!$B159,'Data 2'!$A$1:$F$46,MATCH('Data 1'!H$1,'Data 2'!$A$1:$F$1,0),0)</f>
        <v>Category05</v>
      </c>
      <c r="I159" s="42" t="str">
        <f>VLOOKUP('Data 1'!$B159,'Data 2'!$A$1:$F$46,MATCH('Data 1'!I$1,'Data 2'!$A$1:$F$1,0),0)</f>
        <v>Kg</v>
      </c>
      <c r="J159" s="42">
        <f>VLOOKUP('Data 1'!$B159,'Data 2'!$A$1:$F$46,MATCH('Data 1'!J$1,'Data 2'!$A$1:$F$1,0),0)</f>
        <v>67</v>
      </c>
      <c r="K159" s="42">
        <f>VLOOKUP('Data 1'!$B159,'Data 2'!$A$1:$F$46,MATCH('Data 1'!K$1,'Data 2'!$A$1:$F$1,0),0)</f>
        <v>85.76</v>
      </c>
      <c r="L159" s="40">
        <f>SUM('Data 1'!$J159*'Data 1'!$C159)</f>
        <v>536</v>
      </c>
      <c r="M159" s="40">
        <f>'Data 1'!$C159*'Data 1'!$K159</f>
        <v>686.08</v>
      </c>
      <c r="N159" s="40">
        <f>'Data 1'!$M159-'Data 1'!$L159</f>
        <v>150.08000000000004</v>
      </c>
      <c r="O159" s="37">
        <f>DAY('Data 1'!$A159)</f>
        <v>23</v>
      </c>
      <c r="P159" s="37" t="str">
        <f>TEXT('Data 1'!$A159,"mmm")</f>
        <v>Jul</v>
      </c>
      <c r="Q159" s="41">
        <f>YEAR('Data 1'!$A159)</f>
        <v>2021</v>
      </c>
    </row>
    <row r="160" spans="1:17" x14ac:dyDescent="0.3">
      <c r="A160" s="35">
        <v>44401</v>
      </c>
      <c r="B160" s="36" t="s">
        <v>56</v>
      </c>
      <c r="C160" s="37">
        <v>4</v>
      </c>
      <c r="D160" s="37" t="s">
        <v>17</v>
      </c>
      <c r="E160" s="37" t="s">
        <v>19</v>
      </c>
      <c r="F160" s="38">
        <v>0</v>
      </c>
      <c r="G160" s="39" t="str">
        <f>VLOOKUP('Data 1'!$B160,'Data 2'!$A$1:$F$46,MATCH('Data 1'!G$1,'Data 2'!$A$1:$F$1,0),0)</f>
        <v>Product09</v>
      </c>
      <c r="H160" s="39" t="str">
        <f>VLOOKUP('Data 1'!$B160,'Data 2'!$A$1:$F$46,MATCH('Data 1'!H$1,'Data 2'!$A$1:$F$1,0),0)</f>
        <v>Category03</v>
      </c>
      <c r="I160" s="39" t="str">
        <f>VLOOKUP('Data 1'!$B160,'Data 2'!$A$1:$F$46,MATCH('Data 1'!I$1,'Data 2'!$A$1:$F$1,0),0)</f>
        <v>No.</v>
      </c>
      <c r="J160" s="39">
        <f>VLOOKUP('Data 1'!$B160,'Data 2'!$A$1:$F$46,MATCH('Data 1'!J$1,'Data 2'!$A$1:$F$1,0),0)</f>
        <v>6</v>
      </c>
      <c r="K160" s="39">
        <f>VLOOKUP('Data 1'!$B160,'Data 2'!$A$1:$F$46,MATCH('Data 1'!K$1,'Data 2'!$A$1:$F$1,0),0)</f>
        <v>7.8599999999999994</v>
      </c>
      <c r="L160" s="40">
        <f>SUM('Data 1'!$J160*'Data 1'!$C160)</f>
        <v>24</v>
      </c>
      <c r="M160" s="40">
        <f>'Data 1'!$C160*'Data 1'!$K160</f>
        <v>31.439999999999998</v>
      </c>
      <c r="N160" s="40">
        <f>'Data 1'!$M160-'Data 1'!$L160</f>
        <v>7.4399999999999977</v>
      </c>
      <c r="O160" s="37">
        <f>DAY('Data 1'!$A160)</f>
        <v>24</v>
      </c>
      <c r="P160" s="37" t="str">
        <f>TEXT('Data 1'!$A160,"mmm")</f>
        <v>Jul</v>
      </c>
      <c r="Q160" s="41">
        <f>YEAR('Data 1'!$A160)</f>
        <v>2021</v>
      </c>
    </row>
    <row r="161" spans="1:17" x14ac:dyDescent="0.3">
      <c r="A161" s="35">
        <v>44406</v>
      </c>
      <c r="B161" s="36" t="s">
        <v>30</v>
      </c>
      <c r="C161" s="37">
        <v>15</v>
      </c>
      <c r="D161" s="37" t="s">
        <v>17</v>
      </c>
      <c r="E161" s="37" t="s">
        <v>19</v>
      </c>
      <c r="F161" s="38">
        <v>0</v>
      </c>
      <c r="G161" s="42" t="str">
        <f>VLOOKUP('Data 1'!$B161,'Data 2'!$A$1:$F$46,MATCH('Data 1'!G$1,'Data 2'!$A$1:$F$1,0),0)</f>
        <v>Product44</v>
      </c>
      <c r="H161" s="42" t="str">
        <f>VLOOKUP('Data 1'!$B161,'Data 2'!$A$1:$F$46,MATCH('Data 1'!H$1,'Data 2'!$A$1:$F$1,0),0)</f>
        <v>Category05</v>
      </c>
      <c r="I161" s="42" t="str">
        <f>VLOOKUP('Data 1'!$B161,'Data 2'!$A$1:$F$46,MATCH('Data 1'!I$1,'Data 2'!$A$1:$F$1,0),0)</f>
        <v>Kg</v>
      </c>
      <c r="J161" s="42">
        <f>VLOOKUP('Data 1'!$B161,'Data 2'!$A$1:$F$46,MATCH('Data 1'!J$1,'Data 2'!$A$1:$F$1,0),0)</f>
        <v>76</v>
      </c>
      <c r="K161" s="42">
        <f>VLOOKUP('Data 1'!$B161,'Data 2'!$A$1:$F$46,MATCH('Data 1'!K$1,'Data 2'!$A$1:$F$1,0),0)</f>
        <v>82.08</v>
      </c>
      <c r="L161" s="40">
        <f>SUM('Data 1'!$J161*'Data 1'!$C161)</f>
        <v>1140</v>
      </c>
      <c r="M161" s="40">
        <f>'Data 1'!$C161*'Data 1'!$K161</f>
        <v>1231.2</v>
      </c>
      <c r="N161" s="40">
        <f>'Data 1'!$M161-'Data 1'!$L161</f>
        <v>91.200000000000045</v>
      </c>
      <c r="O161" s="37">
        <f>DAY('Data 1'!$A161)</f>
        <v>29</v>
      </c>
      <c r="P161" s="37" t="str">
        <f>TEXT('Data 1'!$A161,"mmm")</f>
        <v>Jul</v>
      </c>
      <c r="Q161" s="41">
        <f>YEAR('Data 1'!$A161)</f>
        <v>2021</v>
      </c>
    </row>
    <row r="162" spans="1:17" x14ac:dyDescent="0.3">
      <c r="A162" s="35">
        <v>44409</v>
      </c>
      <c r="B162" s="36" t="s">
        <v>35</v>
      </c>
      <c r="C162" s="37">
        <v>11</v>
      </c>
      <c r="D162" s="37" t="s">
        <v>21</v>
      </c>
      <c r="E162" s="37" t="s">
        <v>19</v>
      </c>
      <c r="F162" s="38">
        <v>0</v>
      </c>
      <c r="G162" s="39" t="str">
        <f>VLOOKUP('Data 1'!$B162,'Data 2'!$A$1:$F$46,MATCH('Data 1'!G$1,'Data 2'!$A$1:$F$1,0),0)</f>
        <v>Product01</v>
      </c>
      <c r="H162" s="39" t="str">
        <f>VLOOKUP('Data 1'!$B162,'Data 2'!$A$1:$F$46,MATCH('Data 1'!H$1,'Data 2'!$A$1:$F$1,0),0)</f>
        <v>Category01</v>
      </c>
      <c r="I162" s="39" t="str">
        <f>VLOOKUP('Data 1'!$B162,'Data 2'!$A$1:$F$46,MATCH('Data 1'!I$1,'Data 2'!$A$1:$F$1,0),0)</f>
        <v>Kg</v>
      </c>
      <c r="J162" s="39">
        <f>VLOOKUP('Data 1'!$B162,'Data 2'!$A$1:$F$46,MATCH('Data 1'!J$1,'Data 2'!$A$1:$F$1,0),0)</f>
        <v>98</v>
      </c>
      <c r="K162" s="39">
        <f>VLOOKUP('Data 1'!$B162,'Data 2'!$A$1:$F$46,MATCH('Data 1'!K$1,'Data 2'!$A$1:$F$1,0),0)</f>
        <v>103.88</v>
      </c>
      <c r="L162" s="40">
        <f>SUM('Data 1'!$J162*'Data 1'!$C162)</f>
        <v>1078</v>
      </c>
      <c r="M162" s="40">
        <f>'Data 1'!$C162*'Data 1'!$K162</f>
        <v>1142.6799999999998</v>
      </c>
      <c r="N162" s="40">
        <f>'Data 1'!$M162-'Data 1'!$L162</f>
        <v>64.679999999999836</v>
      </c>
      <c r="O162" s="37">
        <f>DAY('Data 1'!$A162)</f>
        <v>1</v>
      </c>
      <c r="P162" s="37" t="str">
        <f>TEXT('Data 1'!$A162,"mmm")</f>
        <v>Aug</v>
      </c>
      <c r="Q162" s="41">
        <f>YEAR('Data 1'!$A162)</f>
        <v>2021</v>
      </c>
    </row>
    <row r="163" spans="1:17" x14ac:dyDescent="0.3">
      <c r="A163" s="35">
        <v>44410</v>
      </c>
      <c r="B163" s="36" t="s">
        <v>31</v>
      </c>
      <c r="C163" s="37">
        <v>3</v>
      </c>
      <c r="D163" s="37" t="s">
        <v>21</v>
      </c>
      <c r="E163" s="37" t="s">
        <v>17</v>
      </c>
      <c r="F163" s="38">
        <v>0</v>
      </c>
      <c r="G163" s="42" t="str">
        <f>VLOOKUP('Data 1'!$B163,'Data 2'!$A$1:$F$46,MATCH('Data 1'!G$1,'Data 2'!$A$1:$F$1,0),0)</f>
        <v>Product23</v>
      </c>
      <c r="H163" s="42" t="str">
        <f>VLOOKUP('Data 1'!$B163,'Data 2'!$A$1:$F$46,MATCH('Data 1'!H$1,'Data 2'!$A$1:$F$1,0),0)</f>
        <v>Category03</v>
      </c>
      <c r="I163" s="42" t="str">
        <f>VLOOKUP('Data 1'!$B163,'Data 2'!$A$1:$F$46,MATCH('Data 1'!I$1,'Data 2'!$A$1:$F$1,0),0)</f>
        <v>Ft</v>
      </c>
      <c r="J163" s="42">
        <f>VLOOKUP('Data 1'!$B163,'Data 2'!$A$1:$F$46,MATCH('Data 1'!J$1,'Data 2'!$A$1:$F$1,0),0)</f>
        <v>141</v>
      </c>
      <c r="K163" s="42">
        <f>VLOOKUP('Data 1'!$B163,'Data 2'!$A$1:$F$46,MATCH('Data 1'!K$1,'Data 2'!$A$1:$F$1,0),0)</f>
        <v>149.46</v>
      </c>
      <c r="L163" s="40">
        <f>SUM('Data 1'!$J163*'Data 1'!$C163)</f>
        <v>423</v>
      </c>
      <c r="M163" s="40">
        <f>'Data 1'!$C163*'Data 1'!$K163</f>
        <v>448.38</v>
      </c>
      <c r="N163" s="40">
        <f>'Data 1'!$M163-'Data 1'!$L163</f>
        <v>25.379999999999995</v>
      </c>
      <c r="O163" s="37">
        <f>DAY('Data 1'!$A163)</f>
        <v>2</v>
      </c>
      <c r="P163" s="37" t="str">
        <f>TEXT('Data 1'!$A163,"mmm")</f>
        <v>Aug</v>
      </c>
      <c r="Q163" s="41">
        <f>YEAR('Data 1'!$A163)</f>
        <v>2021</v>
      </c>
    </row>
    <row r="164" spans="1:17" x14ac:dyDescent="0.3">
      <c r="A164" s="35">
        <v>44411</v>
      </c>
      <c r="B164" s="36" t="s">
        <v>41</v>
      </c>
      <c r="C164" s="37">
        <v>13</v>
      </c>
      <c r="D164" s="37" t="s">
        <v>17</v>
      </c>
      <c r="E164" s="37" t="s">
        <v>17</v>
      </c>
      <c r="F164" s="38">
        <v>0</v>
      </c>
      <c r="G164" s="39" t="str">
        <f>VLOOKUP('Data 1'!$B164,'Data 2'!$A$1:$F$46,MATCH('Data 1'!G$1,'Data 2'!$A$1:$F$1,0),0)</f>
        <v>Product22</v>
      </c>
      <c r="H164" s="39" t="str">
        <f>VLOOKUP('Data 1'!$B164,'Data 2'!$A$1:$F$46,MATCH('Data 1'!H$1,'Data 2'!$A$1:$F$1,0),0)</f>
        <v>Category03</v>
      </c>
      <c r="I164" s="39" t="str">
        <f>VLOOKUP('Data 1'!$B164,'Data 2'!$A$1:$F$46,MATCH('Data 1'!I$1,'Data 2'!$A$1:$F$1,0),0)</f>
        <v>Ft</v>
      </c>
      <c r="J164" s="39">
        <f>VLOOKUP('Data 1'!$B164,'Data 2'!$A$1:$F$46,MATCH('Data 1'!J$1,'Data 2'!$A$1:$F$1,0),0)</f>
        <v>121</v>
      </c>
      <c r="K164" s="39">
        <f>VLOOKUP('Data 1'!$B164,'Data 2'!$A$1:$F$46,MATCH('Data 1'!K$1,'Data 2'!$A$1:$F$1,0),0)</f>
        <v>141.57</v>
      </c>
      <c r="L164" s="40">
        <f>SUM('Data 1'!$J164*'Data 1'!$C164)</f>
        <v>1573</v>
      </c>
      <c r="M164" s="40">
        <f>'Data 1'!$C164*'Data 1'!$K164</f>
        <v>1840.4099999999999</v>
      </c>
      <c r="N164" s="40">
        <f>'Data 1'!$M164-'Data 1'!$L164</f>
        <v>267.40999999999985</v>
      </c>
      <c r="O164" s="37">
        <f>DAY('Data 1'!$A164)</f>
        <v>3</v>
      </c>
      <c r="P164" s="37" t="str">
        <f>TEXT('Data 1'!$A164,"mmm")</f>
        <v>Aug</v>
      </c>
      <c r="Q164" s="41">
        <f>YEAR('Data 1'!$A164)</f>
        <v>2021</v>
      </c>
    </row>
    <row r="165" spans="1:17" x14ac:dyDescent="0.3">
      <c r="A165" s="35">
        <v>44411</v>
      </c>
      <c r="B165" s="36" t="s">
        <v>32</v>
      </c>
      <c r="C165" s="37">
        <v>12</v>
      </c>
      <c r="D165" s="37" t="s">
        <v>17</v>
      </c>
      <c r="E165" s="37" t="s">
        <v>17</v>
      </c>
      <c r="F165" s="38">
        <v>0</v>
      </c>
      <c r="G165" s="42" t="str">
        <f>VLOOKUP('Data 1'!$B165,'Data 2'!$A$1:$F$46,MATCH('Data 1'!G$1,'Data 2'!$A$1:$F$1,0),0)</f>
        <v>Product34</v>
      </c>
      <c r="H165" s="42" t="str">
        <f>VLOOKUP('Data 1'!$B165,'Data 2'!$A$1:$F$46,MATCH('Data 1'!H$1,'Data 2'!$A$1:$F$1,0),0)</f>
        <v>Category04</v>
      </c>
      <c r="I165" s="42" t="str">
        <f>VLOOKUP('Data 1'!$B165,'Data 2'!$A$1:$F$46,MATCH('Data 1'!I$1,'Data 2'!$A$1:$F$1,0),0)</f>
        <v>Lt</v>
      </c>
      <c r="J165" s="42">
        <f>VLOOKUP('Data 1'!$B165,'Data 2'!$A$1:$F$46,MATCH('Data 1'!J$1,'Data 2'!$A$1:$F$1,0),0)</f>
        <v>55</v>
      </c>
      <c r="K165" s="42">
        <f>VLOOKUP('Data 1'!$B165,'Data 2'!$A$1:$F$46,MATCH('Data 1'!K$1,'Data 2'!$A$1:$F$1,0),0)</f>
        <v>58.3</v>
      </c>
      <c r="L165" s="40">
        <f>SUM('Data 1'!$J165*'Data 1'!$C165)</f>
        <v>660</v>
      </c>
      <c r="M165" s="40">
        <f>'Data 1'!$C165*'Data 1'!$K165</f>
        <v>699.59999999999991</v>
      </c>
      <c r="N165" s="40">
        <f>'Data 1'!$M165-'Data 1'!$L165</f>
        <v>39.599999999999909</v>
      </c>
      <c r="O165" s="37">
        <f>DAY('Data 1'!$A165)</f>
        <v>3</v>
      </c>
      <c r="P165" s="37" t="str">
        <f>TEXT('Data 1'!$A165,"mmm")</f>
        <v>Aug</v>
      </c>
      <c r="Q165" s="41">
        <f>YEAR('Data 1'!$A165)</f>
        <v>2021</v>
      </c>
    </row>
    <row r="166" spans="1:17" x14ac:dyDescent="0.3">
      <c r="A166" s="35">
        <v>44413</v>
      </c>
      <c r="B166" s="36" t="s">
        <v>52</v>
      </c>
      <c r="C166" s="37">
        <v>14</v>
      </c>
      <c r="D166" s="37" t="s">
        <v>21</v>
      </c>
      <c r="E166" s="37" t="s">
        <v>19</v>
      </c>
      <c r="F166" s="38">
        <v>0</v>
      </c>
      <c r="G166" s="39" t="str">
        <f>VLOOKUP('Data 1'!$B166,'Data 2'!$A$1:$F$46,MATCH('Data 1'!G$1,'Data 2'!$A$1:$F$1,0),0)</f>
        <v>Product28</v>
      </c>
      <c r="H166" s="39" t="str">
        <f>VLOOKUP('Data 1'!$B166,'Data 2'!$A$1:$F$46,MATCH('Data 1'!H$1,'Data 2'!$A$1:$F$1,0),0)</f>
        <v>Category04</v>
      </c>
      <c r="I166" s="39" t="str">
        <f>VLOOKUP('Data 1'!$B166,'Data 2'!$A$1:$F$46,MATCH('Data 1'!I$1,'Data 2'!$A$1:$F$1,0),0)</f>
        <v>No.</v>
      </c>
      <c r="J166" s="39">
        <f>VLOOKUP('Data 1'!$B166,'Data 2'!$A$1:$F$46,MATCH('Data 1'!J$1,'Data 2'!$A$1:$F$1,0),0)</f>
        <v>37</v>
      </c>
      <c r="K166" s="39">
        <f>VLOOKUP('Data 1'!$B166,'Data 2'!$A$1:$F$46,MATCH('Data 1'!K$1,'Data 2'!$A$1:$F$1,0),0)</f>
        <v>41.81</v>
      </c>
      <c r="L166" s="40">
        <f>SUM('Data 1'!$J166*'Data 1'!$C166)</f>
        <v>518</v>
      </c>
      <c r="M166" s="40">
        <f>'Data 1'!$C166*'Data 1'!$K166</f>
        <v>585.34</v>
      </c>
      <c r="N166" s="40">
        <f>'Data 1'!$M166-'Data 1'!$L166</f>
        <v>67.340000000000032</v>
      </c>
      <c r="O166" s="37">
        <f>DAY('Data 1'!$A166)</f>
        <v>5</v>
      </c>
      <c r="P166" s="37" t="str">
        <f>TEXT('Data 1'!$A166,"mmm")</f>
        <v>Aug</v>
      </c>
      <c r="Q166" s="41">
        <f>YEAR('Data 1'!$A166)</f>
        <v>2021</v>
      </c>
    </row>
    <row r="167" spans="1:17" x14ac:dyDescent="0.3">
      <c r="A167" s="35">
        <v>44414</v>
      </c>
      <c r="B167" s="36" t="s">
        <v>27</v>
      </c>
      <c r="C167" s="37">
        <v>1</v>
      </c>
      <c r="D167" s="37" t="s">
        <v>16</v>
      </c>
      <c r="E167" s="37" t="s">
        <v>19</v>
      </c>
      <c r="F167" s="38">
        <v>0</v>
      </c>
      <c r="G167" s="42" t="str">
        <f>VLOOKUP('Data 1'!$B167,'Data 2'!$A$1:$F$46,MATCH('Data 1'!G$1,'Data 2'!$A$1:$F$1,0),0)</f>
        <v>Product37</v>
      </c>
      <c r="H167" s="42" t="str">
        <f>VLOOKUP('Data 1'!$B167,'Data 2'!$A$1:$F$46,MATCH('Data 1'!H$1,'Data 2'!$A$1:$F$1,0),0)</f>
        <v>Category05</v>
      </c>
      <c r="I167" s="42" t="str">
        <f>VLOOKUP('Data 1'!$B167,'Data 2'!$A$1:$F$46,MATCH('Data 1'!I$1,'Data 2'!$A$1:$F$1,0),0)</f>
        <v>Kg</v>
      </c>
      <c r="J167" s="42">
        <f>VLOOKUP('Data 1'!$B167,'Data 2'!$A$1:$F$46,MATCH('Data 1'!J$1,'Data 2'!$A$1:$F$1,0),0)</f>
        <v>67</v>
      </c>
      <c r="K167" s="42">
        <f>VLOOKUP('Data 1'!$B167,'Data 2'!$A$1:$F$46,MATCH('Data 1'!K$1,'Data 2'!$A$1:$F$1,0),0)</f>
        <v>85.76</v>
      </c>
      <c r="L167" s="40">
        <f>SUM('Data 1'!$J167*'Data 1'!$C167)</f>
        <v>67</v>
      </c>
      <c r="M167" s="40">
        <f>'Data 1'!$C167*'Data 1'!$K167</f>
        <v>85.76</v>
      </c>
      <c r="N167" s="40">
        <f>'Data 1'!$M167-'Data 1'!$L167</f>
        <v>18.760000000000005</v>
      </c>
      <c r="O167" s="37">
        <f>DAY('Data 1'!$A167)</f>
        <v>6</v>
      </c>
      <c r="P167" s="37" t="str">
        <f>TEXT('Data 1'!$A167,"mmm")</f>
        <v>Aug</v>
      </c>
      <c r="Q167" s="41">
        <f>YEAR('Data 1'!$A167)</f>
        <v>2021</v>
      </c>
    </row>
    <row r="168" spans="1:17" x14ac:dyDescent="0.3">
      <c r="A168" s="35">
        <v>44418</v>
      </c>
      <c r="B168" s="36" t="s">
        <v>43</v>
      </c>
      <c r="C168" s="37">
        <v>4</v>
      </c>
      <c r="D168" s="37" t="s">
        <v>16</v>
      </c>
      <c r="E168" s="37" t="s">
        <v>19</v>
      </c>
      <c r="F168" s="38">
        <v>0</v>
      </c>
      <c r="G168" s="39" t="str">
        <f>VLOOKUP('Data 1'!$B168,'Data 2'!$A$1:$F$46,MATCH('Data 1'!G$1,'Data 2'!$A$1:$F$1,0),0)</f>
        <v>Product05</v>
      </c>
      <c r="H168" s="39" t="str">
        <f>VLOOKUP('Data 1'!$B168,'Data 2'!$A$1:$F$46,MATCH('Data 1'!H$1,'Data 2'!$A$1:$F$1,0),0)</f>
        <v>Category01</v>
      </c>
      <c r="I168" s="39" t="str">
        <f>VLOOKUP('Data 1'!$B168,'Data 2'!$A$1:$F$46,MATCH('Data 1'!I$1,'Data 2'!$A$1:$F$1,0),0)</f>
        <v>Ft</v>
      </c>
      <c r="J168" s="39">
        <f>VLOOKUP('Data 1'!$B168,'Data 2'!$A$1:$F$46,MATCH('Data 1'!J$1,'Data 2'!$A$1:$F$1,0),0)</f>
        <v>133</v>
      </c>
      <c r="K168" s="39">
        <f>VLOOKUP('Data 1'!$B168,'Data 2'!$A$1:$F$46,MATCH('Data 1'!K$1,'Data 2'!$A$1:$F$1,0),0)</f>
        <v>155.61000000000001</v>
      </c>
      <c r="L168" s="40">
        <f>SUM('Data 1'!$J168*'Data 1'!$C168)</f>
        <v>532</v>
      </c>
      <c r="M168" s="40">
        <f>'Data 1'!$C168*'Data 1'!$K168</f>
        <v>622.44000000000005</v>
      </c>
      <c r="N168" s="40">
        <f>'Data 1'!$M168-'Data 1'!$L168</f>
        <v>90.440000000000055</v>
      </c>
      <c r="O168" s="37">
        <f>DAY('Data 1'!$A168)</f>
        <v>10</v>
      </c>
      <c r="P168" s="37" t="str">
        <f>TEXT('Data 1'!$A168,"mmm")</f>
        <v>Aug</v>
      </c>
      <c r="Q168" s="41">
        <f>YEAR('Data 1'!$A168)</f>
        <v>2021</v>
      </c>
    </row>
    <row r="169" spans="1:17" x14ac:dyDescent="0.3">
      <c r="A169" s="35">
        <v>44418</v>
      </c>
      <c r="B169" s="36" t="s">
        <v>30</v>
      </c>
      <c r="C169" s="37">
        <v>10</v>
      </c>
      <c r="D169" s="37" t="s">
        <v>17</v>
      </c>
      <c r="E169" s="37" t="s">
        <v>19</v>
      </c>
      <c r="F169" s="38">
        <v>0</v>
      </c>
      <c r="G169" s="42" t="str">
        <f>VLOOKUP('Data 1'!$B169,'Data 2'!$A$1:$F$46,MATCH('Data 1'!G$1,'Data 2'!$A$1:$F$1,0),0)</f>
        <v>Product44</v>
      </c>
      <c r="H169" s="42" t="str">
        <f>VLOOKUP('Data 1'!$B169,'Data 2'!$A$1:$F$46,MATCH('Data 1'!H$1,'Data 2'!$A$1:$F$1,0),0)</f>
        <v>Category05</v>
      </c>
      <c r="I169" s="42" t="str">
        <f>VLOOKUP('Data 1'!$B169,'Data 2'!$A$1:$F$46,MATCH('Data 1'!I$1,'Data 2'!$A$1:$F$1,0),0)</f>
        <v>Kg</v>
      </c>
      <c r="J169" s="42">
        <f>VLOOKUP('Data 1'!$B169,'Data 2'!$A$1:$F$46,MATCH('Data 1'!J$1,'Data 2'!$A$1:$F$1,0),0)</f>
        <v>76</v>
      </c>
      <c r="K169" s="42">
        <f>VLOOKUP('Data 1'!$B169,'Data 2'!$A$1:$F$46,MATCH('Data 1'!K$1,'Data 2'!$A$1:$F$1,0),0)</f>
        <v>82.08</v>
      </c>
      <c r="L169" s="40">
        <f>SUM('Data 1'!$J169*'Data 1'!$C169)</f>
        <v>760</v>
      </c>
      <c r="M169" s="40">
        <f>'Data 1'!$C169*'Data 1'!$K169</f>
        <v>820.8</v>
      </c>
      <c r="N169" s="40">
        <f>'Data 1'!$M169-'Data 1'!$L169</f>
        <v>60.799999999999955</v>
      </c>
      <c r="O169" s="37">
        <f>DAY('Data 1'!$A169)</f>
        <v>10</v>
      </c>
      <c r="P169" s="37" t="str">
        <f>TEXT('Data 1'!$A169,"mmm")</f>
        <v>Aug</v>
      </c>
      <c r="Q169" s="41">
        <f>YEAR('Data 1'!$A169)</f>
        <v>2021</v>
      </c>
    </row>
    <row r="170" spans="1:17" x14ac:dyDescent="0.3">
      <c r="A170" s="35">
        <v>44418</v>
      </c>
      <c r="B170" s="36" t="s">
        <v>34</v>
      </c>
      <c r="C170" s="37">
        <v>6</v>
      </c>
      <c r="D170" s="37" t="s">
        <v>21</v>
      </c>
      <c r="E170" s="37" t="s">
        <v>19</v>
      </c>
      <c r="F170" s="38">
        <v>0</v>
      </c>
      <c r="G170" s="39" t="str">
        <f>VLOOKUP('Data 1'!$B170,'Data 2'!$A$1:$F$46,MATCH('Data 1'!G$1,'Data 2'!$A$1:$F$1,0),0)</f>
        <v>Product06</v>
      </c>
      <c r="H170" s="39" t="str">
        <f>VLOOKUP('Data 1'!$B170,'Data 2'!$A$1:$F$46,MATCH('Data 1'!H$1,'Data 2'!$A$1:$F$1,0),0)</f>
        <v>Category01</v>
      </c>
      <c r="I170" s="39" t="str">
        <f>VLOOKUP('Data 1'!$B170,'Data 2'!$A$1:$F$46,MATCH('Data 1'!I$1,'Data 2'!$A$1:$F$1,0),0)</f>
        <v>Kg</v>
      </c>
      <c r="J170" s="39">
        <f>VLOOKUP('Data 1'!$B170,'Data 2'!$A$1:$F$46,MATCH('Data 1'!J$1,'Data 2'!$A$1:$F$1,0),0)</f>
        <v>75</v>
      </c>
      <c r="K170" s="39">
        <f>VLOOKUP('Data 1'!$B170,'Data 2'!$A$1:$F$46,MATCH('Data 1'!K$1,'Data 2'!$A$1:$F$1,0),0)</f>
        <v>85.5</v>
      </c>
      <c r="L170" s="40">
        <f>SUM('Data 1'!$J170*'Data 1'!$C170)</f>
        <v>450</v>
      </c>
      <c r="M170" s="40">
        <f>'Data 1'!$C170*'Data 1'!$K170</f>
        <v>513</v>
      </c>
      <c r="N170" s="40">
        <f>'Data 1'!$M170-'Data 1'!$L170</f>
        <v>63</v>
      </c>
      <c r="O170" s="37">
        <f>DAY('Data 1'!$A170)</f>
        <v>10</v>
      </c>
      <c r="P170" s="37" t="str">
        <f>TEXT('Data 1'!$A170,"mmm")</f>
        <v>Aug</v>
      </c>
      <c r="Q170" s="41">
        <f>YEAR('Data 1'!$A170)</f>
        <v>2021</v>
      </c>
    </row>
    <row r="171" spans="1:17" x14ac:dyDescent="0.3">
      <c r="A171" s="35">
        <v>44419</v>
      </c>
      <c r="B171" s="36" t="s">
        <v>31</v>
      </c>
      <c r="C171" s="37">
        <v>4</v>
      </c>
      <c r="D171" s="37" t="s">
        <v>21</v>
      </c>
      <c r="E171" s="37" t="s">
        <v>17</v>
      </c>
      <c r="F171" s="38">
        <v>0</v>
      </c>
      <c r="G171" s="42" t="str">
        <f>VLOOKUP('Data 1'!$B171,'Data 2'!$A$1:$F$46,MATCH('Data 1'!G$1,'Data 2'!$A$1:$F$1,0),0)</f>
        <v>Product23</v>
      </c>
      <c r="H171" s="42" t="str">
        <f>VLOOKUP('Data 1'!$B171,'Data 2'!$A$1:$F$46,MATCH('Data 1'!H$1,'Data 2'!$A$1:$F$1,0),0)</f>
        <v>Category03</v>
      </c>
      <c r="I171" s="42" t="str">
        <f>VLOOKUP('Data 1'!$B171,'Data 2'!$A$1:$F$46,MATCH('Data 1'!I$1,'Data 2'!$A$1:$F$1,0),0)</f>
        <v>Ft</v>
      </c>
      <c r="J171" s="42">
        <f>VLOOKUP('Data 1'!$B171,'Data 2'!$A$1:$F$46,MATCH('Data 1'!J$1,'Data 2'!$A$1:$F$1,0),0)</f>
        <v>141</v>
      </c>
      <c r="K171" s="42">
        <f>VLOOKUP('Data 1'!$B171,'Data 2'!$A$1:$F$46,MATCH('Data 1'!K$1,'Data 2'!$A$1:$F$1,0),0)</f>
        <v>149.46</v>
      </c>
      <c r="L171" s="40">
        <f>SUM('Data 1'!$J171*'Data 1'!$C171)</f>
        <v>564</v>
      </c>
      <c r="M171" s="40">
        <f>'Data 1'!$C171*'Data 1'!$K171</f>
        <v>597.84</v>
      </c>
      <c r="N171" s="40">
        <f>'Data 1'!$M171-'Data 1'!$L171</f>
        <v>33.840000000000032</v>
      </c>
      <c r="O171" s="37">
        <f>DAY('Data 1'!$A171)</f>
        <v>11</v>
      </c>
      <c r="P171" s="37" t="str">
        <f>TEXT('Data 1'!$A171,"mmm")</f>
        <v>Aug</v>
      </c>
      <c r="Q171" s="41">
        <f>YEAR('Data 1'!$A171)</f>
        <v>2021</v>
      </c>
    </row>
    <row r="172" spans="1:17" x14ac:dyDescent="0.3">
      <c r="A172" s="35">
        <v>44421</v>
      </c>
      <c r="B172" s="36" t="s">
        <v>50</v>
      </c>
      <c r="C172" s="37">
        <v>13</v>
      </c>
      <c r="D172" s="37" t="s">
        <v>21</v>
      </c>
      <c r="E172" s="37" t="s">
        <v>17</v>
      </c>
      <c r="F172" s="38">
        <v>0</v>
      </c>
      <c r="G172" s="39" t="str">
        <f>VLOOKUP('Data 1'!$B172,'Data 2'!$A$1:$F$46,MATCH('Data 1'!G$1,'Data 2'!$A$1:$F$1,0),0)</f>
        <v>Product11</v>
      </c>
      <c r="H172" s="39" t="str">
        <f>VLOOKUP('Data 1'!$B172,'Data 2'!$A$1:$F$46,MATCH('Data 1'!H$1,'Data 2'!$A$1:$F$1,0),0)</f>
        <v>Category02</v>
      </c>
      <c r="I172" s="39" t="str">
        <f>VLOOKUP('Data 1'!$B172,'Data 2'!$A$1:$F$46,MATCH('Data 1'!I$1,'Data 2'!$A$1:$F$1,0),0)</f>
        <v>Lt</v>
      </c>
      <c r="J172" s="39">
        <f>VLOOKUP('Data 1'!$B172,'Data 2'!$A$1:$F$46,MATCH('Data 1'!J$1,'Data 2'!$A$1:$F$1,0),0)</f>
        <v>44</v>
      </c>
      <c r="K172" s="39">
        <f>VLOOKUP('Data 1'!$B172,'Data 2'!$A$1:$F$46,MATCH('Data 1'!K$1,'Data 2'!$A$1:$F$1,0),0)</f>
        <v>48.4</v>
      </c>
      <c r="L172" s="40">
        <f>SUM('Data 1'!$J172*'Data 1'!$C172)</f>
        <v>572</v>
      </c>
      <c r="M172" s="40">
        <f>'Data 1'!$C172*'Data 1'!$K172</f>
        <v>629.19999999999993</v>
      </c>
      <c r="N172" s="40">
        <f>'Data 1'!$M172-'Data 1'!$L172</f>
        <v>57.199999999999932</v>
      </c>
      <c r="O172" s="37">
        <f>DAY('Data 1'!$A172)</f>
        <v>13</v>
      </c>
      <c r="P172" s="37" t="str">
        <f>TEXT('Data 1'!$A172,"mmm")</f>
        <v>Aug</v>
      </c>
      <c r="Q172" s="41">
        <f>YEAR('Data 1'!$A172)</f>
        <v>2021</v>
      </c>
    </row>
    <row r="173" spans="1:17" x14ac:dyDescent="0.3">
      <c r="A173" s="35">
        <v>44421</v>
      </c>
      <c r="B173" s="36" t="s">
        <v>45</v>
      </c>
      <c r="C173" s="37">
        <v>9</v>
      </c>
      <c r="D173" s="37" t="s">
        <v>21</v>
      </c>
      <c r="E173" s="37" t="s">
        <v>17</v>
      </c>
      <c r="F173" s="38">
        <v>0</v>
      </c>
      <c r="G173" s="42" t="str">
        <f>VLOOKUP('Data 1'!$B173,'Data 2'!$A$1:$F$46,MATCH('Data 1'!G$1,'Data 2'!$A$1:$F$1,0),0)</f>
        <v>Product27</v>
      </c>
      <c r="H173" s="42" t="str">
        <f>VLOOKUP('Data 1'!$B173,'Data 2'!$A$1:$F$46,MATCH('Data 1'!H$1,'Data 2'!$A$1:$F$1,0),0)</f>
        <v>Category04</v>
      </c>
      <c r="I173" s="42" t="str">
        <f>VLOOKUP('Data 1'!$B173,'Data 2'!$A$1:$F$46,MATCH('Data 1'!I$1,'Data 2'!$A$1:$F$1,0),0)</f>
        <v>Lt</v>
      </c>
      <c r="J173" s="42">
        <f>VLOOKUP('Data 1'!$B173,'Data 2'!$A$1:$F$46,MATCH('Data 1'!J$1,'Data 2'!$A$1:$F$1,0),0)</f>
        <v>48</v>
      </c>
      <c r="K173" s="42">
        <f>VLOOKUP('Data 1'!$B173,'Data 2'!$A$1:$F$46,MATCH('Data 1'!K$1,'Data 2'!$A$1:$F$1,0),0)</f>
        <v>57.120000000000005</v>
      </c>
      <c r="L173" s="40">
        <f>SUM('Data 1'!$J173*'Data 1'!$C173)</f>
        <v>432</v>
      </c>
      <c r="M173" s="40">
        <f>'Data 1'!$C173*'Data 1'!$K173</f>
        <v>514.08000000000004</v>
      </c>
      <c r="N173" s="40">
        <f>'Data 1'!$M173-'Data 1'!$L173</f>
        <v>82.080000000000041</v>
      </c>
      <c r="O173" s="37">
        <f>DAY('Data 1'!$A173)</f>
        <v>13</v>
      </c>
      <c r="P173" s="37" t="str">
        <f>TEXT('Data 1'!$A173,"mmm")</f>
        <v>Aug</v>
      </c>
      <c r="Q173" s="41">
        <f>YEAR('Data 1'!$A173)</f>
        <v>2021</v>
      </c>
    </row>
    <row r="174" spans="1:17" x14ac:dyDescent="0.3">
      <c r="A174" s="35">
        <v>44424</v>
      </c>
      <c r="B174" s="36" t="s">
        <v>25</v>
      </c>
      <c r="C174" s="37">
        <v>3</v>
      </c>
      <c r="D174" s="37" t="s">
        <v>17</v>
      </c>
      <c r="E174" s="37" t="s">
        <v>17</v>
      </c>
      <c r="F174" s="38">
        <v>0</v>
      </c>
      <c r="G174" s="39" t="str">
        <f>VLOOKUP('Data 1'!$B174,'Data 2'!$A$1:$F$46,MATCH('Data 1'!G$1,'Data 2'!$A$1:$F$1,0),0)</f>
        <v>Product03</v>
      </c>
      <c r="H174" s="39" t="str">
        <f>VLOOKUP('Data 1'!$B174,'Data 2'!$A$1:$F$46,MATCH('Data 1'!H$1,'Data 2'!$A$1:$F$1,0),0)</f>
        <v>Category01</v>
      </c>
      <c r="I174" s="39" t="str">
        <f>VLOOKUP('Data 1'!$B174,'Data 2'!$A$1:$F$46,MATCH('Data 1'!I$1,'Data 2'!$A$1:$F$1,0),0)</f>
        <v>Kg</v>
      </c>
      <c r="J174" s="39">
        <f>VLOOKUP('Data 1'!$B174,'Data 2'!$A$1:$F$46,MATCH('Data 1'!J$1,'Data 2'!$A$1:$F$1,0),0)</f>
        <v>71</v>
      </c>
      <c r="K174" s="39">
        <f>VLOOKUP('Data 1'!$B174,'Data 2'!$A$1:$F$46,MATCH('Data 1'!K$1,'Data 2'!$A$1:$F$1,0),0)</f>
        <v>80.94</v>
      </c>
      <c r="L174" s="40">
        <f>SUM('Data 1'!$J174*'Data 1'!$C174)</f>
        <v>213</v>
      </c>
      <c r="M174" s="40">
        <f>'Data 1'!$C174*'Data 1'!$K174</f>
        <v>242.82</v>
      </c>
      <c r="N174" s="40">
        <f>'Data 1'!$M174-'Data 1'!$L174</f>
        <v>29.819999999999993</v>
      </c>
      <c r="O174" s="37">
        <f>DAY('Data 1'!$A174)</f>
        <v>16</v>
      </c>
      <c r="P174" s="37" t="str">
        <f>TEXT('Data 1'!$A174,"mmm")</f>
        <v>Aug</v>
      </c>
      <c r="Q174" s="41">
        <f>YEAR('Data 1'!$A174)</f>
        <v>2021</v>
      </c>
    </row>
    <row r="175" spans="1:17" x14ac:dyDescent="0.3">
      <c r="A175" s="35">
        <v>44426</v>
      </c>
      <c r="B175" s="36" t="s">
        <v>26</v>
      </c>
      <c r="C175" s="37">
        <v>6</v>
      </c>
      <c r="D175" s="37" t="s">
        <v>21</v>
      </c>
      <c r="E175" s="37" t="s">
        <v>17</v>
      </c>
      <c r="F175" s="38">
        <v>0</v>
      </c>
      <c r="G175" s="42" t="str">
        <f>VLOOKUP('Data 1'!$B175,'Data 2'!$A$1:$F$46,MATCH('Data 1'!G$1,'Data 2'!$A$1:$F$1,0),0)</f>
        <v>Product25</v>
      </c>
      <c r="H175" s="42" t="str">
        <f>VLOOKUP('Data 1'!$B175,'Data 2'!$A$1:$F$46,MATCH('Data 1'!H$1,'Data 2'!$A$1:$F$1,0),0)</f>
        <v>Category03</v>
      </c>
      <c r="I175" s="42" t="str">
        <f>VLOOKUP('Data 1'!$B175,'Data 2'!$A$1:$F$46,MATCH('Data 1'!I$1,'Data 2'!$A$1:$F$1,0),0)</f>
        <v>No.</v>
      </c>
      <c r="J175" s="42">
        <f>VLOOKUP('Data 1'!$B175,'Data 2'!$A$1:$F$46,MATCH('Data 1'!J$1,'Data 2'!$A$1:$F$1,0),0)</f>
        <v>7</v>
      </c>
      <c r="K175" s="42">
        <f>VLOOKUP('Data 1'!$B175,'Data 2'!$A$1:$F$46,MATCH('Data 1'!K$1,'Data 2'!$A$1:$F$1,0),0)</f>
        <v>8.33</v>
      </c>
      <c r="L175" s="40">
        <f>SUM('Data 1'!$J175*'Data 1'!$C175)</f>
        <v>42</v>
      </c>
      <c r="M175" s="40">
        <f>'Data 1'!$C175*'Data 1'!$K175</f>
        <v>49.980000000000004</v>
      </c>
      <c r="N175" s="40">
        <f>'Data 1'!$M175-'Data 1'!$L175</f>
        <v>7.980000000000004</v>
      </c>
      <c r="O175" s="37">
        <f>DAY('Data 1'!$A175)</f>
        <v>18</v>
      </c>
      <c r="P175" s="37" t="str">
        <f>TEXT('Data 1'!$A175,"mmm")</f>
        <v>Aug</v>
      </c>
      <c r="Q175" s="41">
        <f>YEAR('Data 1'!$A175)</f>
        <v>2021</v>
      </c>
    </row>
    <row r="176" spans="1:17" x14ac:dyDescent="0.3">
      <c r="A176" s="35">
        <v>44428</v>
      </c>
      <c r="B176" s="36" t="s">
        <v>33</v>
      </c>
      <c r="C176" s="37">
        <v>15</v>
      </c>
      <c r="D176" s="37" t="s">
        <v>21</v>
      </c>
      <c r="E176" s="37" t="s">
        <v>19</v>
      </c>
      <c r="F176" s="38">
        <v>0</v>
      </c>
      <c r="G176" s="39" t="str">
        <f>VLOOKUP('Data 1'!$B176,'Data 2'!$A$1:$F$46,MATCH('Data 1'!G$1,'Data 2'!$A$1:$F$1,0),0)</f>
        <v>Product20</v>
      </c>
      <c r="H176" s="39" t="str">
        <f>VLOOKUP('Data 1'!$B176,'Data 2'!$A$1:$F$46,MATCH('Data 1'!H$1,'Data 2'!$A$1:$F$1,0),0)</f>
        <v>Category03</v>
      </c>
      <c r="I176" s="39" t="str">
        <f>VLOOKUP('Data 1'!$B176,'Data 2'!$A$1:$F$46,MATCH('Data 1'!I$1,'Data 2'!$A$1:$F$1,0),0)</f>
        <v>Lt</v>
      </c>
      <c r="J176" s="39">
        <f>VLOOKUP('Data 1'!$B176,'Data 2'!$A$1:$F$46,MATCH('Data 1'!J$1,'Data 2'!$A$1:$F$1,0),0)</f>
        <v>61</v>
      </c>
      <c r="K176" s="39">
        <f>VLOOKUP('Data 1'!$B176,'Data 2'!$A$1:$F$46,MATCH('Data 1'!K$1,'Data 2'!$A$1:$F$1,0),0)</f>
        <v>76.25</v>
      </c>
      <c r="L176" s="40">
        <f>SUM('Data 1'!$J176*'Data 1'!$C176)</f>
        <v>915</v>
      </c>
      <c r="M176" s="40">
        <f>'Data 1'!$C176*'Data 1'!$K176</f>
        <v>1143.75</v>
      </c>
      <c r="N176" s="40">
        <f>'Data 1'!$M176-'Data 1'!$L176</f>
        <v>228.75</v>
      </c>
      <c r="O176" s="37">
        <f>DAY('Data 1'!$A176)</f>
        <v>20</v>
      </c>
      <c r="P176" s="37" t="str">
        <f>TEXT('Data 1'!$A176,"mmm")</f>
        <v>Aug</v>
      </c>
      <c r="Q176" s="41">
        <f>YEAR('Data 1'!$A176)</f>
        <v>2021</v>
      </c>
    </row>
    <row r="177" spans="1:17" x14ac:dyDescent="0.3">
      <c r="A177" s="35">
        <v>44428</v>
      </c>
      <c r="B177" s="36" t="s">
        <v>24</v>
      </c>
      <c r="C177" s="37">
        <v>9</v>
      </c>
      <c r="D177" s="37" t="s">
        <v>21</v>
      </c>
      <c r="E177" s="37" t="s">
        <v>17</v>
      </c>
      <c r="F177" s="38">
        <v>0</v>
      </c>
      <c r="G177" s="42" t="str">
        <f>VLOOKUP('Data 1'!$B177,'Data 2'!$A$1:$F$46,MATCH('Data 1'!G$1,'Data 2'!$A$1:$F$1,0),0)</f>
        <v>Product31</v>
      </c>
      <c r="H177" s="42" t="str">
        <f>VLOOKUP('Data 1'!$B177,'Data 2'!$A$1:$F$46,MATCH('Data 1'!H$1,'Data 2'!$A$1:$F$1,0),0)</f>
        <v>Category04</v>
      </c>
      <c r="I177" s="42" t="str">
        <f>VLOOKUP('Data 1'!$B177,'Data 2'!$A$1:$F$46,MATCH('Data 1'!I$1,'Data 2'!$A$1:$F$1,0),0)</f>
        <v>Kg</v>
      </c>
      <c r="J177" s="42">
        <f>VLOOKUP('Data 1'!$B177,'Data 2'!$A$1:$F$46,MATCH('Data 1'!J$1,'Data 2'!$A$1:$F$1,0),0)</f>
        <v>93</v>
      </c>
      <c r="K177" s="42">
        <f>VLOOKUP('Data 1'!$B177,'Data 2'!$A$1:$F$46,MATCH('Data 1'!K$1,'Data 2'!$A$1:$F$1,0),0)</f>
        <v>104.16</v>
      </c>
      <c r="L177" s="40">
        <f>SUM('Data 1'!$J177*'Data 1'!$C177)</f>
        <v>837</v>
      </c>
      <c r="M177" s="40">
        <f>'Data 1'!$C177*'Data 1'!$K177</f>
        <v>937.43999999999994</v>
      </c>
      <c r="N177" s="40">
        <f>'Data 1'!$M177-'Data 1'!$L177</f>
        <v>100.43999999999994</v>
      </c>
      <c r="O177" s="37">
        <f>DAY('Data 1'!$A177)</f>
        <v>20</v>
      </c>
      <c r="P177" s="37" t="str">
        <f>TEXT('Data 1'!$A177,"mmm")</f>
        <v>Aug</v>
      </c>
      <c r="Q177" s="41">
        <f>YEAR('Data 1'!$A177)</f>
        <v>2021</v>
      </c>
    </row>
    <row r="178" spans="1:17" x14ac:dyDescent="0.3">
      <c r="A178" s="35">
        <v>44428</v>
      </c>
      <c r="B178" s="36" t="s">
        <v>52</v>
      </c>
      <c r="C178" s="37">
        <v>13</v>
      </c>
      <c r="D178" s="37" t="s">
        <v>21</v>
      </c>
      <c r="E178" s="37" t="s">
        <v>17</v>
      </c>
      <c r="F178" s="38">
        <v>0</v>
      </c>
      <c r="G178" s="39" t="str">
        <f>VLOOKUP('Data 1'!$B178,'Data 2'!$A$1:$F$46,MATCH('Data 1'!G$1,'Data 2'!$A$1:$F$1,0),0)</f>
        <v>Product28</v>
      </c>
      <c r="H178" s="39" t="str">
        <f>VLOOKUP('Data 1'!$B178,'Data 2'!$A$1:$F$46,MATCH('Data 1'!H$1,'Data 2'!$A$1:$F$1,0),0)</f>
        <v>Category04</v>
      </c>
      <c r="I178" s="39" t="str">
        <f>VLOOKUP('Data 1'!$B178,'Data 2'!$A$1:$F$46,MATCH('Data 1'!I$1,'Data 2'!$A$1:$F$1,0),0)</f>
        <v>No.</v>
      </c>
      <c r="J178" s="39">
        <f>VLOOKUP('Data 1'!$B178,'Data 2'!$A$1:$F$46,MATCH('Data 1'!J$1,'Data 2'!$A$1:$F$1,0),0)</f>
        <v>37</v>
      </c>
      <c r="K178" s="39">
        <f>VLOOKUP('Data 1'!$B178,'Data 2'!$A$1:$F$46,MATCH('Data 1'!K$1,'Data 2'!$A$1:$F$1,0),0)</f>
        <v>41.81</v>
      </c>
      <c r="L178" s="40">
        <f>SUM('Data 1'!$J178*'Data 1'!$C178)</f>
        <v>481</v>
      </c>
      <c r="M178" s="40">
        <f>'Data 1'!$C178*'Data 1'!$K178</f>
        <v>543.53</v>
      </c>
      <c r="N178" s="40">
        <f>'Data 1'!$M178-'Data 1'!$L178</f>
        <v>62.529999999999973</v>
      </c>
      <c r="O178" s="37">
        <f>DAY('Data 1'!$A178)</f>
        <v>20</v>
      </c>
      <c r="P178" s="37" t="str">
        <f>TEXT('Data 1'!$A178,"mmm")</f>
        <v>Aug</v>
      </c>
      <c r="Q178" s="41">
        <f>YEAR('Data 1'!$A178)</f>
        <v>2021</v>
      </c>
    </row>
    <row r="179" spans="1:17" x14ac:dyDescent="0.3">
      <c r="A179" s="35">
        <v>44434</v>
      </c>
      <c r="B179" s="36" t="s">
        <v>53</v>
      </c>
      <c r="C179" s="37">
        <v>4</v>
      </c>
      <c r="D179" s="37" t="s">
        <v>21</v>
      </c>
      <c r="E179" s="37" t="s">
        <v>17</v>
      </c>
      <c r="F179" s="38">
        <v>0</v>
      </c>
      <c r="G179" s="42" t="str">
        <f>VLOOKUP('Data 1'!$B179,'Data 2'!$A$1:$F$46,MATCH('Data 1'!G$1,'Data 2'!$A$1:$F$1,0),0)</f>
        <v>Product39</v>
      </c>
      <c r="H179" s="42" t="str">
        <f>VLOOKUP('Data 1'!$B179,'Data 2'!$A$1:$F$46,MATCH('Data 1'!H$1,'Data 2'!$A$1:$F$1,0),0)</f>
        <v>Category05</v>
      </c>
      <c r="I179" s="42" t="str">
        <f>VLOOKUP('Data 1'!$B179,'Data 2'!$A$1:$F$46,MATCH('Data 1'!I$1,'Data 2'!$A$1:$F$1,0),0)</f>
        <v>No.</v>
      </c>
      <c r="J179" s="42">
        <f>VLOOKUP('Data 1'!$B179,'Data 2'!$A$1:$F$46,MATCH('Data 1'!J$1,'Data 2'!$A$1:$F$1,0),0)</f>
        <v>37</v>
      </c>
      <c r="K179" s="42">
        <f>VLOOKUP('Data 1'!$B179,'Data 2'!$A$1:$F$46,MATCH('Data 1'!K$1,'Data 2'!$A$1:$F$1,0),0)</f>
        <v>42.55</v>
      </c>
      <c r="L179" s="40">
        <f>SUM('Data 1'!$J179*'Data 1'!$C179)</f>
        <v>148</v>
      </c>
      <c r="M179" s="40">
        <f>'Data 1'!$C179*'Data 1'!$K179</f>
        <v>170.2</v>
      </c>
      <c r="N179" s="40">
        <f>'Data 1'!$M179-'Data 1'!$L179</f>
        <v>22.199999999999989</v>
      </c>
      <c r="O179" s="37">
        <f>DAY('Data 1'!$A179)</f>
        <v>26</v>
      </c>
      <c r="P179" s="37" t="str">
        <f>TEXT('Data 1'!$A179,"mmm")</f>
        <v>Aug</v>
      </c>
      <c r="Q179" s="41">
        <f>YEAR('Data 1'!$A179)</f>
        <v>2021</v>
      </c>
    </row>
    <row r="180" spans="1:17" x14ac:dyDescent="0.3">
      <c r="A180" s="35">
        <v>44437</v>
      </c>
      <c r="B180" s="36" t="s">
        <v>32</v>
      </c>
      <c r="C180" s="37">
        <v>12</v>
      </c>
      <c r="D180" s="37" t="s">
        <v>16</v>
      </c>
      <c r="E180" s="37" t="s">
        <v>17</v>
      </c>
      <c r="F180" s="38">
        <v>0</v>
      </c>
      <c r="G180" s="39" t="str">
        <f>VLOOKUP('Data 1'!$B180,'Data 2'!$A$1:$F$46,MATCH('Data 1'!G$1,'Data 2'!$A$1:$F$1,0),0)</f>
        <v>Product34</v>
      </c>
      <c r="H180" s="39" t="str">
        <f>VLOOKUP('Data 1'!$B180,'Data 2'!$A$1:$F$46,MATCH('Data 1'!H$1,'Data 2'!$A$1:$F$1,0),0)</f>
        <v>Category04</v>
      </c>
      <c r="I180" s="39" t="str">
        <f>VLOOKUP('Data 1'!$B180,'Data 2'!$A$1:$F$46,MATCH('Data 1'!I$1,'Data 2'!$A$1:$F$1,0),0)</f>
        <v>Lt</v>
      </c>
      <c r="J180" s="39">
        <f>VLOOKUP('Data 1'!$B180,'Data 2'!$A$1:$F$46,MATCH('Data 1'!J$1,'Data 2'!$A$1:$F$1,0),0)</f>
        <v>55</v>
      </c>
      <c r="K180" s="39">
        <f>VLOOKUP('Data 1'!$B180,'Data 2'!$A$1:$F$46,MATCH('Data 1'!K$1,'Data 2'!$A$1:$F$1,0),0)</f>
        <v>58.3</v>
      </c>
      <c r="L180" s="40">
        <f>SUM('Data 1'!$J180*'Data 1'!$C180)</f>
        <v>660</v>
      </c>
      <c r="M180" s="40">
        <f>'Data 1'!$C180*'Data 1'!$K180</f>
        <v>699.59999999999991</v>
      </c>
      <c r="N180" s="40">
        <f>'Data 1'!$M180-'Data 1'!$L180</f>
        <v>39.599999999999909</v>
      </c>
      <c r="O180" s="37">
        <f>DAY('Data 1'!$A180)</f>
        <v>29</v>
      </c>
      <c r="P180" s="37" t="str">
        <f>TEXT('Data 1'!$A180,"mmm")</f>
        <v>Aug</v>
      </c>
      <c r="Q180" s="41">
        <f>YEAR('Data 1'!$A180)</f>
        <v>2021</v>
      </c>
    </row>
    <row r="181" spans="1:17" x14ac:dyDescent="0.3">
      <c r="A181" s="35">
        <v>44438</v>
      </c>
      <c r="B181" s="36" t="s">
        <v>20</v>
      </c>
      <c r="C181" s="37">
        <v>13</v>
      </c>
      <c r="D181" s="37" t="s">
        <v>21</v>
      </c>
      <c r="E181" s="37" t="s">
        <v>17</v>
      </c>
      <c r="F181" s="38">
        <v>0</v>
      </c>
      <c r="G181" s="42" t="str">
        <f>VLOOKUP('Data 1'!$B181,'Data 2'!$A$1:$F$46,MATCH('Data 1'!G$1,'Data 2'!$A$1:$F$1,0),0)</f>
        <v>Product13</v>
      </c>
      <c r="H181" s="42" t="str">
        <f>VLOOKUP('Data 1'!$B181,'Data 2'!$A$1:$F$46,MATCH('Data 1'!H$1,'Data 2'!$A$1:$F$1,0),0)</f>
        <v>Category02</v>
      </c>
      <c r="I181" s="42" t="str">
        <f>VLOOKUP('Data 1'!$B181,'Data 2'!$A$1:$F$46,MATCH('Data 1'!I$1,'Data 2'!$A$1:$F$1,0),0)</f>
        <v>Kg</v>
      </c>
      <c r="J181" s="42">
        <f>VLOOKUP('Data 1'!$B181,'Data 2'!$A$1:$F$46,MATCH('Data 1'!J$1,'Data 2'!$A$1:$F$1,0),0)</f>
        <v>112</v>
      </c>
      <c r="K181" s="42">
        <f>VLOOKUP('Data 1'!$B181,'Data 2'!$A$1:$F$46,MATCH('Data 1'!K$1,'Data 2'!$A$1:$F$1,0),0)</f>
        <v>122.08</v>
      </c>
      <c r="L181" s="40">
        <f>SUM('Data 1'!$J181*'Data 1'!$C181)</f>
        <v>1456</v>
      </c>
      <c r="M181" s="40">
        <f>'Data 1'!$C181*'Data 1'!$K181</f>
        <v>1587.04</v>
      </c>
      <c r="N181" s="40">
        <f>'Data 1'!$M181-'Data 1'!$L181</f>
        <v>131.03999999999996</v>
      </c>
      <c r="O181" s="37">
        <f>DAY('Data 1'!$A181)</f>
        <v>30</v>
      </c>
      <c r="P181" s="37" t="str">
        <f>TEXT('Data 1'!$A181,"mmm")</f>
        <v>Aug</v>
      </c>
      <c r="Q181" s="41">
        <f>YEAR('Data 1'!$A181)</f>
        <v>2021</v>
      </c>
    </row>
    <row r="182" spans="1:17" x14ac:dyDescent="0.3">
      <c r="A182" s="35">
        <v>44439</v>
      </c>
      <c r="B182" s="36" t="s">
        <v>35</v>
      </c>
      <c r="C182" s="37">
        <v>2</v>
      </c>
      <c r="D182" s="37" t="s">
        <v>21</v>
      </c>
      <c r="E182" s="37" t="s">
        <v>17</v>
      </c>
      <c r="F182" s="38">
        <v>0</v>
      </c>
      <c r="G182" s="39" t="str">
        <f>VLOOKUP('Data 1'!$B182,'Data 2'!$A$1:$F$46,MATCH('Data 1'!G$1,'Data 2'!$A$1:$F$1,0),0)</f>
        <v>Product01</v>
      </c>
      <c r="H182" s="39" t="str">
        <f>VLOOKUP('Data 1'!$B182,'Data 2'!$A$1:$F$46,MATCH('Data 1'!H$1,'Data 2'!$A$1:$F$1,0),0)</f>
        <v>Category01</v>
      </c>
      <c r="I182" s="39" t="str">
        <f>VLOOKUP('Data 1'!$B182,'Data 2'!$A$1:$F$46,MATCH('Data 1'!I$1,'Data 2'!$A$1:$F$1,0),0)</f>
        <v>Kg</v>
      </c>
      <c r="J182" s="39">
        <f>VLOOKUP('Data 1'!$B182,'Data 2'!$A$1:$F$46,MATCH('Data 1'!J$1,'Data 2'!$A$1:$F$1,0),0)</f>
        <v>98</v>
      </c>
      <c r="K182" s="39">
        <f>VLOOKUP('Data 1'!$B182,'Data 2'!$A$1:$F$46,MATCH('Data 1'!K$1,'Data 2'!$A$1:$F$1,0),0)</f>
        <v>103.88</v>
      </c>
      <c r="L182" s="40">
        <f>SUM('Data 1'!$J182*'Data 1'!$C182)</f>
        <v>196</v>
      </c>
      <c r="M182" s="40">
        <f>'Data 1'!$C182*'Data 1'!$K182</f>
        <v>207.76</v>
      </c>
      <c r="N182" s="40">
        <f>'Data 1'!$M182-'Data 1'!$L182</f>
        <v>11.759999999999991</v>
      </c>
      <c r="O182" s="37">
        <f>DAY('Data 1'!$A182)</f>
        <v>31</v>
      </c>
      <c r="P182" s="37" t="str">
        <f>TEXT('Data 1'!$A182,"mmm")</f>
        <v>Aug</v>
      </c>
      <c r="Q182" s="41">
        <f>YEAR('Data 1'!$A182)</f>
        <v>2021</v>
      </c>
    </row>
    <row r="183" spans="1:17" x14ac:dyDescent="0.3">
      <c r="A183" s="35">
        <v>44439</v>
      </c>
      <c r="B183" s="36" t="s">
        <v>23</v>
      </c>
      <c r="C183" s="37">
        <v>11</v>
      </c>
      <c r="D183" s="37" t="s">
        <v>21</v>
      </c>
      <c r="E183" s="37" t="s">
        <v>17</v>
      </c>
      <c r="F183" s="38">
        <v>0</v>
      </c>
      <c r="G183" s="42" t="str">
        <f>VLOOKUP('Data 1'!$B183,'Data 2'!$A$1:$F$46,MATCH('Data 1'!G$1,'Data 2'!$A$1:$F$1,0),0)</f>
        <v>Product35</v>
      </c>
      <c r="H183" s="42" t="str">
        <f>VLOOKUP('Data 1'!$B183,'Data 2'!$A$1:$F$46,MATCH('Data 1'!H$1,'Data 2'!$A$1:$F$1,0),0)</f>
        <v>Category04</v>
      </c>
      <c r="I183" s="42" t="str">
        <f>VLOOKUP('Data 1'!$B183,'Data 2'!$A$1:$F$46,MATCH('Data 1'!I$1,'Data 2'!$A$1:$F$1,0),0)</f>
        <v>No.</v>
      </c>
      <c r="J183" s="42">
        <f>VLOOKUP('Data 1'!$B183,'Data 2'!$A$1:$F$46,MATCH('Data 1'!J$1,'Data 2'!$A$1:$F$1,0),0)</f>
        <v>5</v>
      </c>
      <c r="K183" s="42">
        <f>VLOOKUP('Data 1'!$B183,'Data 2'!$A$1:$F$46,MATCH('Data 1'!K$1,'Data 2'!$A$1:$F$1,0),0)</f>
        <v>6.7</v>
      </c>
      <c r="L183" s="40">
        <f>SUM('Data 1'!$J183*'Data 1'!$C183)</f>
        <v>55</v>
      </c>
      <c r="M183" s="40">
        <f>'Data 1'!$C183*'Data 1'!$K183</f>
        <v>73.7</v>
      </c>
      <c r="N183" s="40">
        <f>'Data 1'!$M183-'Data 1'!$L183</f>
        <v>18.700000000000003</v>
      </c>
      <c r="O183" s="37">
        <f>DAY('Data 1'!$A183)</f>
        <v>31</v>
      </c>
      <c r="P183" s="37" t="str">
        <f>TEXT('Data 1'!$A183,"mmm")</f>
        <v>Aug</v>
      </c>
      <c r="Q183" s="41">
        <f>YEAR('Data 1'!$A183)</f>
        <v>2021</v>
      </c>
    </row>
    <row r="184" spans="1:17" x14ac:dyDescent="0.3">
      <c r="A184" s="35">
        <v>44440</v>
      </c>
      <c r="B184" s="36" t="s">
        <v>15</v>
      </c>
      <c r="C184" s="37">
        <v>1</v>
      </c>
      <c r="D184" s="37" t="s">
        <v>16</v>
      </c>
      <c r="E184" s="37" t="s">
        <v>19</v>
      </c>
      <c r="F184" s="38">
        <v>0</v>
      </c>
      <c r="G184" s="39" t="str">
        <f>VLOOKUP('Data 1'!$B184,'Data 2'!$A$1:$F$46,MATCH('Data 1'!G$1,'Data 2'!$A$1:$F$1,0),0)</f>
        <v>Product24</v>
      </c>
      <c r="H184" s="39" t="str">
        <f>VLOOKUP('Data 1'!$B184,'Data 2'!$A$1:$F$46,MATCH('Data 1'!H$1,'Data 2'!$A$1:$F$1,0),0)</f>
        <v>Category03</v>
      </c>
      <c r="I184" s="39" t="str">
        <f>VLOOKUP('Data 1'!$B184,'Data 2'!$A$1:$F$46,MATCH('Data 1'!I$1,'Data 2'!$A$1:$F$1,0),0)</f>
        <v>Ft</v>
      </c>
      <c r="J184" s="39">
        <f>VLOOKUP('Data 1'!$B184,'Data 2'!$A$1:$F$46,MATCH('Data 1'!J$1,'Data 2'!$A$1:$F$1,0),0)</f>
        <v>144</v>
      </c>
      <c r="K184" s="39">
        <f>VLOOKUP('Data 1'!$B184,'Data 2'!$A$1:$F$46,MATCH('Data 1'!K$1,'Data 2'!$A$1:$F$1,0),0)</f>
        <v>156.96</v>
      </c>
      <c r="L184" s="40">
        <f>SUM('Data 1'!$J184*'Data 1'!$C184)</f>
        <v>144</v>
      </c>
      <c r="M184" s="40">
        <f>'Data 1'!$C184*'Data 1'!$K184</f>
        <v>156.96</v>
      </c>
      <c r="N184" s="40">
        <f>'Data 1'!$M184-'Data 1'!$L184</f>
        <v>12.960000000000008</v>
      </c>
      <c r="O184" s="37">
        <f>DAY('Data 1'!$A184)</f>
        <v>1</v>
      </c>
      <c r="P184" s="37" t="str">
        <f>TEXT('Data 1'!$A184,"mmm")</f>
        <v>Sep</v>
      </c>
      <c r="Q184" s="41">
        <f>YEAR('Data 1'!$A184)</f>
        <v>2021</v>
      </c>
    </row>
    <row r="185" spans="1:17" x14ac:dyDescent="0.3">
      <c r="A185" s="35">
        <v>44440</v>
      </c>
      <c r="B185" s="36" t="s">
        <v>25</v>
      </c>
      <c r="C185" s="37">
        <v>14</v>
      </c>
      <c r="D185" s="37" t="s">
        <v>17</v>
      </c>
      <c r="E185" s="37" t="s">
        <v>17</v>
      </c>
      <c r="F185" s="38">
        <v>0</v>
      </c>
      <c r="G185" s="42" t="str">
        <f>VLOOKUP('Data 1'!$B185,'Data 2'!$A$1:$F$46,MATCH('Data 1'!G$1,'Data 2'!$A$1:$F$1,0),0)</f>
        <v>Product03</v>
      </c>
      <c r="H185" s="42" t="str">
        <f>VLOOKUP('Data 1'!$B185,'Data 2'!$A$1:$F$46,MATCH('Data 1'!H$1,'Data 2'!$A$1:$F$1,0),0)</f>
        <v>Category01</v>
      </c>
      <c r="I185" s="42" t="str">
        <f>VLOOKUP('Data 1'!$B185,'Data 2'!$A$1:$F$46,MATCH('Data 1'!I$1,'Data 2'!$A$1:$F$1,0),0)</f>
        <v>Kg</v>
      </c>
      <c r="J185" s="42">
        <f>VLOOKUP('Data 1'!$B185,'Data 2'!$A$1:$F$46,MATCH('Data 1'!J$1,'Data 2'!$A$1:$F$1,0),0)</f>
        <v>71</v>
      </c>
      <c r="K185" s="42">
        <f>VLOOKUP('Data 1'!$B185,'Data 2'!$A$1:$F$46,MATCH('Data 1'!K$1,'Data 2'!$A$1:$F$1,0),0)</f>
        <v>80.94</v>
      </c>
      <c r="L185" s="40">
        <f>SUM('Data 1'!$J185*'Data 1'!$C185)</f>
        <v>994</v>
      </c>
      <c r="M185" s="40">
        <f>'Data 1'!$C185*'Data 1'!$K185</f>
        <v>1133.1599999999999</v>
      </c>
      <c r="N185" s="40">
        <f>'Data 1'!$M185-'Data 1'!$L185</f>
        <v>139.15999999999985</v>
      </c>
      <c r="O185" s="37">
        <f>DAY('Data 1'!$A185)</f>
        <v>1</v>
      </c>
      <c r="P185" s="37" t="str">
        <f>TEXT('Data 1'!$A185,"mmm")</f>
        <v>Sep</v>
      </c>
      <c r="Q185" s="41">
        <f>YEAR('Data 1'!$A185)</f>
        <v>2021</v>
      </c>
    </row>
    <row r="186" spans="1:17" x14ac:dyDescent="0.3">
      <c r="A186" s="35">
        <v>44442</v>
      </c>
      <c r="B186" s="36" t="s">
        <v>60</v>
      </c>
      <c r="C186" s="37">
        <v>8</v>
      </c>
      <c r="D186" s="37" t="s">
        <v>21</v>
      </c>
      <c r="E186" s="37" t="s">
        <v>17</v>
      </c>
      <c r="F186" s="38">
        <v>0</v>
      </c>
      <c r="G186" s="39" t="str">
        <f>VLOOKUP('Data 1'!$B186,'Data 2'!$A$1:$F$46,MATCH('Data 1'!G$1,'Data 2'!$A$1:$F$1,0),0)</f>
        <v>Product41</v>
      </c>
      <c r="H186" s="39" t="str">
        <f>VLOOKUP('Data 1'!$B186,'Data 2'!$A$1:$F$46,MATCH('Data 1'!H$1,'Data 2'!$A$1:$F$1,0),0)</f>
        <v>Category05</v>
      </c>
      <c r="I186" s="39" t="str">
        <f>VLOOKUP('Data 1'!$B186,'Data 2'!$A$1:$F$46,MATCH('Data 1'!I$1,'Data 2'!$A$1:$F$1,0),0)</f>
        <v>Ft</v>
      </c>
      <c r="J186" s="39">
        <f>VLOOKUP('Data 1'!$B186,'Data 2'!$A$1:$F$46,MATCH('Data 1'!J$1,'Data 2'!$A$1:$F$1,0),0)</f>
        <v>138</v>
      </c>
      <c r="K186" s="39">
        <f>VLOOKUP('Data 1'!$B186,'Data 2'!$A$1:$F$46,MATCH('Data 1'!K$1,'Data 2'!$A$1:$F$1,0),0)</f>
        <v>173.88</v>
      </c>
      <c r="L186" s="40">
        <f>SUM('Data 1'!$J186*'Data 1'!$C186)</f>
        <v>1104</v>
      </c>
      <c r="M186" s="40">
        <f>'Data 1'!$C186*'Data 1'!$K186</f>
        <v>1391.04</v>
      </c>
      <c r="N186" s="40">
        <f>'Data 1'!$M186-'Data 1'!$L186</f>
        <v>287.03999999999996</v>
      </c>
      <c r="O186" s="37">
        <f>DAY('Data 1'!$A186)</f>
        <v>3</v>
      </c>
      <c r="P186" s="37" t="str">
        <f>TEXT('Data 1'!$A186,"mmm")</f>
        <v>Sep</v>
      </c>
      <c r="Q186" s="41">
        <f>YEAR('Data 1'!$A186)</f>
        <v>2021</v>
      </c>
    </row>
    <row r="187" spans="1:17" x14ac:dyDescent="0.3">
      <c r="A187" s="35">
        <v>44443</v>
      </c>
      <c r="B187" s="36" t="s">
        <v>52</v>
      </c>
      <c r="C187" s="37">
        <v>7</v>
      </c>
      <c r="D187" s="37" t="s">
        <v>21</v>
      </c>
      <c r="E187" s="37" t="s">
        <v>17</v>
      </c>
      <c r="F187" s="38">
        <v>0</v>
      </c>
      <c r="G187" s="42" t="str">
        <f>VLOOKUP('Data 1'!$B187,'Data 2'!$A$1:$F$46,MATCH('Data 1'!G$1,'Data 2'!$A$1:$F$1,0),0)</f>
        <v>Product28</v>
      </c>
      <c r="H187" s="42" t="str">
        <f>VLOOKUP('Data 1'!$B187,'Data 2'!$A$1:$F$46,MATCH('Data 1'!H$1,'Data 2'!$A$1:$F$1,0),0)</f>
        <v>Category04</v>
      </c>
      <c r="I187" s="42" t="str">
        <f>VLOOKUP('Data 1'!$B187,'Data 2'!$A$1:$F$46,MATCH('Data 1'!I$1,'Data 2'!$A$1:$F$1,0),0)</f>
        <v>No.</v>
      </c>
      <c r="J187" s="42">
        <f>VLOOKUP('Data 1'!$B187,'Data 2'!$A$1:$F$46,MATCH('Data 1'!J$1,'Data 2'!$A$1:$F$1,0),0)</f>
        <v>37</v>
      </c>
      <c r="K187" s="42">
        <f>VLOOKUP('Data 1'!$B187,'Data 2'!$A$1:$F$46,MATCH('Data 1'!K$1,'Data 2'!$A$1:$F$1,0),0)</f>
        <v>41.81</v>
      </c>
      <c r="L187" s="40">
        <f>SUM('Data 1'!$J187*'Data 1'!$C187)</f>
        <v>259</v>
      </c>
      <c r="M187" s="40">
        <f>'Data 1'!$C187*'Data 1'!$K187</f>
        <v>292.67</v>
      </c>
      <c r="N187" s="40">
        <f>'Data 1'!$M187-'Data 1'!$L187</f>
        <v>33.670000000000016</v>
      </c>
      <c r="O187" s="37">
        <f>DAY('Data 1'!$A187)</f>
        <v>4</v>
      </c>
      <c r="P187" s="37" t="str">
        <f>TEXT('Data 1'!$A187,"mmm")</f>
        <v>Sep</v>
      </c>
      <c r="Q187" s="41">
        <f>YEAR('Data 1'!$A187)</f>
        <v>2021</v>
      </c>
    </row>
    <row r="188" spans="1:17" x14ac:dyDescent="0.3">
      <c r="A188" s="35">
        <v>44443</v>
      </c>
      <c r="B188" s="36" t="s">
        <v>31</v>
      </c>
      <c r="C188" s="37">
        <v>15</v>
      </c>
      <c r="D188" s="37" t="s">
        <v>21</v>
      </c>
      <c r="E188" s="37" t="s">
        <v>17</v>
      </c>
      <c r="F188" s="38">
        <v>0</v>
      </c>
      <c r="G188" s="39" t="str">
        <f>VLOOKUP('Data 1'!$B188,'Data 2'!$A$1:$F$46,MATCH('Data 1'!G$1,'Data 2'!$A$1:$F$1,0),0)</f>
        <v>Product23</v>
      </c>
      <c r="H188" s="39" t="str">
        <f>VLOOKUP('Data 1'!$B188,'Data 2'!$A$1:$F$46,MATCH('Data 1'!H$1,'Data 2'!$A$1:$F$1,0),0)</f>
        <v>Category03</v>
      </c>
      <c r="I188" s="39" t="str">
        <f>VLOOKUP('Data 1'!$B188,'Data 2'!$A$1:$F$46,MATCH('Data 1'!I$1,'Data 2'!$A$1:$F$1,0),0)</f>
        <v>Ft</v>
      </c>
      <c r="J188" s="39">
        <f>VLOOKUP('Data 1'!$B188,'Data 2'!$A$1:$F$46,MATCH('Data 1'!J$1,'Data 2'!$A$1:$F$1,0),0)</f>
        <v>141</v>
      </c>
      <c r="K188" s="39">
        <f>VLOOKUP('Data 1'!$B188,'Data 2'!$A$1:$F$46,MATCH('Data 1'!K$1,'Data 2'!$A$1:$F$1,0),0)</f>
        <v>149.46</v>
      </c>
      <c r="L188" s="40">
        <f>SUM('Data 1'!$J188*'Data 1'!$C188)</f>
        <v>2115</v>
      </c>
      <c r="M188" s="40">
        <f>'Data 1'!$C188*'Data 1'!$K188</f>
        <v>2241.9</v>
      </c>
      <c r="N188" s="40">
        <f>'Data 1'!$M188-'Data 1'!$L188</f>
        <v>126.90000000000009</v>
      </c>
      <c r="O188" s="37">
        <f>DAY('Data 1'!$A188)</f>
        <v>4</v>
      </c>
      <c r="P188" s="37" t="str">
        <f>TEXT('Data 1'!$A188,"mmm")</f>
        <v>Sep</v>
      </c>
      <c r="Q188" s="41">
        <f>YEAR('Data 1'!$A188)</f>
        <v>2021</v>
      </c>
    </row>
    <row r="189" spans="1:17" x14ac:dyDescent="0.3">
      <c r="A189" s="35">
        <v>44444</v>
      </c>
      <c r="B189" s="36" t="s">
        <v>37</v>
      </c>
      <c r="C189" s="37">
        <v>1</v>
      </c>
      <c r="D189" s="37" t="s">
        <v>21</v>
      </c>
      <c r="E189" s="37" t="s">
        <v>19</v>
      </c>
      <c r="F189" s="38">
        <v>0</v>
      </c>
      <c r="G189" s="42" t="str">
        <f>VLOOKUP('Data 1'!$B189,'Data 2'!$A$1:$F$46,MATCH('Data 1'!G$1,'Data 2'!$A$1:$F$1,0),0)</f>
        <v>Product32</v>
      </c>
      <c r="H189" s="42" t="str">
        <f>VLOOKUP('Data 1'!$B189,'Data 2'!$A$1:$F$46,MATCH('Data 1'!H$1,'Data 2'!$A$1:$F$1,0),0)</f>
        <v>Category04</v>
      </c>
      <c r="I189" s="42" t="str">
        <f>VLOOKUP('Data 1'!$B189,'Data 2'!$A$1:$F$46,MATCH('Data 1'!I$1,'Data 2'!$A$1:$F$1,0),0)</f>
        <v>Kg</v>
      </c>
      <c r="J189" s="42">
        <f>VLOOKUP('Data 1'!$B189,'Data 2'!$A$1:$F$46,MATCH('Data 1'!J$1,'Data 2'!$A$1:$F$1,0),0)</f>
        <v>89</v>
      </c>
      <c r="K189" s="42">
        <f>VLOOKUP('Data 1'!$B189,'Data 2'!$A$1:$F$46,MATCH('Data 1'!K$1,'Data 2'!$A$1:$F$1,0),0)</f>
        <v>117.48</v>
      </c>
      <c r="L189" s="40">
        <f>SUM('Data 1'!$J189*'Data 1'!$C189)</f>
        <v>89</v>
      </c>
      <c r="M189" s="40">
        <f>'Data 1'!$C189*'Data 1'!$K189</f>
        <v>117.48</v>
      </c>
      <c r="N189" s="40">
        <f>'Data 1'!$M189-'Data 1'!$L189</f>
        <v>28.480000000000004</v>
      </c>
      <c r="O189" s="37">
        <f>DAY('Data 1'!$A189)</f>
        <v>5</v>
      </c>
      <c r="P189" s="37" t="str">
        <f>TEXT('Data 1'!$A189,"mmm")</f>
        <v>Sep</v>
      </c>
      <c r="Q189" s="41">
        <f>YEAR('Data 1'!$A189)</f>
        <v>2021</v>
      </c>
    </row>
    <row r="190" spans="1:17" x14ac:dyDescent="0.3">
      <c r="A190" s="35">
        <v>44446</v>
      </c>
      <c r="B190" s="36" t="s">
        <v>59</v>
      </c>
      <c r="C190" s="37">
        <v>5</v>
      </c>
      <c r="D190" s="37" t="s">
        <v>21</v>
      </c>
      <c r="E190" s="37" t="s">
        <v>17</v>
      </c>
      <c r="F190" s="38">
        <v>0</v>
      </c>
      <c r="G190" s="39" t="str">
        <f>VLOOKUP('Data 1'!$B190,'Data 2'!$A$1:$F$46,MATCH('Data 1'!G$1,'Data 2'!$A$1:$F$1,0),0)</f>
        <v>Product19</v>
      </c>
      <c r="H190" s="39" t="str">
        <f>VLOOKUP('Data 1'!$B190,'Data 2'!$A$1:$F$46,MATCH('Data 1'!H$1,'Data 2'!$A$1:$F$1,0),0)</f>
        <v>Category02</v>
      </c>
      <c r="I190" s="39" t="str">
        <f>VLOOKUP('Data 1'!$B190,'Data 2'!$A$1:$F$46,MATCH('Data 1'!I$1,'Data 2'!$A$1:$F$1,0),0)</f>
        <v>Ft</v>
      </c>
      <c r="J190" s="39">
        <f>VLOOKUP('Data 1'!$B190,'Data 2'!$A$1:$F$46,MATCH('Data 1'!J$1,'Data 2'!$A$1:$F$1,0),0)</f>
        <v>150</v>
      </c>
      <c r="K190" s="39">
        <f>VLOOKUP('Data 1'!$B190,'Data 2'!$A$1:$F$46,MATCH('Data 1'!K$1,'Data 2'!$A$1:$F$1,0),0)</f>
        <v>210</v>
      </c>
      <c r="L190" s="40">
        <f>SUM('Data 1'!$J190*'Data 1'!$C190)</f>
        <v>750</v>
      </c>
      <c r="M190" s="40">
        <f>'Data 1'!$C190*'Data 1'!$K190</f>
        <v>1050</v>
      </c>
      <c r="N190" s="40">
        <f>'Data 1'!$M190-'Data 1'!$L190</f>
        <v>300</v>
      </c>
      <c r="O190" s="37">
        <f>DAY('Data 1'!$A190)</f>
        <v>7</v>
      </c>
      <c r="P190" s="37" t="str">
        <f>TEXT('Data 1'!$A190,"mmm")</f>
        <v>Sep</v>
      </c>
      <c r="Q190" s="41">
        <f>YEAR('Data 1'!$A190)</f>
        <v>2021</v>
      </c>
    </row>
    <row r="191" spans="1:17" x14ac:dyDescent="0.3">
      <c r="A191" s="35">
        <v>44448</v>
      </c>
      <c r="B191" s="36" t="s">
        <v>30</v>
      </c>
      <c r="C191" s="37">
        <v>4</v>
      </c>
      <c r="D191" s="37" t="s">
        <v>21</v>
      </c>
      <c r="E191" s="37" t="s">
        <v>17</v>
      </c>
      <c r="F191" s="38">
        <v>0</v>
      </c>
      <c r="G191" s="42" t="str">
        <f>VLOOKUP('Data 1'!$B191,'Data 2'!$A$1:$F$46,MATCH('Data 1'!G$1,'Data 2'!$A$1:$F$1,0),0)</f>
        <v>Product44</v>
      </c>
      <c r="H191" s="42" t="str">
        <f>VLOOKUP('Data 1'!$B191,'Data 2'!$A$1:$F$46,MATCH('Data 1'!H$1,'Data 2'!$A$1:$F$1,0),0)</f>
        <v>Category05</v>
      </c>
      <c r="I191" s="42" t="str">
        <f>VLOOKUP('Data 1'!$B191,'Data 2'!$A$1:$F$46,MATCH('Data 1'!I$1,'Data 2'!$A$1:$F$1,0),0)</f>
        <v>Kg</v>
      </c>
      <c r="J191" s="42">
        <f>VLOOKUP('Data 1'!$B191,'Data 2'!$A$1:$F$46,MATCH('Data 1'!J$1,'Data 2'!$A$1:$F$1,0),0)</f>
        <v>76</v>
      </c>
      <c r="K191" s="42">
        <f>VLOOKUP('Data 1'!$B191,'Data 2'!$A$1:$F$46,MATCH('Data 1'!K$1,'Data 2'!$A$1:$F$1,0),0)</f>
        <v>82.08</v>
      </c>
      <c r="L191" s="40">
        <f>SUM('Data 1'!$J191*'Data 1'!$C191)</f>
        <v>304</v>
      </c>
      <c r="M191" s="40">
        <f>'Data 1'!$C191*'Data 1'!$K191</f>
        <v>328.32</v>
      </c>
      <c r="N191" s="40">
        <f>'Data 1'!$M191-'Data 1'!$L191</f>
        <v>24.319999999999993</v>
      </c>
      <c r="O191" s="37">
        <f>DAY('Data 1'!$A191)</f>
        <v>9</v>
      </c>
      <c r="P191" s="37" t="str">
        <f>TEXT('Data 1'!$A191,"mmm")</f>
        <v>Sep</v>
      </c>
      <c r="Q191" s="41">
        <f>YEAR('Data 1'!$A191)</f>
        <v>2021</v>
      </c>
    </row>
    <row r="192" spans="1:17" x14ac:dyDescent="0.3">
      <c r="A192" s="35">
        <v>44449</v>
      </c>
      <c r="B192" s="36" t="s">
        <v>47</v>
      </c>
      <c r="C192" s="37">
        <v>6</v>
      </c>
      <c r="D192" s="37" t="s">
        <v>21</v>
      </c>
      <c r="E192" s="37" t="s">
        <v>17</v>
      </c>
      <c r="F192" s="38">
        <v>0</v>
      </c>
      <c r="G192" s="39" t="str">
        <f>VLOOKUP('Data 1'!$B192,'Data 2'!$A$1:$F$46,MATCH('Data 1'!G$1,'Data 2'!$A$1:$F$1,0),0)</f>
        <v>Product30</v>
      </c>
      <c r="H192" s="39" t="str">
        <f>VLOOKUP('Data 1'!$B192,'Data 2'!$A$1:$F$46,MATCH('Data 1'!H$1,'Data 2'!$A$1:$F$1,0),0)</f>
        <v>Category04</v>
      </c>
      <c r="I192" s="39" t="str">
        <f>VLOOKUP('Data 1'!$B192,'Data 2'!$A$1:$F$46,MATCH('Data 1'!I$1,'Data 2'!$A$1:$F$1,0),0)</f>
        <v>Ft</v>
      </c>
      <c r="J192" s="39">
        <f>VLOOKUP('Data 1'!$B192,'Data 2'!$A$1:$F$46,MATCH('Data 1'!J$1,'Data 2'!$A$1:$F$1,0),0)</f>
        <v>148</v>
      </c>
      <c r="K192" s="39">
        <f>VLOOKUP('Data 1'!$B192,'Data 2'!$A$1:$F$46,MATCH('Data 1'!K$1,'Data 2'!$A$1:$F$1,0),0)</f>
        <v>201.28</v>
      </c>
      <c r="L192" s="40">
        <f>SUM('Data 1'!$J192*'Data 1'!$C192)</f>
        <v>888</v>
      </c>
      <c r="M192" s="40">
        <f>'Data 1'!$C192*'Data 1'!$K192</f>
        <v>1207.68</v>
      </c>
      <c r="N192" s="40">
        <f>'Data 1'!$M192-'Data 1'!$L192</f>
        <v>319.68000000000006</v>
      </c>
      <c r="O192" s="37">
        <f>DAY('Data 1'!$A192)</f>
        <v>10</v>
      </c>
      <c r="P192" s="37" t="str">
        <f>TEXT('Data 1'!$A192,"mmm")</f>
        <v>Sep</v>
      </c>
      <c r="Q192" s="41">
        <f>YEAR('Data 1'!$A192)</f>
        <v>2021</v>
      </c>
    </row>
    <row r="193" spans="1:17" x14ac:dyDescent="0.3">
      <c r="A193" s="35">
        <v>44449</v>
      </c>
      <c r="B193" s="36" t="s">
        <v>35</v>
      </c>
      <c r="C193" s="37">
        <v>9</v>
      </c>
      <c r="D193" s="37" t="s">
        <v>16</v>
      </c>
      <c r="E193" s="37" t="s">
        <v>17</v>
      </c>
      <c r="F193" s="38">
        <v>0</v>
      </c>
      <c r="G193" s="42" t="str">
        <f>VLOOKUP('Data 1'!$B193,'Data 2'!$A$1:$F$46,MATCH('Data 1'!G$1,'Data 2'!$A$1:$F$1,0),0)</f>
        <v>Product01</v>
      </c>
      <c r="H193" s="42" t="str">
        <f>VLOOKUP('Data 1'!$B193,'Data 2'!$A$1:$F$46,MATCH('Data 1'!H$1,'Data 2'!$A$1:$F$1,0),0)</f>
        <v>Category01</v>
      </c>
      <c r="I193" s="42" t="str">
        <f>VLOOKUP('Data 1'!$B193,'Data 2'!$A$1:$F$46,MATCH('Data 1'!I$1,'Data 2'!$A$1:$F$1,0),0)</f>
        <v>Kg</v>
      </c>
      <c r="J193" s="42">
        <f>VLOOKUP('Data 1'!$B193,'Data 2'!$A$1:$F$46,MATCH('Data 1'!J$1,'Data 2'!$A$1:$F$1,0),0)</f>
        <v>98</v>
      </c>
      <c r="K193" s="42">
        <f>VLOOKUP('Data 1'!$B193,'Data 2'!$A$1:$F$46,MATCH('Data 1'!K$1,'Data 2'!$A$1:$F$1,0),0)</f>
        <v>103.88</v>
      </c>
      <c r="L193" s="40">
        <f>SUM('Data 1'!$J193*'Data 1'!$C193)</f>
        <v>882</v>
      </c>
      <c r="M193" s="40">
        <f>'Data 1'!$C193*'Data 1'!$K193</f>
        <v>934.92</v>
      </c>
      <c r="N193" s="40">
        <f>'Data 1'!$M193-'Data 1'!$L193</f>
        <v>52.919999999999959</v>
      </c>
      <c r="O193" s="37">
        <f>DAY('Data 1'!$A193)</f>
        <v>10</v>
      </c>
      <c r="P193" s="37" t="str">
        <f>TEXT('Data 1'!$A193,"mmm")</f>
        <v>Sep</v>
      </c>
      <c r="Q193" s="41">
        <f>YEAR('Data 1'!$A193)</f>
        <v>2021</v>
      </c>
    </row>
    <row r="194" spans="1:17" x14ac:dyDescent="0.3">
      <c r="A194" s="35">
        <v>44449</v>
      </c>
      <c r="B194" s="36" t="s">
        <v>61</v>
      </c>
      <c r="C194" s="37">
        <v>2</v>
      </c>
      <c r="D194" s="37" t="s">
        <v>21</v>
      </c>
      <c r="E194" s="37" t="s">
        <v>17</v>
      </c>
      <c r="F194" s="38">
        <v>0</v>
      </c>
      <c r="G194" s="39" t="str">
        <f>VLOOKUP('Data 1'!$B194,'Data 2'!$A$1:$F$46,MATCH('Data 1'!G$1,'Data 2'!$A$1:$F$1,0),0)</f>
        <v>Product26</v>
      </c>
      <c r="H194" s="39" t="str">
        <f>VLOOKUP('Data 1'!$B194,'Data 2'!$A$1:$F$46,MATCH('Data 1'!H$1,'Data 2'!$A$1:$F$1,0),0)</f>
        <v>Category04</v>
      </c>
      <c r="I194" s="39" t="str">
        <f>VLOOKUP('Data 1'!$B194,'Data 2'!$A$1:$F$46,MATCH('Data 1'!I$1,'Data 2'!$A$1:$F$1,0),0)</f>
        <v>No.</v>
      </c>
      <c r="J194" s="39">
        <f>VLOOKUP('Data 1'!$B194,'Data 2'!$A$1:$F$46,MATCH('Data 1'!J$1,'Data 2'!$A$1:$F$1,0),0)</f>
        <v>18</v>
      </c>
      <c r="K194" s="39">
        <f>VLOOKUP('Data 1'!$B194,'Data 2'!$A$1:$F$46,MATCH('Data 1'!K$1,'Data 2'!$A$1:$F$1,0),0)</f>
        <v>24.66</v>
      </c>
      <c r="L194" s="40">
        <f>SUM('Data 1'!$J194*'Data 1'!$C194)</f>
        <v>36</v>
      </c>
      <c r="M194" s="40">
        <f>'Data 1'!$C194*'Data 1'!$K194</f>
        <v>49.32</v>
      </c>
      <c r="N194" s="40">
        <f>'Data 1'!$M194-'Data 1'!$L194</f>
        <v>13.32</v>
      </c>
      <c r="O194" s="37">
        <f>DAY('Data 1'!$A194)</f>
        <v>10</v>
      </c>
      <c r="P194" s="37" t="str">
        <f>TEXT('Data 1'!$A194,"mmm")</f>
        <v>Sep</v>
      </c>
      <c r="Q194" s="41">
        <f>YEAR('Data 1'!$A194)</f>
        <v>2021</v>
      </c>
    </row>
    <row r="195" spans="1:17" x14ac:dyDescent="0.3">
      <c r="A195" s="35">
        <v>44450</v>
      </c>
      <c r="B195" s="36" t="s">
        <v>35</v>
      </c>
      <c r="C195" s="37">
        <v>6</v>
      </c>
      <c r="D195" s="37" t="s">
        <v>16</v>
      </c>
      <c r="E195" s="37" t="s">
        <v>17</v>
      </c>
      <c r="F195" s="38">
        <v>0</v>
      </c>
      <c r="G195" s="42" t="str">
        <f>VLOOKUP('Data 1'!$B195,'Data 2'!$A$1:$F$46,MATCH('Data 1'!G$1,'Data 2'!$A$1:$F$1,0),0)</f>
        <v>Product01</v>
      </c>
      <c r="H195" s="42" t="str">
        <f>VLOOKUP('Data 1'!$B195,'Data 2'!$A$1:$F$46,MATCH('Data 1'!H$1,'Data 2'!$A$1:$F$1,0),0)</f>
        <v>Category01</v>
      </c>
      <c r="I195" s="42" t="str">
        <f>VLOOKUP('Data 1'!$B195,'Data 2'!$A$1:$F$46,MATCH('Data 1'!I$1,'Data 2'!$A$1:$F$1,0),0)</f>
        <v>Kg</v>
      </c>
      <c r="J195" s="42">
        <f>VLOOKUP('Data 1'!$B195,'Data 2'!$A$1:$F$46,MATCH('Data 1'!J$1,'Data 2'!$A$1:$F$1,0),0)</f>
        <v>98</v>
      </c>
      <c r="K195" s="42">
        <f>VLOOKUP('Data 1'!$B195,'Data 2'!$A$1:$F$46,MATCH('Data 1'!K$1,'Data 2'!$A$1:$F$1,0),0)</f>
        <v>103.88</v>
      </c>
      <c r="L195" s="40">
        <f>SUM('Data 1'!$J195*'Data 1'!$C195)</f>
        <v>588</v>
      </c>
      <c r="M195" s="40">
        <f>'Data 1'!$C195*'Data 1'!$K195</f>
        <v>623.28</v>
      </c>
      <c r="N195" s="40">
        <f>'Data 1'!$M195-'Data 1'!$L195</f>
        <v>35.279999999999973</v>
      </c>
      <c r="O195" s="37">
        <f>DAY('Data 1'!$A195)</f>
        <v>11</v>
      </c>
      <c r="P195" s="37" t="str">
        <f>TEXT('Data 1'!$A195,"mmm")</f>
        <v>Sep</v>
      </c>
      <c r="Q195" s="41">
        <f>YEAR('Data 1'!$A195)</f>
        <v>2021</v>
      </c>
    </row>
    <row r="196" spans="1:17" x14ac:dyDescent="0.3">
      <c r="A196" s="35">
        <v>44452</v>
      </c>
      <c r="B196" s="36" t="s">
        <v>60</v>
      </c>
      <c r="C196" s="37">
        <v>7</v>
      </c>
      <c r="D196" s="37" t="s">
        <v>21</v>
      </c>
      <c r="E196" s="37" t="s">
        <v>19</v>
      </c>
      <c r="F196" s="38">
        <v>0</v>
      </c>
      <c r="G196" s="39" t="str">
        <f>VLOOKUP('Data 1'!$B196,'Data 2'!$A$1:$F$46,MATCH('Data 1'!G$1,'Data 2'!$A$1:$F$1,0),0)</f>
        <v>Product41</v>
      </c>
      <c r="H196" s="39" t="str">
        <f>VLOOKUP('Data 1'!$B196,'Data 2'!$A$1:$F$46,MATCH('Data 1'!H$1,'Data 2'!$A$1:$F$1,0),0)</f>
        <v>Category05</v>
      </c>
      <c r="I196" s="39" t="str">
        <f>VLOOKUP('Data 1'!$B196,'Data 2'!$A$1:$F$46,MATCH('Data 1'!I$1,'Data 2'!$A$1:$F$1,0),0)</f>
        <v>Ft</v>
      </c>
      <c r="J196" s="39">
        <f>VLOOKUP('Data 1'!$B196,'Data 2'!$A$1:$F$46,MATCH('Data 1'!J$1,'Data 2'!$A$1:$F$1,0),0)</f>
        <v>138</v>
      </c>
      <c r="K196" s="39">
        <f>VLOOKUP('Data 1'!$B196,'Data 2'!$A$1:$F$46,MATCH('Data 1'!K$1,'Data 2'!$A$1:$F$1,0),0)</f>
        <v>173.88</v>
      </c>
      <c r="L196" s="40">
        <f>SUM('Data 1'!$J196*'Data 1'!$C196)</f>
        <v>966</v>
      </c>
      <c r="M196" s="40">
        <f>'Data 1'!$C196*'Data 1'!$K196</f>
        <v>1217.1599999999999</v>
      </c>
      <c r="N196" s="40">
        <f>'Data 1'!$M196-'Data 1'!$L196</f>
        <v>251.15999999999985</v>
      </c>
      <c r="O196" s="37">
        <f>DAY('Data 1'!$A196)</f>
        <v>13</v>
      </c>
      <c r="P196" s="37" t="str">
        <f>TEXT('Data 1'!$A196,"mmm")</f>
        <v>Sep</v>
      </c>
      <c r="Q196" s="41">
        <f>YEAR('Data 1'!$A196)</f>
        <v>2021</v>
      </c>
    </row>
    <row r="197" spans="1:17" x14ac:dyDescent="0.3">
      <c r="A197" s="35">
        <v>44454</v>
      </c>
      <c r="B197" s="36" t="s">
        <v>29</v>
      </c>
      <c r="C197" s="37">
        <v>6</v>
      </c>
      <c r="D197" s="37" t="s">
        <v>21</v>
      </c>
      <c r="E197" s="37" t="s">
        <v>17</v>
      </c>
      <c r="F197" s="38">
        <v>0</v>
      </c>
      <c r="G197" s="42" t="str">
        <f>VLOOKUP('Data 1'!$B197,'Data 2'!$A$1:$F$46,MATCH('Data 1'!G$1,'Data 2'!$A$1:$F$1,0),0)</f>
        <v>Product42</v>
      </c>
      <c r="H197" s="42" t="str">
        <f>VLOOKUP('Data 1'!$B197,'Data 2'!$A$1:$F$46,MATCH('Data 1'!H$1,'Data 2'!$A$1:$F$1,0),0)</f>
        <v>Category05</v>
      </c>
      <c r="I197" s="42" t="str">
        <f>VLOOKUP('Data 1'!$B197,'Data 2'!$A$1:$F$46,MATCH('Data 1'!I$1,'Data 2'!$A$1:$F$1,0),0)</f>
        <v>Ft</v>
      </c>
      <c r="J197" s="42">
        <f>VLOOKUP('Data 1'!$B197,'Data 2'!$A$1:$F$46,MATCH('Data 1'!J$1,'Data 2'!$A$1:$F$1,0),0)</f>
        <v>120</v>
      </c>
      <c r="K197" s="42">
        <f>VLOOKUP('Data 1'!$B197,'Data 2'!$A$1:$F$46,MATCH('Data 1'!K$1,'Data 2'!$A$1:$F$1,0),0)</f>
        <v>162</v>
      </c>
      <c r="L197" s="40">
        <f>SUM('Data 1'!$J197*'Data 1'!$C197)</f>
        <v>720</v>
      </c>
      <c r="M197" s="40">
        <f>'Data 1'!$C197*'Data 1'!$K197</f>
        <v>972</v>
      </c>
      <c r="N197" s="40">
        <f>'Data 1'!$M197-'Data 1'!$L197</f>
        <v>252</v>
      </c>
      <c r="O197" s="37">
        <f>DAY('Data 1'!$A197)</f>
        <v>15</v>
      </c>
      <c r="P197" s="37" t="str">
        <f>TEXT('Data 1'!$A197,"mmm")</f>
        <v>Sep</v>
      </c>
      <c r="Q197" s="41">
        <f>YEAR('Data 1'!$A197)</f>
        <v>2021</v>
      </c>
    </row>
    <row r="198" spans="1:17" x14ac:dyDescent="0.3">
      <c r="A198" s="35">
        <v>44454</v>
      </c>
      <c r="B198" s="36" t="s">
        <v>29</v>
      </c>
      <c r="C198" s="37">
        <v>14</v>
      </c>
      <c r="D198" s="37" t="s">
        <v>21</v>
      </c>
      <c r="E198" s="37" t="s">
        <v>17</v>
      </c>
      <c r="F198" s="38">
        <v>0</v>
      </c>
      <c r="G198" s="39" t="str">
        <f>VLOOKUP('Data 1'!$B198,'Data 2'!$A$1:$F$46,MATCH('Data 1'!G$1,'Data 2'!$A$1:$F$1,0),0)</f>
        <v>Product42</v>
      </c>
      <c r="H198" s="39" t="str">
        <f>VLOOKUP('Data 1'!$B198,'Data 2'!$A$1:$F$46,MATCH('Data 1'!H$1,'Data 2'!$A$1:$F$1,0),0)</f>
        <v>Category05</v>
      </c>
      <c r="I198" s="39" t="str">
        <f>VLOOKUP('Data 1'!$B198,'Data 2'!$A$1:$F$46,MATCH('Data 1'!I$1,'Data 2'!$A$1:$F$1,0),0)</f>
        <v>Ft</v>
      </c>
      <c r="J198" s="39">
        <f>VLOOKUP('Data 1'!$B198,'Data 2'!$A$1:$F$46,MATCH('Data 1'!J$1,'Data 2'!$A$1:$F$1,0),0)</f>
        <v>120</v>
      </c>
      <c r="K198" s="39">
        <f>VLOOKUP('Data 1'!$B198,'Data 2'!$A$1:$F$46,MATCH('Data 1'!K$1,'Data 2'!$A$1:$F$1,0),0)</f>
        <v>162</v>
      </c>
      <c r="L198" s="40">
        <f>SUM('Data 1'!$J198*'Data 1'!$C198)</f>
        <v>1680</v>
      </c>
      <c r="M198" s="40">
        <f>'Data 1'!$C198*'Data 1'!$K198</f>
        <v>2268</v>
      </c>
      <c r="N198" s="40">
        <f>'Data 1'!$M198-'Data 1'!$L198</f>
        <v>588</v>
      </c>
      <c r="O198" s="37">
        <f>DAY('Data 1'!$A198)</f>
        <v>15</v>
      </c>
      <c r="P198" s="37" t="str">
        <f>TEXT('Data 1'!$A198,"mmm")</f>
        <v>Sep</v>
      </c>
      <c r="Q198" s="41">
        <f>YEAR('Data 1'!$A198)</f>
        <v>2021</v>
      </c>
    </row>
    <row r="199" spans="1:17" x14ac:dyDescent="0.3">
      <c r="A199" s="35">
        <v>44460</v>
      </c>
      <c r="B199" s="36" t="s">
        <v>33</v>
      </c>
      <c r="C199" s="37">
        <v>7</v>
      </c>
      <c r="D199" s="37" t="s">
        <v>16</v>
      </c>
      <c r="E199" s="37" t="s">
        <v>19</v>
      </c>
      <c r="F199" s="38">
        <v>0</v>
      </c>
      <c r="G199" s="42" t="str">
        <f>VLOOKUP('Data 1'!$B199,'Data 2'!$A$1:$F$46,MATCH('Data 1'!G$1,'Data 2'!$A$1:$F$1,0),0)</f>
        <v>Product20</v>
      </c>
      <c r="H199" s="42" t="str">
        <f>VLOOKUP('Data 1'!$B199,'Data 2'!$A$1:$F$46,MATCH('Data 1'!H$1,'Data 2'!$A$1:$F$1,0),0)</f>
        <v>Category03</v>
      </c>
      <c r="I199" s="42" t="str">
        <f>VLOOKUP('Data 1'!$B199,'Data 2'!$A$1:$F$46,MATCH('Data 1'!I$1,'Data 2'!$A$1:$F$1,0),0)</f>
        <v>Lt</v>
      </c>
      <c r="J199" s="42">
        <f>VLOOKUP('Data 1'!$B199,'Data 2'!$A$1:$F$46,MATCH('Data 1'!J$1,'Data 2'!$A$1:$F$1,0),0)</f>
        <v>61</v>
      </c>
      <c r="K199" s="42">
        <f>VLOOKUP('Data 1'!$B199,'Data 2'!$A$1:$F$46,MATCH('Data 1'!K$1,'Data 2'!$A$1:$F$1,0),0)</f>
        <v>76.25</v>
      </c>
      <c r="L199" s="40">
        <f>SUM('Data 1'!$J199*'Data 1'!$C199)</f>
        <v>427</v>
      </c>
      <c r="M199" s="40">
        <f>'Data 1'!$C199*'Data 1'!$K199</f>
        <v>533.75</v>
      </c>
      <c r="N199" s="40">
        <f>'Data 1'!$M199-'Data 1'!$L199</f>
        <v>106.75</v>
      </c>
      <c r="O199" s="37">
        <f>DAY('Data 1'!$A199)</f>
        <v>21</v>
      </c>
      <c r="P199" s="37" t="str">
        <f>TEXT('Data 1'!$A199,"mmm")</f>
        <v>Sep</v>
      </c>
      <c r="Q199" s="41">
        <f>YEAR('Data 1'!$A199)</f>
        <v>2021</v>
      </c>
    </row>
    <row r="200" spans="1:17" x14ac:dyDescent="0.3">
      <c r="A200" s="35">
        <v>44461</v>
      </c>
      <c r="B200" s="36" t="s">
        <v>36</v>
      </c>
      <c r="C200" s="37">
        <v>2</v>
      </c>
      <c r="D200" s="37" t="s">
        <v>17</v>
      </c>
      <c r="E200" s="37" t="s">
        <v>19</v>
      </c>
      <c r="F200" s="38">
        <v>0</v>
      </c>
      <c r="G200" s="39" t="str">
        <f>VLOOKUP('Data 1'!$B200,'Data 2'!$A$1:$F$46,MATCH('Data 1'!G$1,'Data 2'!$A$1:$F$1,0),0)</f>
        <v>Product40</v>
      </c>
      <c r="H200" s="39" t="str">
        <f>VLOOKUP('Data 1'!$B200,'Data 2'!$A$1:$F$46,MATCH('Data 1'!H$1,'Data 2'!$A$1:$F$1,0),0)</f>
        <v>Category05</v>
      </c>
      <c r="I200" s="39" t="str">
        <f>VLOOKUP('Data 1'!$B200,'Data 2'!$A$1:$F$46,MATCH('Data 1'!I$1,'Data 2'!$A$1:$F$1,0),0)</f>
        <v>Kg</v>
      </c>
      <c r="J200" s="39">
        <f>VLOOKUP('Data 1'!$B200,'Data 2'!$A$1:$F$46,MATCH('Data 1'!J$1,'Data 2'!$A$1:$F$1,0),0)</f>
        <v>90</v>
      </c>
      <c r="K200" s="39">
        <f>VLOOKUP('Data 1'!$B200,'Data 2'!$A$1:$F$46,MATCH('Data 1'!K$1,'Data 2'!$A$1:$F$1,0),0)</f>
        <v>115.2</v>
      </c>
      <c r="L200" s="40">
        <f>SUM('Data 1'!$J200*'Data 1'!$C200)</f>
        <v>180</v>
      </c>
      <c r="M200" s="40">
        <f>'Data 1'!$C200*'Data 1'!$K200</f>
        <v>230.4</v>
      </c>
      <c r="N200" s="40">
        <f>'Data 1'!$M200-'Data 1'!$L200</f>
        <v>50.400000000000006</v>
      </c>
      <c r="O200" s="37">
        <f>DAY('Data 1'!$A200)</f>
        <v>22</v>
      </c>
      <c r="P200" s="37" t="str">
        <f>TEXT('Data 1'!$A200,"mmm")</f>
        <v>Sep</v>
      </c>
      <c r="Q200" s="41">
        <f>YEAR('Data 1'!$A200)</f>
        <v>2021</v>
      </c>
    </row>
    <row r="201" spans="1:17" x14ac:dyDescent="0.3">
      <c r="A201" s="35">
        <v>44461</v>
      </c>
      <c r="B201" s="36" t="s">
        <v>48</v>
      </c>
      <c r="C201" s="37">
        <v>4</v>
      </c>
      <c r="D201" s="37" t="s">
        <v>21</v>
      </c>
      <c r="E201" s="37" t="s">
        <v>19</v>
      </c>
      <c r="F201" s="38">
        <v>0</v>
      </c>
      <c r="G201" s="42" t="str">
        <f>VLOOKUP('Data 1'!$B201,'Data 2'!$A$1:$F$46,MATCH('Data 1'!G$1,'Data 2'!$A$1:$F$1,0),0)</f>
        <v>Product02</v>
      </c>
      <c r="H201" s="42" t="str">
        <f>VLOOKUP('Data 1'!$B201,'Data 2'!$A$1:$F$46,MATCH('Data 1'!H$1,'Data 2'!$A$1:$F$1,0),0)</f>
        <v>Category01</v>
      </c>
      <c r="I201" s="42" t="str">
        <f>VLOOKUP('Data 1'!$B201,'Data 2'!$A$1:$F$46,MATCH('Data 1'!I$1,'Data 2'!$A$1:$F$1,0),0)</f>
        <v>Kg</v>
      </c>
      <c r="J201" s="42">
        <f>VLOOKUP('Data 1'!$B201,'Data 2'!$A$1:$F$46,MATCH('Data 1'!J$1,'Data 2'!$A$1:$F$1,0),0)</f>
        <v>105</v>
      </c>
      <c r="K201" s="42">
        <f>VLOOKUP('Data 1'!$B201,'Data 2'!$A$1:$F$46,MATCH('Data 1'!K$1,'Data 2'!$A$1:$F$1,0),0)</f>
        <v>142.80000000000001</v>
      </c>
      <c r="L201" s="40">
        <f>SUM('Data 1'!$J201*'Data 1'!$C201)</f>
        <v>420</v>
      </c>
      <c r="M201" s="40">
        <f>'Data 1'!$C201*'Data 1'!$K201</f>
        <v>571.20000000000005</v>
      </c>
      <c r="N201" s="40">
        <f>'Data 1'!$M201-'Data 1'!$L201</f>
        <v>151.20000000000005</v>
      </c>
      <c r="O201" s="37">
        <f>DAY('Data 1'!$A201)</f>
        <v>22</v>
      </c>
      <c r="P201" s="37" t="str">
        <f>TEXT('Data 1'!$A201,"mmm")</f>
        <v>Sep</v>
      </c>
      <c r="Q201" s="41">
        <f>YEAR('Data 1'!$A201)</f>
        <v>2021</v>
      </c>
    </row>
    <row r="202" spans="1:17" x14ac:dyDescent="0.3">
      <c r="A202" s="35">
        <v>44462</v>
      </c>
      <c r="B202" s="36" t="s">
        <v>49</v>
      </c>
      <c r="C202" s="37">
        <v>12</v>
      </c>
      <c r="D202" s="37" t="s">
        <v>21</v>
      </c>
      <c r="E202" s="37" t="s">
        <v>19</v>
      </c>
      <c r="F202" s="38">
        <v>0</v>
      </c>
      <c r="G202" s="39" t="str">
        <f>VLOOKUP('Data 1'!$B202,'Data 2'!$A$1:$F$46,MATCH('Data 1'!G$1,'Data 2'!$A$1:$F$1,0),0)</f>
        <v>Product18</v>
      </c>
      <c r="H202" s="39" t="str">
        <f>VLOOKUP('Data 1'!$B202,'Data 2'!$A$1:$F$46,MATCH('Data 1'!H$1,'Data 2'!$A$1:$F$1,0),0)</f>
        <v>Category02</v>
      </c>
      <c r="I202" s="39" t="str">
        <f>VLOOKUP('Data 1'!$B202,'Data 2'!$A$1:$F$46,MATCH('Data 1'!I$1,'Data 2'!$A$1:$F$1,0),0)</f>
        <v>No.</v>
      </c>
      <c r="J202" s="39">
        <f>VLOOKUP('Data 1'!$B202,'Data 2'!$A$1:$F$46,MATCH('Data 1'!J$1,'Data 2'!$A$1:$F$1,0),0)</f>
        <v>37</v>
      </c>
      <c r="K202" s="39">
        <f>VLOOKUP('Data 1'!$B202,'Data 2'!$A$1:$F$46,MATCH('Data 1'!K$1,'Data 2'!$A$1:$F$1,0),0)</f>
        <v>49.21</v>
      </c>
      <c r="L202" s="40">
        <f>SUM('Data 1'!$J202*'Data 1'!$C202)</f>
        <v>444</v>
      </c>
      <c r="M202" s="40">
        <f>'Data 1'!$C202*'Data 1'!$K202</f>
        <v>590.52</v>
      </c>
      <c r="N202" s="40">
        <f>'Data 1'!$M202-'Data 1'!$L202</f>
        <v>146.51999999999998</v>
      </c>
      <c r="O202" s="37">
        <f>DAY('Data 1'!$A202)</f>
        <v>23</v>
      </c>
      <c r="P202" s="37" t="str">
        <f>TEXT('Data 1'!$A202,"mmm")</f>
        <v>Sep</v>
      </c>
      <c r="Q202" s="41">
        <f>YEAR('Data 1'!$A202)</f>
        <v>2021</v>
      </c>
    </row>
    <row r="203" spans="1:17" x14ac:dyDescent="0.3">
      <c r="A203" s="35">
        <v>44462</v>
      </c>
      <c r="B203" s="36" t="s">
        <v>51</v>
      </c>
      <c r="C203" s="37">
        <v>7</v>
      </c>
      <c r="D203" s="37" t="s">
        <v>17</v>
      </c>
      <c r="E203" s="37" t="s">
        <v>17</v>
      </c>
      <c r="F203" s="38">
        <v>0</v>
      </c>
      <c r="G203" s="42" t="str">
        <f>VLOOKUP('Data 1'!$B203,'Data 2'!$A$1:$F$46,MATCH('Data 1'!G$1,'Data 2'!$A$1:$F$1,0),0)</f>
        <v>Product21</v>
      </c>
      <c r="H203" s="42" t="str">
        <f>VLOOKUP('Data 1'!$B203,'Data 2'!$A$1:$F$46,MATCH('Data 1'!H$1,'Data 2'!$A$1:$F$1,0),0)</f>
        <v>Category03</v>
      </c>
      <c r="I203" s="42" t="str">
        <f>VLOOKUP('Data 1'!$B203,'Data 2'!$A$1:$F$46,MATCH('Data 1'!I$1,'Data 2'!$A$1:$F$1,0),0)</f>
        <v>Ft</v>
      </c>
      <c r="J203" s="42">
        <f>VLOOKUP('Data 1'!$B203,'Data 2'!$A$1:$F$46,MATCH('Data 1'!J$1,'Data 2'!$A$1:$F$1,0),0)</f>
        <v>126</v>
      </c>
      <c r="K203" s="42">
        <f>VLOOKUP('Data 1'!$B203,'Data 2'!$A$1:$F$46,MATCH('Data 1'!K$1,'Data 2'!$A$1:$F$1,0),0)</f>
        <v>162.54</v>
      </c>
      <c r="L203" s="40">
        <f>SUM('Data 1'!$J203*'Data 1'!$C203)</f>
        <v>882</v>
      </c>
      <c r="M203" s="40">
        <f>'Data 1'!$C203*'Data 1'!$K203</f>
        <v>1137.78</v>
      </c>
      <c r="N203" s="40">
        <f>'Data 1'!$M203-'Data 1'!$L203</f>
        <v>255.77999999999997</v>
      </c>
      <c r="O203" s="37">
        <f>DAY('Data 1'!$A203)</f>
        <v>23</v>
      </c>
      <c r="P203" s="37" t="str">
        <f>TEXT('Data 1'!$A203,"mmm")</f>
        <v>Sep</v>
      </c>
      <c r="Q203" s="41">
        <f>YEAR('Data 1'!$A203)</f>
        <v>2021</v>
      </c>
    </row>
    <row r="204" spans="1:17" x14ac:dyDescent="0.3">
      <c r="A204" s="35">
        <v>44466</v>
      </c>
      <c r="B204" s="36" t="s">
        <v>32</v>
      </c>
      <c r="C204" s="37">
        <v>1</v>
      </c>
      <c r="D204" s="37" t="s">
        <v>21</v>
      </c>
      <c r="E204" s="37" t="s">
        <v>19</v>
      </c>
      <c r="F204" s="38">
        <v>0</v>
      </c>
      <c r="G204" s="39" t="str">
        <f>VLOOKUP('Data 1'!$B204,'Data 2'!$A$1:$F$46,MATCH('Data 1'!G$1,'Data 2'!$A$1:$F$1,0),0)</f>
        <v>Product34</v>
      </c>
      <c r="H204" s="39" t="str">
        <f>VLOOKUP('Data 1'!$B204,'Data 2'!$A$1:$F$46,MATCH('Data 1'!H$1,'Data 2'!$A$1:$F$1,0),0)</f>
        <v>Category04</v>
      </c>
      <c r="I204" s="39" t="str">
        <f>VLOOKUP('Data 1'!$B204,'Data 2'!$A$1:$F$46,MATCH('Data 1'!I$1,'Data 2'!$A$1:$F$1,0),0)</f>
        <v>Lt</v>
      </c>
      <c r="J204" s="39">
        <f>VLOOKUP('Data 1'!$B204,'Data 2'!$A$1:$F$46,MATCH('Data 1'!J$1,'Data 2'!$A$1:$F$1,0),0)</f>
        <v>55</v>
      </c>
      <c r="K204" s="39">
        <f>VLOOKUP('Data 1'!$B204,'Data 2'!$A$1:$F$46,MATCH('Data 1'!K$1,'Data 2'!$A$1:$F$1,0),0)</f>
        <v>58.3</v>
      </c>
      <c r="L204" s="40">
        <f>SUM('Data 1'!$J204*'Data 1'!$C204)</f>
        <v>55</v>
      </c>
      <c r="M204" s="40">
        <f>'Data 1'!$C204*'Data 1'!$K204</f>
        <v>58.3</v>
      </c>
      <c r="N204" s="40">
        <f>'Data 1'!$M204-'Data 1'!$L204</f>
        <v>3.2999999999999972</v>
      </c>
      <c r="O204" s="37">
        <f>DAY('Data 1'!$A204)</f>
        <v>27</v>
      </c>
      <c r="P204" s="37" t="str">
        <f>TEXT('Data 1'!$A204,"mmm")</f>
        <v>Sep</v>
      </c>
      <c r="Q204" s="41">
        <f>YEAR('Data 1'!$A204)</f>
        <v>2021</v>
      </c>
    </row>
    <row r="205" spans="1:17" x14ac:dyDescent="0.3">
      <c r="A205" s="35">
        <v>44469</v>
      </c>
      <c r="B205" s="36" t="s">
        <v>28</v>
      </c>
      <c r="C205" s="37">
        <v>9</v>
      </c>
      <c r="D205" s="37" t="s">
        <v>17</v>
      </c>
      <c r="E205" s="37" t="s">
        <v>17</v>
      </c>
      <c r="F205" s="38">
        <v>0</v>
      </c>
      <c r="G205" s="42" t="str">
        <f>VLOOKUP('Data 1'!$B205,'Data 2'!$A$1:$F$46,MATCH('Data 1'!G$1,'Data 2'!$A$1:$F$1,0),0)</f>
        <v>Product14</v>
      </c>
      <c r="H205" s="42" t="str">
        <f>VLOOKUP('Data 1'!$B205,'Data 2'!$A$1:$F$46,MATCH('Data 1'!H$1,'Data 2'!$A$1:$F$1,0),0)</f>
        <v>Category02</v>
      </c>
      <c r="I205" s="42" t="str">
        <f>VLOOKUP('Data 1'!$B205,'Data 2'!$A$1:$F$46,MATCH('Data 1'!I$1,'Data 2'!$A$1:$F$1,0),0)</f>
        <v>Kg</v>
      </c>
      <c r="J205" s="42">
        <f>VLOOKUP('Data 1'!$B205,'Data 2'!$A$1:$F$46,MATCH('Data 1'!J$1,'Data 2'!$A$1:$F$1,0),0)</f>
        <v>112</v>
      </c>
      <c r="K205" s="42">
        <f>VLOOKUP('Data 1'!$B205,'Data 2'!$A$1:$F$46,MATCH('Data 1'!K$1,'Data 2'!$A$1:$F$1,0),0)</f>
        <v>146.72</v>
      </c>
      <c r="L205" s="40">
        <f>SUM('Data 1'!$J205*'Data 1'!$C205)</f>
        <v>1008</v>
      </c>
      <c r="M205" s="40">
        <f>'Data 1'!$C205*'Data 1'!$K205</f>
        <v>1320.48</v>
      </c>
      <c r="N205" s="40">
        <f>'Data 1'!$M205-'Data 1'!$L205</f>
        <v>312.48</v>
      </c>
      <c r="O205" s="37">
        <f>DAY('Data 1'!$A205)</f>
        <v>30</v>
      </c>
      <c r="P205" s="37" t="str">
        <f>TEXT('Data 1'!$A205,"mmm")</f>
        <v>Sep</v>
      </c>
      <c r="Q205" s="41">
        <f>YEAR('Data 1'!$A205)</f>
        <v>2021</v>
      </c>
    </row>
    <row r="206" spans="1:17" x14ac:dyDescent="0.3">
      <c r="A206" s="35">
        <v>44469</v>
      </c>
      <c r="B206" s="36" t="s">
        <v>34</v>
      </c>
      <c r="C206" s="37">
        <v>5</v>
      </c>
      <c r="D206" s="37" t="s">
        <v>17</v>
      </c>
      <c r="E206" s="37" t="s">
        <v>17</v>
      </c>
      <c r="F206" s="38">
        <v>0</v>
      </c>
      <c r="G206" s="39" t="str">
        <f>VLOOKUP('Data 1'!$B206,'Data 2'!$A$1:$F$46,MATCH('Data 1'!G$1,'Data 2'!$A$1:$F$1,0),0)</f>
        <v>Product06</v>
      </c>
      <c r="H206" s="39" t="str">
        <f>VLOOKUP('Data 1'!$B206,'Data 2'!$A$1:$F$46,MATCH('Data 1'!H$1,'Data 2'!$A$1:$F$1,0),0)</f>
        <v>Category01</v>
      </c>
      <c r="I206" s="39" t="str">
        <f>VLOOKUP('Data 1'!$B206,'Data 2'!$A$1:$F$46,MATCH('Data 1'!I$1,'Data 2'!$A$1:$F$1,0),0)</f>
        <v>Kg</v>
      </c>
      <c r="J206" s="39">
        <f>VLOOKUP('Data 1'!$B206,'Data 2'!$A$1:$F$46,MATCH('Data 1'!J$1,'Data 2'!$A$1:$F$1,0),0)</f>
        <v>75</v>
      </c>
      <c r="K206" s="39">
        <f>VLOOKUP('Data 1'!$B206,'Data 2'!$A$1:$F$46,MATCH('Data 1'!K$1,'Data 2'!$A$1:$F$1,0),0)</f>
        <v>85.5</v>
      </c>
      <c r="L206" s="40">
        <f>SUM('Data 1'!$J206*'Data 1'!$C206)</f>
        <v>375</v>
      </c>
      <c r="M206" s="40">
        <f>'Data 1'!$C206*'Data 1'!$K206</f>
        <v>427.5</v>
      </c>
      <c r="N206" s="40">
        <f>'Data 1'!$M206-'Data 1'!$L206</f>
        <v>52.5</v>
      </c>
      <c r="O206" s="37">
        <f>DAY('Data 1'!$A206)</f>
        <v>30</v>
      </c>
      <c r="P206" s="37" t="str">
        <f>TEXT('Data 1'!$A206,"mmm")</f>
        <v>Sep</v>
      </c>
      <c r="Q206" s="41">
        <f>YEAR('Data 1'!$A206)</f>
        <v>2021</v>
      </c>
    </row>
    <row r="207" spans="1:17" x14ac:dyDescent="0.3">
      <c r="A207" s="35">
        <v>44470</v>
      </c>
      <c r="B207" s="36" t="s">
        <v>47</v>
      </c>
      <c r="C207" s="37">
        <v>14</v>
      </c>
      <c r="D207" s="37" t="s">
        <v>17</v>
      </c>
      <c r="E207" s="37" t="s">
        <v>19</v>
      </c>
      <c r="F207" s="38">
        <v>0</v>
      </c>
      <c r="G207" s="42" t="str">
        <f>VLOOKUP('Data 1'!$B207,'Data 2'!$A$1:$F$46,MATCH('Data 1'!G$1,'Data 2'!$A$1:$F$1,0),0)</f>
        <v>Product30</v>
      </c>
      <c r="H207" s="42" t="str">
        <f>VLOOKUP('Data 1'!$B207,'Data 2'!$A$1:$F$46,MATCH('Data 1'!H$1,'Data 2'!$A$1:$F$1,0),0)</f>
        <v>Category04</v>
      </c>
      <c r="I207" s="42" t="str">
        <f>VLOOKUP('Data 1'!$B207,'Data 2'!$A$1:$F$46,MATCH('Data 1'!I$1,'Data 2'!$A$1:$F$1,0),0)</f>
        <v>Ft</v>
      </c>
      <c r="J207" s="42">
        <f>VLOOKUP('Data 1'!$B207,'Data 2'!$A$1:$F$46,MATCH('Data 1'!J$1,'Data 2'!$A$1:$F$1,0),0)</f>
        <v>148</v>
      </c>
      <c r="K207" s="42">
        <f>VLOOKUP('Data 1'!$B207,'Data 2'!$A$1:$F$46,MATCH('Data 1'!K$1,'Data 2'!$A$1:$F$1,0),0)</f>
        <v>201.28</v>
      </c>
      <c r="L207" s="40">
        <f>SUM('Data 1'!$J207*'Data 1'!$C207)</f>
        <v>2072</v>
      </c>
      <c r="M207" s="40">
        <f>'Data 1'!$C207*'Data 1'!$K207</f>
        <v>2817.92</v>
      </c>
      <c r="N207" s="40">
        <f>'Data 1'!$M207-'Data 1'!$L207</f>
        <v>745.92000000000007</v>
      </c>
      <c r="O207" s="37">
        <f>DAY('Data 1'!$A207)</f>
        <v>1</v>
      </c>
      <c r="P207" s="37" t="str">
        <f>TEXT('Data 1'!$A207,"mmm")</f>
        <v>Oct</v>
      </c>
      <c r="Q207" s="41">
        <f>YEAR('Data 1'!$A207)</f>
        <v>2021</v>
      </c>
    </row>
    <row r="208" spans="1:17" x14ac:dyDescent="0.3">
      <c r="A208" s="35">
        <v>44471</v>
      </c>
      <c r="B208" s="36" t="s">
        <v>28</v>
      </c>
      <c r="C208" s="37">
        <v>15</v>
      </c>
      <c r="D208" s="37" t="s">
        <v>21</v>
      </c>
      <c r="E208" s="37" t="s">
        <v>17</v>
      </c>
      <c r="F208" s="38">
        <v>0</v>
      </c>
      <c r="G208" s="39" t="str">
        <f>VLOOKUP('Data 1'!$B208,'Data 2'!$A$1:$F$46,MATCH('Data 1'!G$1,'Data 2'!$A$1:$F$1,0),0)</f>
        <v>Product14</v>
      </c>
      <c r="H208" s="39" t="str">
        <f>VLOOKUP('Data 1'!$B208,'Data 2'!$A$1:$F$46,MATCH('Data 1'!H$1,'Data 2'!$A$1:$F$1,0),0)</f>
        <v>Category02</v>
      </c>
      <c r="I208" s="39" t="str">
        <f>VLOOKUP('Data 1'!$B208,'Data 2'!$A$1:$F$46,MATCH('Data 1'!I$1,'Data 2'!$A$1:$F$1,0),0)</f>
        <v>Kg</v>
      </c>
      <c r="J208" s="39">
        <f>VLOOKUP('Data 1'!$B208,'Data 2'!$A$1:$F$46,MATCH('Data 1'!J$1,'Data 2'!$A$1:$F$1,0),0)</f>
        <v>112</v>
      </c>
      <c r="K208" s="39">
        <f>VLOOKUP('Data 1'!$B208,'Data 2'!$A$1:$F$46,MATCH('Data 1'!K$1,'Data 2'!$A$1:$F$1,0),0)</f>
        <v>146.72</v>
      </c>
      <c r="L208" s="40">
        <f>SUM('Data 1'!$J208*'Data 1'!$C208)</f>
        <v>1680</v>
      </c>
      <c r="M208" s="40">
        <f>'Data 1'!$C208*'Data 1'!$K208</f>
        <v>2200.8000000000002</v>
      </c>
      <c r="N208" s="40">
        <f>'Data 1'!$M208-'Data 1'!$L208</f>
        <v>520.80000000000018</v>
      </c>
      <c r="O208" s="37">
        <f>DAY('Data 1'!$A208)</f>
        <v>2</v>
      </c>
      <c r="P208" s="37" t="str">
        <f>TEXT('Data 1'!$A208,"mmm")</f>
        <v>Oct</v>
      </c>
      <c r="Q208" s="41">
        <f>YEAR('Data 1'!$A208)</f>
        <v>2021</v>
      </c>
    </row>
    <row r="209" spans="1:17" x14ac:dyDescent="0.3">
      <c r="A209" s="35">
        <v>44472</v>
      </c>
      <c r="B209" s="36" t="s">
        <v>59</v>
      </c>
      <c r="C209" s="37">
        <v>9</v>
      </c>
      <c r="D209" s="37" t="s">
        <v>21</v>
      </c>
      <c r="E209" s="37" t="s">
        <v>17</v>
      </c>
      <c r="F209" s="38">
        <v>0</v>
      </c>
      <c r="G209" s="42" t="str">
        <f>VLOOKUP('Data 1'!$B209,'Data 2'!$A$1:$F$46,MATCH('Data 1'!G$1,'Data 2'!$A$1:$F$1,0),0)</f>
        <v>Product19</v>
      </c>
      <c r="H209" s="42" t="str">
        <f>VLOOKUP('Data 1'!$B209,'Data 2'!$A$1:$F$46,MATCH('Data 1'!H$1,'Data 2'!$A$1:$F$1,0),0)</f>
        <v>Category02</v>
      </c>
      <c r="I209" s="42" t="str">
        <f>VLOOKUP('Data 1'!$B209,'Data 2'!$A$1:$F$46,MATCH('Data 1'!I$1,'Data 2'!$A$1:$F$1,0),0)</f>
        <v>Ft</v>
      </c>
      <c r="J209" s="42">
        <f>VLOOKUP('Data 1'!$B209,'Data 2'!$A$1:$F$46,MATCH('Data 1'!J$1,'Data 2'!$A$1:$F$1,0),0)</f>
        <v>150</v>
      </c>
      <c r="K209" s="42">
        <f>VLOOKUP('Data 1'!$B209,'Data 2'!$A$1:$F$46,MATCH('Data 1'!K$1,'Data 2'!$A$1:$F$1,0),0)</f>
        <v>210</v>
      </c>
      <c r="L209" s="40">
        <f>SUM('Data 1'!$J209*'Data 1'!$C209)</f>
        <v>1350</v>
      </c>
      <c r="M209" s="40">
        <f>'Data 1'!$C209*'Data 1'!$K209</f>
        <v>1890</v>
      </c>
      <c r="N209" s="40">
        <f>'Data 1'!$M209-'Data 1'!$L209</f>
        <v>540</v>
      </c>
      <c r="O209" s="37">
        <f>DAY('Data 1'!$A209)</f>
        <v>3</v>
      </c>
      <c r="P209" s="37" t="str">
        <f>TEXT('Data 1'!$A209,"mmm")</f>
        <v>Oct</v>
      </c>
      <c r="Q209" s="41">
        <f>YEAR('Data 1'!$A209)</f>
        <v>2021</v>
      </c>
    </row>
    <row r="210" spans="1:17" x14ac:dyDescent="0.3">
      <c r="A210" s="35">
        <v>44475</v>
      </c>
      <c r="B210" s="36" t="s">
        <v>23</v>
      </c>
      <c r="C210" s="37">
        <v>1</v>
      </c>
      <c r="D210" s="37" t="s">
        <v>21</v>
      </c>
      <c r="E210" s="37" t="s">
        <v>17</v>
      </c>
      <c r="F210" s="38">
        <v>0</v>
      </c>
      <c r="G210" s="39" t="str">
        <f>VLOOKUP('Data 1'!$B210,'Data 2'!$A$1:$F$46,MATCH('Data 1'!G$1,'Data 2'!$A$1:$F$1,0),0)</f>
        <v>Product35</v>
      </c>
      <c r="H210" s="39" t="str">
        <f>VLOOKUP('Data 1'!$B210,'Data 2'!$A$1:$F$46,MATCH('Data 1'!H$1,'Data 2'!$A$1:$F$1,0),0)</f>
        <v>Category04</v>
      </c>
      <c r="I210" s="39" t="str">
        <f>VLOOKUP('Data 1'!$B210,'Data 2'!$A$1:$F$46,MATCH('Data 1'!I$1,'Data 2'!$A$1:$F$1,0),0)</f>
        <v>No.</v>
      </c>
      <c r="J210" s="39">
        <f>VLOOKUP('Data 1'!$B210,'Data 2'!$A$1:$F$46,MATCH('Data 1'!J$1,'Data 2'!$A$1:$F$1,0),0)</f>
        <v>5</v>
      </c>
      <c r="K210" s="39">
        <f>VLOOKUP('Data 1'!$B210,'Data 2'!$A$1:$F$46,MATCH('Data 1'!K$1,'Data 2'!$A$1:$F$1,0),0)</f>
        <v>6.7</v>
      </c>
      <c r="L210" s="40">
        <f>SUM('Data 1'!$J210*'Data 1'!$C210)</f>
        <v>5</v>
      </c>
      <c r="M210" s="40">
        <f>'Data 1'!$C210*'Data 1'!$K210</f>
        <v>6.7</v>
      </c>
      <c r="N210" s="40">
        <f>'Data 1'!$M210-'Data 1'!$L210</f>
        <v>1.7000000000000002</v>
      </c>
      <c r="O210" s="37">
        <f>DAY('Data 1'!$A210)</f>
        <v>6</v>
      </c>
      <c r="P210" s="37" t="str">
        <f>TEXT('Data 1'!$A210,"mmm")</f>
        <v>Oct</v>
      </c>
      <c r="Q210" s="41">
        <f>YEAR('Data 1'!$A210)</f>
        <v>2021</v>
      </c>
    </row>
    <row r="211" spans="1:17" x14ac:dyDescent="0.3">
      <c r="A211" s="35">
        <v>44475</v>
      </c>
      <c r="B211" s="36" t="s">
        <v>62</v>
      </c>
      <c r="C211" s="37">
        <v>12</v>
      </c>
      <c r="D211" s="37" t="s">
        <v>17</v>
      </c>
      <c r="E211" s="37" t="s">
        <v>17</v>
      </c>
      <c r="F211" s="38">
        <v>0</v>
      </c>
      <c r="G211" s="42" t="str">
        <f>VLOOKUP('Data 1'!$B211,'Data 2'!$A$1:$F$46,MATCH('Data 1'!G$1,'Data 2'!$A$1:$F$1,0),0)</f>
        <v>Product36</v>
      </c>
      <c r="H211" s="42" t="str">
        <f>VLOOKUP('Data 1'!$B211,'Data 2'!$A$1:$F$46,MATCH('Data 1'!H$1,'Data 2'!$A$1:$F$1,0),0)</f>
        <v>Category04</v>
      </c>
      <c r="I211" s="42" t="str">
        <f>VLOOKUP('Data 1'!$B211,'Data 2'!$A$1:$F$46,MATCH('Data 1'!I$1,'Data 2'!$A$1:$F$1,0),0)</f>
        <v>Kg</v>
      </c>
      <c r="J211" s="42">
        <f>VLOOKUP('Data 1'!$B211,'Data 2'!$A$1:$F$46,MATCH('Data 1'!J$1,'Data 2'!$A$1:$F$1,0),0)</f>
        <v>90</v>
      </c>
      <c r="K211" s="42">
        <f>VLOOKUP('Data 1'!$B211,'Data 2'!$A$1:$F$46,MATCH('Data 1'!K$1,'Data 2'!$A$1:$F$1,0),0)</f>
        <v>96.3</v>
      </c>
      <c r="L211" s="40">
        <f>SUM('Data 1'!$J211*'Data 1'!$C211)</f>
        <v>1080</v>
      </c>
      <c r="M211" s="40">
        <f>'Data 1'!$C211*'Data 1'!$K211</f>
        <v>1155.5999999999999</v>
      </c>
      <c r="N211" s="40">
        <f>'Data 1'!$M211-'Data 1'!$L211</f>
        <v>75.599999999999909</v>
      </c>
      <c r="O211" s="37">
        <f>DAY('Data 1'!$A211)</f>
        <v>6</v>
      </c>
      <c r="P211" s="37" t="str">
        <f>TEXT('Data 1'!$A211,"mmm")</f>
        <v>Oct</v>
      </c>
      <c r="Q211" s="41">
        <f>YEAR('Data 1'!$A211)</f>
        <v>2021</v>
      </c>
    </row>
    <row r="212" spans="1:17" x14ac:dyDescent="0.3">
      <c r="A212" s="35">
        <v>44476</v>
      </c>
      <c r="B212" s="36" t="s">
        <v>61</v>
      </c>
      <c r="C212" s="37">
        <v>6</v>
      </c>
      <c r="D212" s="37" t="s">
        <v>21</v>
      </c>
      <c r="E212" s="37" t="s">
        <v>19</v>
      </c>
      <c r="F212" s="38">
        <v>0</v>
      </c>
      <c r="G212" s="39" t="str">
        <f>VLOOKUP('Data 1'!$B212,'Data 2'!$A$1:$F$46,MATCH('Data 1'!G$1,'Data 2'!$A$1:$F$1,0),0)</f>
        <v>Product26</v>
      </c>
      <c r="H212" s="39" t="str">
        <f>VLOOKUP('Data 1'!$B212,'Data 2'!$A$1:$F$46,MATCH('Data 1'!H$1,'Data 2'!$A$1:$F$1,0),0)</f>
        <v>Category04</v>
      </c>
      <c r="I212" s="39" t="str">
        <f>VLOOKUP('Data 1'!$B212,'Data 2'!$A$1:$F$46,MATCH('Data 1'!I$1,'Data 2'!$A$1:$F$1,0),0)</f>
        <v>No.</v>
      </c>
      <c r="J212" s="39">
        <f>VLOOKUP('Data 1'!$B212,'Data 2'!$A$1:$F$46,MATCH('Data 1'!J$1,'Data 2'!$A$1:$F$1,0),0)</f>
        <v>18</v>
      </c>
      <c r="K212" s="39">
        <f>VLOOKUP('Data 1'!$B212,'Data 2'!$A$1:$F$46,MATCH('Data 1'!K$1,'Data 2'!$A$1:$F$1,0),0)</f>
        <v>24.66</v>
      </c>
      <c r="L212" s="40">
        <f>SUM('Data 1'!$J212*'Data 1'!$C212)</f>
        <v>108</v>
      </c>
      <c r="M212" s="40">
        <f>'Data 1'!$C212*'Data 1'!$K212</f>
        <v>147.96</v>
      </c>
      <c r="N212" s="40">
        <f>'Data 1'!$M212-'Data 1'!$L212</f>
        <v>39.960000000000008</v>
      </c>
      <c r="O212" s="37">
        <f>DAY('Data 1'!$A212)</f>
        <v>7</v>
      </c>
      <c r="P212" s="37" t="str">
        <f>TEXT('Data 1'!$A212,"mmm")</f>
        <v>Oct</v>
      </c>
      <c r="Q212" s="41">
        <f>YEAR('Data 1'!$A212)</f>
        <v>2021</v>
      </c>
    </row>
    <row r="213" spans="1:17" x14ac:dyDescent="0.3">
      <c r="A213" s="35">
        <v>44478</v>
      </c>
      <c r="B213" s="36" t="s">
        <v>18</v>
      </c>
      <c r="C213" s="37">
        <v>5</v>
      </c>
      <c r="D213" s="37" t="s">
        <v>21</v>
      </c>
      <c r="E213" s="37" t="s">
        <v>19</v>
      </c>
      <c r="F213" s="38">
        <v>0</v>
      </c>
      <c r="G213" s="42" t="str">
        <f>VLOOKUP('Data 1'!$B213,'Data 2'!$A$1:$F$46,MATCH('Data 1'!G$1,'Data 2'!$A$1:$F$1,0),0)</f>
        <v>Product38</v>
      </c>
      <c r="H213" s="42" t="str">
        <f>VLOOKUP('Data 1'!$B213,'Data 2'!$A$1:$F$46,MATCH('Data 1'!H$1,'Data 2'!$A$1:$F$1,0),0)</f>
        <v>Category05</v>
      </c>
      <c r="I213" s="42" t="str">
        <f>VLOOKUP('Data 1'!$B213,'Data 2'!$A$1:$F$46,MATCH('Data 1'!I$1,'Data 2'!$A$1:$F$1,0),0)</f>
        <v>Kg</v>
      </c>
      <c r="J213" s="42">
        <f>VLOOKUP('Data 1'!$B213,'Data 2'!$A$1:$F$46,MATCH('Data 1'!J$1,'Data 2'!$A$1:$F$1,0),0)</f>
        <v>72</v>
      </c>
      <c r="K213" s="42">
        <f>VLOOKUP('Data 1'!$B213,'Data 2'!$A$1:$F$46,MATCH('Data 1'!K$1,'Data 2'!$A$1:$F$1,0),0)</f>
        <v>79.92</v>
      </c>
      <c r="L213" s="40">
        <f>SUM('Data 1'!$J213*'Data 1'!$C213)</f>
        <v>360</v>
      </c>
      <c r="M213" s="40">
        <f>'Data 1'!$C213*'Data 1'!$K213</f>
        <v>399.6</v>
      </c>
      <c r="N213" s="40">
        <f>'Data 1'!$M213-'Data 1'!$L213</f>
        <v>39.600000000000023</v>
      </c>
      <c r="O213" s="37">
        <f>DAY('Data 1'!$A213)</f>
        <v>9</v>
      </c>
      <c r="P213" s="37" t="str">
        <f>TEXT('Data 1'!$A213,"mmm")</f>
        <v>Oct</v>
      </c>
      <c r="Q213" s="41">
        <f>YEAR('Data 1'!$A213)</f>
        <v>2021</v>
      </c>
    </row>
    <row r="214" spans="1:17" x14ac:dyDescent="0.3">
      <c r="A214" s="35">
        <v>44478</v>
      </c>
      <c r="B214" s="36" t="s">
        <v>37</v>
      </c>
      <c r="C214" s="37">
        <v>11</v>
      </c>
      <c r="D214" s="37" t="s">
        <v>17</v>
      </c>
      <c r="E214" s="37" t="s">
        <v>19</v>
      </c>
      <c r="F214" s="38">
        <v>0</v>
      </c>
      <c r="G214" s="39" t="str">
        <f>VLOOKUP('Data 1'!$B214,'Data 2'!$A$1:$F$46,MATCH('Data 1'!G$1,'Data 2'!$A$1:$F$1,0),0)</f>
        <v>Product32</v>
      </c>
      <c r="H214" s="39" t="str">
        <f>VLOOKUP('Data 1'!$B214,'Data 2'!$A$1:$F$46,MATCH('Data 1'!H$1,'Data 2'!$A$1:$F$1,0),0)</f>
        <v>Category04</v>
      </c>
      <c r="I214" s="39" t="str">
        <f>VLOOKUP('Data 1'!$B214,'Data 2'!$A$1:$F$46,MATCH('Data 1'!I$1,'Data 2'!$A$1:$F$1,0),0)</f>
        <v>Kg</v>
      </c>
      <c r="J214" s="39">
        <f>VLOOKUP('Data 1'!$B214,'Data 2'!$A$1:$F$46,MATCH('Data 1'!J$1,'Data 2'!$A$1:$F$1,0),0)</f>
        <v>89</v>
      </c>
      <c r="K214" s="39">
        <f>VLOOKUP('Data 1'!$B214,'Data 2'!$A$1:$F$46,MATCH('Data 1'!K$1,'Data 2'!$A$1:$F$1,0),0)</f>
        <v>117.48</v>
      </c>
      <c r="L214" s="40">
        <f>SUM('Data 1'!$J214*'Data 1'!$C214)</f>
        <v>979</v>
      </c>
      <c r="M214" s="40">
        <f>'Data 1'!$C214*'Data 1'!$K214</f>
        <v>1292.28</v>
      </c>
      <c r="N214" s="40">
        <f>'Data 1'!$M214-'Data 1'!$L214</f>
        <v>313.27999999999997</v>
      </c>
      <c r="O214" s="37">
        <f>DAY('Data 1'!$A214)</f>
        <v>9</v>
      </c>
      <c r="P214" s="37" t="str">
        <f>TEXT('Data 1'!$A214,"mmm")</f>
        <v>Oct</v>
      </c>
      <c r="Q214" s="41">
        <f>YEAR('Data 1'!$A214)</f>
        <v>2021</v>
      </c>
    </row>
    <row r="215" spans="1:17" x14ac:dyDescent="0.3">
      <c r="A215" s="35">
        <v>44479</v>
      </c>
      <c r="B215" s="36" t="s">
        <v>23</v>
      </c>
      <c r="C215" s="37">
        <v>14</v>
      </c>
      <c r="D215" s="37" t="s">
        <v>21</v>
      </c>
      <c r="E215" s="37" t="s">
        <v>19</v>
      </c>
      <c r="F215" s="38">
        <v>0</v>
      </c>
      <c r="G215" s="42" t="str">
        <f>VLOOKUP('Data 1'!$B215,'Data 2'!$A$1:$F$46,MATCH('Data 1'!G$1,'Data 2'!$A$1:$F$1,0),0)</f>
        <v>Product35</v>
      </c>
      <c r="H215" s="42" t="str">
        <f>VLOOKUP('Data 1'!$B215,'Data 2'!$A$1:$F$46,MATCH('Data 1'!H$1,'Data 2'!$A$1:$F$1,0),0)</f>
        <v>Category04</v>
      </c>
      <c r="I215" s="42" t="str">
        <f>VLOOKUP('Data 1'!$B215,'Data 2'!$A$1:$F$46,MATCH('Data 1'!I$1,'Data 2'!$A$1:$F$1,0),0)</f>
        <v>No.</v>
      </c>
      <c r="J215" s="42">
        <f>VLOOKUP('Data 1'!$B215,'Data 2'!$A$1:$F$46,MATCH('Data 1'!J$1,'Data 2'!$A$1:$F$1,0),0)</f>
        <v>5</v>
      </c>
      <c r="K215" s="42">
        <f>VLOOKUP('Data 1'!$B215,'Data 2'!$A$1:$F$46,MATCH('Data 1'!K$1,'Data 2'!$A$1:$F$1,0),0)</f>
        <v>6.7</v>
      </c>
      <c r="L215" s="40">
        <f>SUM('Data 1'!$J215*'Data 1'!$C215)</f>
        <v>70</v>
      </c>
      <c r="M215" s="40">
        <f>'Data 1'!$C215*'Data 1'!$K215</f>
        <v>93.8</v>
      </c>
      <c r="N215" s="40">
        <f>'Data 1'!$M215-'Data 1'!$L215</f>
        <v>23.799999999999997</v>
      </c>
      <c r="O215" s="37">
        <f>DAY('Data 1'!$A215)</f>
        <v>10</v>
      </c>
      <c r="P215" s="37" t="str">
        <f>TEXT('Data 1'!$A215,"mmm")</f>
        <v>Oct</v>
      </c>
      <c r="Q215" s="41">
        <f>YEAR('Data 1'!$A215)</f>
        <v>2021</v>
      </c>
    </row>
    <row r="216" spans="1:17" x14ac:dyDescent="0.3">
      <c r="A216" s="35">
        <v>44480</v>
      </c>
      <c r="B216" s="36" t="s">
        <v>50</v>
      </c>
      <c r="C216" s="37">
        <v>15</v>
      </c>
      <c r="D216" s="37" t="s">
        <v>21</v>
      </c>
      <c r="E216" s="37" t="s">
        <v>19</v>
      </c>
      <c r="F216" s="38">
        <v>0</v>
      </c>
      <c r="G216" s="39" t="str">
        <f>VLOOKUP('Data 1'!$B216,'Data 2'!$A$1:$F$46,MATCH('Data 1'!G$1,'Data 2'!$A$1:$F$1,0),0)</f>
        <v>Product11</v>
      </c>
      <c r="H216" s="39" t="str">
        <f>VLOOKUP('Data 1'!$B216,'Data 2'!$A$1:$F$46,MATCH('Data 1'!H$1,'Data 2'!$A$1:$F$1,0),0)</f>
        <v>Category02</v>
      </c>
      <c r="I216" s="39" t="str">
        <f>VLOOKUP('Data 1'!$B216,'Data 2'!$A$1:$F$46,MATCH('Data 1'!I$1,'Data 2'!$A$1:$F$1,0),0)</f>
        <v>Lt</v>
      </c>
      <c r="J216" s="39">
        <f>VLOOKUP('Data 1'!$B216,'Data 2'!$A$1:$F$46,MATCH('Data 1'!J$1,'Data 2'!$A$1:$F$1,0),0)</f>
        <v>44</v>
      </c>
      <c r="K216" s="39">
        <f>VLOOKUP('Data 1'!$B216,'Data 2'!$A$1:$F$46,MATCH('Data 1'!K$1,'Data 2'!$A$1:$F$1,0),0)</f>
        <v>48.4</v>
      </c>
      <c r="L216" s="40">
        <f>SUM('Data 1'!$J216*'Data 1'!$C216)</f>
        <v>660</v>
      </c>
      <c r="M216" s="40">
        <f>'Data 1'!$C216*'Data 1'!$K216</f>
        <v>726</v>
      </c>
      <c r="N216" s="40">
        <f>'Data 1'!$M216-'Data 1'!$L216</f>
        <v>66</v>
      </c>
      <c r="O216" s="37">
        <f>DAY('Data 1'!$A216)</f>
        <v>11</v>
      </c>
      <c r="P216" s="37" t="str">
        <f>TEXT('Data 1'!$A216,"mmm")</f>
        <v>Oct</v>
      </c>
      <c r="Q216" s="41">
        <f>YEAR('Data 1'!$A216)</f>
        <v>2021</v>
      </c>
    </row>
    <row r="217" spans="1:17" x14ac:dyDescent="0.3">
      <c r="A217" s="35">
        <v>44481</v>
      </c>
      <c r="B217" s="36" t="s">
        <v>45</v>
      </c>
      <c r="C217" s="37">
        <v>8</v>
      </c>
      <c r="D217" s="37" t="s">
        <v>17</v>
      </c>
      <c r="E217" s="37" t="s">
        <v>17</v>
      </c>
      <c r="F217" s="38">
        <v>0</v>
      </c>
      <c r="G217" s="42" t="str">
        <f>VLOOKUP('Data 1'!$B217,'Data 2'!$A$1:$F$46,MATCH('Data 1'!G$1,'Data 2'!$A$1:$F$1,0),0)</f>
        <v>Product27</v>
      </c>
      <c r="H217" s="42" t="str">
        <f>VLOOKUP('Data 1'!$B217,'Data 2'!$A$1:$F$46,MATCH('Data 1'!H$1,'Data 2'!$A$1:$F$1,0),0)</f>
        <v>Category04</v>
      </c>
      <c r="I217" s="42" t="str">
        <f>VLOOKUP('Data 1'!$B217,'Data 2'!$A$1:$F$46,MATCH('Data 1'!I$1,'Data 2'!$A$1:$F$1,0),0)</f>
        <v>Lt</v>
      </c>
      <c r="J217" s="42">
        <f>VLOOKUP('Data 1'!$B217,'Data 2'!$A$1:$F$46,MATCH('Data 1'!J$1,'Data 2'!$A$1:$F$1,0),0)</f>
        <v>48</v>
      </c>
      <c r="K217" s="42">
        <f>VLOOKUP('Data 1'!$B217,'Data 2'!$A$1:$F$46,MATCH('Data 1'!K$1,'Data 2'!$A$1:$F$1,0),0)</f>
        <v>57.120000000000005</v>
      </c>
      <c r="L217" s="40">
        <f>SUM('Data 1'!$J217*'Data 1'!$C217)</f>
        <v>384</v>
      </c>
      <c r="M217" s="40">
        <f>'Data 1'!$C217*'Data 1'!$K217</f>
        <v>456.96000000000004</v>
      </c>
      <c r="N217" s="40">
        <f>'Data 1'!$M217-'Data 1'!$L217</f>
        <v>72.960000000000036</v>
      </c>
      <c r="O217" s="37">
        <f>DAY('Data 1'!$A217)</f>
        <v>12</v>
      </c>
      <c r="P217" s="37" t="str">
        <f>TEXT('Data 1'!$A217,"mmm")</f>
        <v>Oct</v>
      </c>
      <c r="Q217" s="41">
        <f>YEAR('Data 1'!$A217)</f>
        <v>2021</v>
      </c>
    </row>
    <row r="218" spans="1:17" x14ac:dyDescent="0.3">
      <c r="A218" s="35">
        <v>44486</v>
      </c>
      <c r="B218" s="36" t="s">
        <v>35</v>
      </c>
      <c r="C218" s="37">
        <v>13</v>
      </c>
      <c r="D218" s="37" t="s">
        <v>21</v>
      </c>
      <c r="E218" s="37" t="s">
        <v>17</v>
      </c>
      <c r="F218" s="38">
        <v>0</v>
      </c>
      <c r="G218" s="39" t="str">
        <f>VLOOKUP('Data 1'!$B218,'Data 2'!$A$1:$F$46,MATCH('Data 1'!G$1,'Data 2'!$A$1:$F$1,0),0)</f>
        <v>Product01</v>
      </c>
      <c r="H218" s="39" t="str">
        <f>VLOOKUP('Data 1'!$B218,'Data 2'!$A$1:$F$46,MATCH('Data 1'!H$1,'Data 2'!$A$1:$F$1,0),0)</f>
        <v>Category01</v>
      </c>
      <c r="I218" s="39" t="str">
        <f>VLOOKUP('Data 1'!$B218,'Data 2'!$A$1:$F$46,MATCH('Data 1'!I$1,'Data 2'!$A$1:$F$1,0),0)</f>
        <v>Kg</v>
      </c>
      <c r="J218" s="39">
        <f>VLOOKUP('Data 1'!$B218,'Data 2'!$A$1:$F$46,MATCH('Data 1'!J$1,'Data 2'!$A$1:$F$1,0),0)</f>
        <v>98</v>
      </c>
      <c r="K218" s="39">
        <f>VLOOKUP('Data 1'!$B218,'Data 2'!$A$1:$F$46,MATCH('Data 1'!K$1,'Data 2'!$A$1:$F$1,0),0)</f>
        <v>103.88</v>
      </c>
      <c r="L218" s="40">
        <f>SUM('Data 1'!$J218*'Data 1'!$C218)</f>
        <v>1274</v>
      </c>
      <c r="M218" s="40">
        <f>'Data 1'!$C218*'Data 1'!$K218</f>
        <v>1350.44</v>
      </c>
      <c r="N218" s="40">
        <f>'Data 1'!$M218-'Data 1'!$L218</f>
        <v>76.440000000000055</v>
      </c>
      <c r="O218" s="37">
        <f>DAY('Data 1'!$A218)</f>
        <v>17</v>
      </c>
      <c r="P218" s="37" t="str">
        <f>TEXT('Data 1'!$A218,"mmm")</f>
        <v>Oct</v>
      </c>
      <c r="Q218" s="41">
        <f>YEAR('Data 1'!$A218)</f>
        <v>2021</v>
      </c>
    </row>
    <row r="219" spans="1:17" x14ac:dyDescent="0.3">
      <c r="A219" s="35">
        <v>44487</v>
      </c>
      <c r="B219" s="36" t="s">
        <v>26</v>
      </c>
      <c r="C219" s="37">
        <v>6</v>
      </c>
      <c r="D219" s="37" t="s">
        <v>17</v>
      </c>
      <c r="E219" s="37" t="s">
        <v>19</v>
      </c>
      <c r="F219" s="38">
        <v>0</v>
      </c>
      <c r="G219" s="42" t="str">
        <f>VLOOKUP('Data 1'!$B219,'Data 2'!$A$1:$F$46,MATCH('Data 1'!G$1,'Data 2'!$A$1:$F$1,0),0)</f>
        <v>Product25</v>
      </c>
      <c r="H219" s="42" t="str">
        <f>VLOOKUP('Data 1'!$B219,'Data 2'!$A$1:$F$46,MATCH('Data 1'!H$1,'Data 2'!$A$1:$F$1,0),0)</f>
        <v>Category03</v>
      </c>
      <c r="I219" s="42" t="str">
        <f>VLOOKUP('Data 1'!$B219,'Data 2'!$A$1:$F$46,MATCH('Data 1'!I$1,'Data 2'!$A$1:$F$1,0),0)</f>
        <v>No.</v>
      </c>
      <c r="J219" s="42">
        <f>VLOOKUP('Data 1'!$B219,'Data 2'!$A$1:$F$46,MATCH('Data 1'!J$1,'Data 2'!$A$1:$F$1,0),0)</f>
        <v>7</v>
      </c>
      <c r="K219" s="42">
        <f>VLOOKUP('Data 1'!$B219,'Data 2'!$A$1:$F$46,MATCH('Data 1'!K$1,'Data 2'!$A$1:$F$1,0),0)</f>
        <v>8.33</v>
      </c>
      <c r="L219" s="40">
        <f>SUM('Data 1'!$J219*'Data 1'!$C219)</f>
        <v>42</v>
      </c>
      <c r="M219" s="40">
        <f>'Data 1'!$C219*'Data 1'!$K219</f>
        <v>49.980000000000004</v>
      </c>
      <c r="N219" s="40">
        <f>'Data 1'!$M219-'Data 1'!$L219</f>
        <v>7.980000000000004</v>
      </c>
      <c r="O219" s="37">
        <f>DAY('Data 1'!$A219)</f>
        <v>18</v>
      </c>
      <c r="P219" s="37" t="str">
        <f>TEXT('Data 1'!$A219,"mmm")</f>
        <v>Oct</v>
      </c>
      <c r="Q219" s="41">
        <f>YEAR('Data 1'!$A219)</f>
        <v>2021</v>
      </c>
    </row>
    <row r="220" spans="1:17" x14ac:dyDescent="0.3">
      <c r="A220" s="35">
        <v>44487</v>
      </c>
      <c r="B220" s="36" t="s">
        <v>51</v>
      </c>
      <c r="C220" s="37">
        <v>13</v>
      </c>
      <c r="D220" s="37" t="s">
        <v>17</v>
      </c>
      <c r="E220" s="37" t="s">
        <v>19</v>
      </c>
      <c r="F220" s="38">
        <v>0</v>
      </c>
      <c r="G220" s="39" t="str">
        <f>VLOOKUP('Data 1'!$B220,'Data 2'!$A$1:$F$46,MATCH('Data 1'!G$1,'Data 2'!$A$1:$F$1,0),0)</f>
        <v>Product21</v>
      </c>
      <c r="H220" s="39" t="str">
        <f>VLOOKUP('Data 1'!$B220,'Data 2'!$A$1:$F$46,MATCH('Data 1'!H$1,'Data 2'!$A$1:$F$1,0),0)</f>
        <v>Category03</v>
      </c>
      <c r="I220" s="39" t="str">
        <f>VLOOKUP('Data 1'!$B220,'Data 2'!$A$1:$F$46,MATCH('Data 1'!I$1,'Data 2'!$A$1:$F$1,0),0)</f>
        <v>Ft</v>
      </c>
      <c r="J220" s="39">
        <f>VLOOKUP('Data 1'!$B220,'Data 2'!$A$1:$F$46,MATCH('Data 1'!J$1,'Data 2'!$A$1:$F$1,0),0)</f>
        <v>126</v>
      </c>
      <c r="K220" s="39">
        <f>VLOOKUP('Data 1'!$B220,'Data 2'!$A$1:$F$46,MATCH('Data 1'!K$1,'Data 2'!$A$1:$F$1,0),0)</f>
        <v>162.54</v>
      </c>
      <c r="L220" s="40">
        <f>SUM('Data 1'!$J220*'Data 1'!$C220)</f>
        <v>1638</v>
      </c>
      <c r="M220" s="40">
        <f>'Data 1'!$C220*'Data 1'!$K220</f>
        <v>2113.02</v>
      </c>
      <c r="N220" s="40">
        <f>'Data 1'!$M220-'Data 1'!$L220</f>
        <v>475.02</v>
      </c>
      <c r="O220" s="37">
        <f>DAY('Data 1'!$A220)</f>
        <v>18</v>
      </c>
      <c r="P220" s="37" t="str">
        <f>TEXT('Data 1'!$A220,"mmm")</f>
        <v>Oct</v>
      </c>
      <c r="Q220" s="41">
        <f>YEAR('Data 1'!$A220)</f>
        <v>2021</v>
      </c>
    </row>
    <row r="221" spans="1:17" x14ac:dyDescent="0.3">
      <c r="A221" s="35">
        <v>44491</v>
      </c>
      <c r="B221" s="36" t="s">
        <v>50</v>
      </c>
      <c r="C221" s="37">
        <v>7</v>
      </c>
      <c r="D221" s="37" t="s">
        <v>21</v>
      </c>
      <c r="E221" s="37" t="s">
        <v>19</v>
      </c>
      <c r="F221" s="38">
        <v>0</v>
      </c>
      <c r="G221" s="42" t="str">
        <f>VLOOKUP('Data 1'!$B221,'Data 2'!$A$1:$F$46,MATCH('Data 1'!G$1,'Data 2'!$A$1:$F$1,0),0)</f>
        <v>Product11</v>
      </c>
      <c r="H221" s="42" t="str">
        <f>VLOOKUP('Data 1'!$B221,'Data 2'!$A$1:$F$46,MATCH('Data 1'!H$1,'Data 2'!$A$1:$F$1,0),0)</f>
        <v>Category02</v>
      </c>
      <c r="I221" s="42" t="str">
        <f>VLOOKUP('Data 1'!$B221,'Data 2'!$A$1:$F$46,MATCH('Data 1'!I$1,'Data 2'!$A$1:$F$1,0),0)</f>
        <v>Lt</v>
      </c>
      <c r="J221" s="42">
        <f>VLOOKUP('Data 1'!$B221,'Data 2'!$A$1:$F$46,MATCH('Data 1'!J$1,'Data 2'!$A$1:$F$1,0),0)</f>
        <v>44</v>
      </c>
      <c r="K221" s="42">
        <f>VLOOKUP('Data 1'!$B221,'Data 2'!$A$1:$F$46,MATCH('Data 1'!K$1,'Data 2'!$A$1:$F$1,0),0)</f>
        <v>48.4</v>
      </c>
      <c r="L221" s="40">
        <f>SUM('Data 1'!$J221*'Data 1'!$C221)</f>
        <v>308</v>
      </c>
      <c r="M221" s="40">
        <f>'Data 1'!$C221*'Data 1'!$K221</f>
        <v>338.8</v>
      </c>
      <c r="N221" s="40">
        <f>'Data 1'!$M221-'Data 1'!$L221</f>
        <v>30.800000000000011</v>
      </c>
      <c r="O221" s="37">
        <f>DAY('Data 1'!$A221)</f>
        <v>22</v>
      </c>
      <c r="P221" s="37" t="str">
        <f>TEXT('Data 1'!$A221,"mmm")</f>
        <v>Oct</v>
      </c>
      <c r="Q221" s="41">
        <f>YEAR('Data 1'!$A221)</f>
        <v>2021</v>
      </c>
    </row>
    <row r="222" spans="1:17" x14ac:dyDescent="0.3">
      <c r="A222" s="35">
        <v>44491</v>
      </c>
      <c r="B222" s="36" t="s">
        <v>15</v>
      </c>
      <c r="C222" s="37">
        <v>13</v>
      </c>
      <c r="D222" s="37" t="s">
        <v>17</v>
      </c>
      <c r="E222" s="37" t="s">
        <v>19</v>
      </c>
      <c r="F222" s="38">
        <v>0</v>
      </c>
      <c r="G222" s="39" t="str">
        <f>VLOOKUP('Data 1'!$B222,'Data 2'!$A$1:$F$46,MATCH('Data 1'!G$1,'Data 2'!$A$1:$F$1,0),0)</f>
        <v>Product24</v>
      </c>
      <c r="H222" s="39" t="str">
        <f>VLOOKUP('Data 1'!$B222,'Data 2'!$A$1:$F$46,MATCH('Data 1'!H$1,'Data 2'!$A$1:$F$1,0),0)</f>
        <v>Category03</v>
      </c>
      <c r="I222" s="39" t="str">
        <f>VLOOKUP('Data 1'!$B222,'Data 2'!$A$1:$F$46,MATCH('Data 1'!I$1,'Data 2'!$A$1:$F$1,0),0)</f>
        <v>Ft</v>
      </c>
      <c r="J222" s="39">
        <f>VLOOKUP('Data 1'!$B222,'Data 2'!$A$1:$F$46,MATCH('Data 1'!J$1,'Data 2'!$A$1:$F$1,0),0)</f>
        <v>144</v>
      </c>
      <c r="K222" s="39">
        <f>VLOOKUP('Data 1'!$B222,'Data 2'!$A$1:$F$46,MATCH('Data 1'!K$1,'Data 2'!$A$1:$F$1,0),0)</f>
        <v>156.96</v>
      </c>
      <c r="L222" s="40">
        <f>SUM('Data 1'!$J222*'Data 1'!$C222)</f>
        <v>1872</v>
      </c>
      <c r="M222" s="40">
        <f>'Data 1'!$C222*'Data 1'!$K222</f>
        <v>2040.48</v>
      </c>
      <c r="N222" s="40">
        <f>'Data 1'!$M222-'Data 1'!$L222</f>
        <v>168.48000000000002</v>
      </c>
      <c r="O222" s="37">
        <f>DAY('Data 1'!$A222)</f>
        <v>22</v>
      </c>
      <c r="P222" s="37" t="str">
        <f>TEXT('Data 1'!$A222,"mmm")</f>
        <v>Oct</v>
      </c>
      <c r="Q222" s="41">
        <f>YEAR('Data 1'!$A222)</f>
        <v>2021</v>
      </c>
    </row>
    <row r="223" spans="1:17" x14ac:dyDescent="0.3">
      <c r="A223" s="35">
        <v>44491</v>
      </c>
      <c r="B223" s="36" t="s">
        <v>56</v>
      </c>
      <c r="C223" s="37">
        <v>1</v>
      </c>
      <c r="D223" s="37" t="s">
        <v>21</v>
      </c>
      <c r="E223" s="37" t="s">
        <v>19</v>
      </c>
      <c r="F223" s="38">
        <v>0</v>
      </c>
      <c r="G223" s="42" t="str">
        <f>VLOOKUP('Data 1'!$B223,'Data 2'!$A$1:$F$46,MATCH('Data 1'!G$1,'Data 2'!$A$1:$F$1,0),0)</f>
        <v>Product09</v>
      </c>
      <c r="H223" s="42" t="str">
        <f>VLOOKUP('Data 1'!$B223,'Data 2'!$A$1:$F$46,MATCH('Data 1'!H$1,'Data 2'!$A$1:$F$1,0),0)</f>
        <v>Category03</v>
      </c>
      <c r="I223" s="42" t="str">
        <f>VLOOKUP('Data 1'!$B223,'Data 2'!$A$1:$F$46,MATCH('Data 1'!I$1,'Data 2'!$A$1:$F$1,0),0)</f>
        <v>No.</v>
      </c>
      <c r="J223" s="42">
        <f>VLOOKUP('Data 1'!$B223,'Data 2'!$A$1:$F$46,MATCH('Data 1'!J$1,'Data 2'!$A$1:$F$1,0),0)</f>
        <v>6</v>
      </c>
      <c r="K223" s="42">
        <f>VLOOKUP('Data 1'!$B223,'Data 2'!$A$1:$F$46,MATCH('Data 1'!K$1,'Data 2'!$A$1:$F$1,0),0)</f>
        <v>7.8599999999999994</v>
      </c>
      <c r="L223" s="40">
        <f>SUM('Data 1'!$J223*'Data 1'!$C223)</f>
        <v>6</v>
      </c>
      <c r="M223" s="40">
        <f>'Data 1'!$C223*'Data 1'!$K223</f>
        <v>7.8599999999999994</v>
      </c>
      <c r="N223" s="40">
        <f>'Data 1'!$M223-'Data 1'!$L223</f>
        <v>1.8599999999999994</v>
      </c>
      <c r="O223" s="37">
        <f>DAY('Data 1'!$A223)</f>
        <v>22</v>
      </c>
      <c r="P223" s="37" t="str">
        <f>TEXT('Data 1'!$A223,"mmm")</f>
        <v>Oct</v>
      </c>
      <c r="Q223" s="41">
        <f>YEAR('Data 1'!$A223)</f>
        <v>2021</v>
      </c>
    </row>
    <row r="224" spans="1:17" x14ac:dyDescent="0.3">
      <c r="A224" s="35">
        <v>44493</v>
      </c>
      <c r="B224" s="36" t="s">
        <v>50</v>
      </c>
      <c r="C224" s="37">
        <v>3</v>
      </c>
      <c r="D224" s="37" t="s">
        <v>16</v>
      </c>
      <c r="E224" s="37" t="s">
        <v>19</v>
      </c>
      <c r="F224" s="38">
        <v>0</v>
      </c>
      <c r="G224" s="39" t="str">
        <f>VLOOKUP('Data 1'!$B224,'Data 2'!$A$1:$F$46,MATCH('Data 1'!G$1,'Data 2'!$A$1:$F$1,0),0)</f>
        <v>Product11</v>
      </c>
      <c r="H224" s="39" t="str">
        <f>VLOOKUP('Data 1'!$B224,'Data 2'!$A$1:$F$46,MATCH('Data 1'!H$1,'Data 2'!$A$1:$F$1,0),0)</f>
        <v>Category02</v>
      </c>
      <c r="I224" s="39" t="str">
        <f>VLOOKUP('Data 1'!$B224,'Data 2'!$A$1:$F$46,MATCH('Data 1'!I$1,'Data 2'!$A$1:$F$1,0),0)</f>
        <v>Lt</v>
      </c>
      <c r="J224" s="39">
        <f>VLOOKUP('Data 1'!$B224,'Data 2'!$A$1:$F$46,MATCH('Data 1'!J$1,'Data 2'!$A$1:$F$1,0),0)</f>
        <v>44</v>
      </c>
      <c r="K224" s="39">
        <f>VLOOKUP('Data 1'!$B224,'Data 2'!$A$1:$F$46,MATCH('Data 1'!K$1,'Data 2'!$A$1:$F$1,0),0)</f>
        <v>48.4</v>
      </c>
      <c r="L224" s="40">
        <f>SUM('Data 1'!$J224*'Data 1'!$C224)</f>
        <v>132</v>
      </c>
      <c r="M224" s="40">
        <f>'Data 1'!$C224*'Data 1'!$K224</f>
        <v>145.19999999999999</v>
      </c>
      <c r="N224" s="40">
        <f>'Data 1'!$M224-'Data 1'!$L224</f>
        <v>13.199999999999989</v>
      </c>
      <c r="O224" s="37">
        <f>DAY('Data 1'!$A224)</f>
        <v>24</v>
      </c>
      <c r="P224" s="37" t="str">
        <f>TEXT('Data 1'!$A224,"mmm")</f>
        <v>Oct</v>
      </c>
      <c r="Q224" s="41">
        <f>YEAR('Data 1'!$A224)</f>
        <v>2021</v>
      </c>
    </row>
    <row r="225" spans="1:17" x14ac:dyDescent="0.3">
      <c r="A225" s="35">
        <v>44494</v>
      </c>
      <c r="B225" s="36" t="s">
        <v>30</v>
      </c>
      <c r="C225" s="37">
        <v>9</v>
      </c>
      <c r="D225" s="37" t="s">
        <v>17</v>
      </c>
      <c r="E225" s="37" t="s">
        <v>19</v>
      </c>
      <c r="F225" s="38">
        <v>0</v>
      </c>
      <c r="G225" s="42" t="str">
        <f>VLOOKUP('Data 1'!$B225,'Data 2'!$A$1:$F$46,MATCH('Data 1'!G$1,'Data 2'!$A$1:$F$1,0),0)</f>
        <v>Product44</v>
      </c>
      <c r="H225" s="42" t="str">
        <f>VLOOKUP('Data 1'!$B225,'Data 2'!$A$1:$F$46,MATCH('Data 1'!H$1,'Data 2'!$A$1:$F$1,0),0)</f>
        <v>Category05</v>
      </c>
      <c r="I225" s="42" t="str">
        <f>VLOOKUP('Data 1'!$B225,'Data 2'!$A$1:$F$46,MATCH('Data 1'!I$1,'Data 2'!$A$1:$F$1,0),0)</f>
        <v>Kg</v>
      </c>
      <c r="J225" s="42">
        <f>VLOOKUP('Data 1'!$B225,'Data 2'!$A$1:$F$46,MATCH('Data 1'!J$1,'Data 2'!$A$1:$F$1,0),0)</f>
        <v>76</v>
      </c>
      <c r="K225" s="42">
        <f>VLOOKUP('Data 1'!$B225,'Data 2'!$A$1:$F$46,MATCH('Data 1'!K$1,'Data 2'!$A$1:$F$1,0),0)</f>
        <v>82.08</v>
      </c>
      <c r="L225" s="40">
        <f>SUM('Data 1'!$J225*'Data 1'!$C225)</f>
        <v>684</v>
      </c>
      <c r="M225" s="40">
        <f>'Data 1'!$C225*'Data 1'!$K225</f>
        <v>738.72</v>
      </c>
      <c r="N225" s="40">
        <f>'Data 1'!$M225-'Data 1'!$L225</f>
        <v>54.720000000000027</v>
      </c>
      <c r="O225" s="37">
        <f>DAY('Data 1'!$A225)</f>
        <v>25</v>
      </c>
      <c r="P225" s="37" t="str">
        <f>TEXT('Data 1'!$A225,"mmm")</f>
        <v>Oct</v>
      </c>
      <c r="Q225" s="41">
        <f>YEAR('Data 1'!$A225)</f>
        <v>2021</v>
      </c>
    </row>
    <row r="226" spans="1:17" x14ac:dyDescent="0.3">
      <c r="A226" s="35">
        <v>44495</v>
      </c>
      <c r="B226" s="36" t="s">
        <v>22</v>
      </c>
      <c r="C226" s="37">
        <v>6</v>
      </c>
      <c r="D226" s="37" t="s">
        <v>16</v>
      </c>
      <c r="E226" s="37" t="s">
        <v>19</v>
      </c>
      <c r="F226" s="38">
        <v>0</v>
      </c>
      <c r="G226" s="39" t="str">
        <f>VLOOKUP('Data 1'!$B226,'Data 2'!$A$1:$F$46,MATCH('Data 1'!G$1,'Data 2'!$A$1:$F$1,0),0)</f>
        <v>Product04</v>
      </c>
      <c r="H226" s="39" t="str">
        <f>VLOOKUP('Data 1'!$B226,'Data 2'!$A$1:$F$46,MATCH('Data 1'!H$1,'Data 2'!$A$1:$F$1,0),0)</f>
        <v>Category01</v>
      </c>
      <c r="I226" s="39" t="str">
        <f>VLOOKUP('Data 1'!$B226,'Data 2'!$A$1:$F$46,MATCH('Data 1'!I$1,'Data 2'!$A$1:$F$1,0),0)</f>
        <v>Lt</v>
      </c>
      <c r="J226" s="39">
        <f>VLOOKUP('Data 1'!$B226,'Data 2'!$A$1:$F$46,MATCH('Data 1'!J$1,'Data 2'!$A$1:$F$1,0),0)</f>
        <v>44</v>
      </c>
      <c r="K226" s="39">
        <f>VLOOKUP('Data 1'!$B226,'Data 2'!$A$1:$F$46,MATCH('Data 1'!K$1,'Data 2'!$A$1:$F$1,0),0)</f>
        <v>48.84</v>
      </c>
      <c r="L226" s="40">
        <f>SUM('Data 1'!$J226*'Data 1'!$C226)</f>
        <v>264</v>
      </c>
      <c r="M226" s="40">
        <f>'Data 1'!$C226*'Data 1'!$K226</f>
        <v>293.04000000000002</v>
      </c>
      <c r="N226" s="40">
        <f>'Data 1'!$M226-'Data 1'!$L226</f>
        <v>29.04000000000002</v>
      </c>
      <c r="O226" s="37">
        <f>DAY('Data 1'!$A226)</f>
        <v>26</v>
      </c>
      <c r="P226" s="37" t="str">
        <f>TEXT('Data 1'!$A226,"mmm")</f>
        <v>Oct</v>
      </c>
      <c r="Q226" s="41">
        <f>YEAR('Data 1'!$A226)</f>
        <v>2021</v>
      </c>
    </row>
    <row r="227" spans="1:17" x14ac:dyDescent="0.3">
      <c r="A227" s="35">
        <v>44497</v>
      </c>
      <c r="B227" s="36" t="s">
        <v>44</v>
      </c>
      <c r="C227" s="37">
        <v>1</v>
      </c>
      <c r="D227" s="37" t="s">
        <v>21</v>
      </c>
      <c r="E227" s="37" t="s">
        <v>19</v>
      </c>
      <c r="F227" s="38">
        <v>0</v>
      </c>
      <c r="G227" s="42" t="str">
        <f>VLOOKUP('Data 1'!$B227,'Data 2'!$A$1:$F$46,MATCH('Data 1'!G$1,'Data 2'!$A$1:$F$1,0),0)</f>
        <v>Product08</v>
      </c>
      <c r="H227" s="42" t="str">
        <f>VLOOKUP('Data 1'!$B227,'Data 2'!$A$1:$F$46,MATCH('Data 1'!H$1,'Data 2'!$A$1:$F$1,0),0)</f>
        <v>Category01</v>
      </c>
      <c r="I227" s="42" t="str">
        <f>VLOOKUP('Data 1'!$B227,'Data 2'!$A$1:$F$46,MATCH('Data 1'!I$1,'Data 2'!$A$1:$F$1,0),0)</f>
        <v>Kg</v>
      </c>
      <c r="J227" s="42">
        <f>VLOOKUP('Data 1'!$B227,'Data 2'!$A$1:$F$46,MATCH('Data 1'!J$1,'Data 2'!$A$1:$F$1,0),0)</f>
        <v>83</v>
      </c>
      <c r="K227" s="42">
        <f>VLOOKUP('Data 1'!$B227,'Data 2'!$A$1:$F$46,MATCH('Data 1'!K$1,'Data 2'!$A$1:$F$1,0),0)</f>
        <v>94.62</v>
      </c>
      <c r="L227" s="40">
        <f>SUM('Data 1'!$J227*'Data 1'!$C227)</f>
        <v>83</v>
      </c>
      <c r="M227" s="40">
        <f>'Data 1'!$C227*'Data 1'!$K227</f>
        <v>94.62</v>
      </c>
      <c r="N227" s="40">
        <f>'Data 1'!$M227-'Data 1'!$L227</f>
        <v>11.620000000000005</v>
      </c>
      <c r="O227" s="37">
        <f>DAY('Data 1'!$A227)</f>
        <v>28</v>
      </c>
      <c r="P227" s="37" t="str">
        <f>TEXT('Data 1'!$A227,"mmm")</f>
        <v>Oct</v>
      </c>
      <c r="Q227" s="41">
        <f>YEAR('Data 1'!$A227)</f>
        <v>2021</v>
      </c>
    </row>
    <row r="228" spans="1:17" x14ac:dyDescent="0.3">
      <c r="A228" s="35">
        <v>44498</v>
      </c>
      <c r="B228" s="36" t="s">
        <v>18</v>
      </c>
      <c r="C228" s="37">
        <v>14</v>
      </c>
      <c r="D228" s="37" t="s">
        <v>17</v>
      </c>
      <c r="E228" s="37" t="s">
        <v>17</v>
      </c>
      <c r="F228" s="38">
        <v>0</v>
      </c>
      <c r="G228" s="39" t="str">
        <f>VLOOKUP('Data 1'!$B228,'Data 2'!$A$1:$F$46,MATCH('Data 1'!G$1,'Data 2'!$A$1:$F$1,0),0)</f>
        <v>Product38</v>
      </c>
      <c r="H228" s="39" t="str">
        <f>VLOOKUP('Data 1'!$B228,'Data 2'!$A$1:$F$46,MATCH('Data 1'!H$1,'Data 2'!$A$1:$F$1,0),0)</f>
        <v>Category05</v>
      </c>
      <c r="I228" s="39" t="str">
        <f>VLOOKUP('Data 1'!$B228,'Data 2'!$A$1:$F$46,MATCH('Data 1'!I$1,'Data 2'!$A$1:$F$1,0),0)</f>
        <v>Kg</v>
      </c>
      <c r="J228" s="39">
        <f>VLOOKUP('Data 1'!$B228,'Data 2'!$A$1:$F$46,MATCH('Data 1'!J$1,'Data 2'!$A$1:$F$1,0),0)</f>
        <v>72</v>
      </c>
      <c r="K228" s="39">
        <f>VLOOKUP('Data 1'!$B228,'Data 2'!$A$1:$F$46,MATCH('Data 1'!K$1,'Data 2'!$A$1:$F$1,0),0)</f>
        <v>79.92</v>
      </c>
      <c r="L228" s="40">
        <f>SUM('Data 1'!$J228*'Data 1'!$C228)</f>
        <v>1008</v>
      </c>
      <c r="M228" s="40">
        <f>'Data 1'!$C228*'Data 1'!$K228</f>
        <v>1118.8800000000001</v>
      </c>
      <c r="N228" s="40">
        <f>'Data 1'!$M228-'Data 1'!$L228</f>
        <v>110.88000000000011</v>
      </c>
      <c r="O228" s="37">
        <f>DAY('Data 1'!$A228)</f>
        <v>29</v>
      </c>
      <c r="P228" s="37" t="str">
        <f>TEXT('Data 1'!$A228,"mmm")</f>
        <v>Oct</v>
      </c>
      <c r="Q228" s="41">
        <f>YEAR('Data 1'!$A228)</f>
        <v>2021</v>
      </c>
    </row>
    <row r="229" spans="1:17" x14ac:dyDescent="0.3">
      <c r="A229" s="35">
        <v>44500</v>
      </c>
      <c r="B229" s="36" t="s">
        <v>51</v>
      </c>
      <c r="C229" s="37">
        <v>6</v>
      </c>
      <c r="D229" s="37" t="s">
        <v>17</v>
      </c>
      <c r="E229" s="37" t="s">
        <v>19</v>
      </c>
      <c r="F229" s="38">
        <v>0</v>
      </c>
      <c r="G229" s="42" t="str">
        <f>VLOOKUP('Data 1'!$B229,'Data 2'!$A$1:$F$46,MATCH('Data 1'!G$1,'Data 2'!$A$1:$F$1,0),0)</f>
        <v>Product21</v>
      </c>
      <c r="H229" s="42" t="str">
        <f>VLOOKUP('Data 1'!$B229,'Data 2'!$A$1:$F$46,MATCH('Data 1'!H$1,'Data 2'!$A$1:$F$1,0),0)</f>
        <v>Category03</v>
      </c>
      <c r="I229" s="42" t="str">
        <f>VLOOKUP('Data 1'!$B229,'Data 2'!$A$1:$F$46,MATCH('Data 1'!I$1,'Data 2'!$A$1:$F$1,0),0)</f>
        <v>Ft</v>
      </c>
      <c r="J229" s="42">
        <f>VLOOKUP('Data 1'!$B229,'Data 2'!$A$1:$F$46,MATCH('Data 1'!J$1,'Data 2'!$A$1:$F$1,0),0)</f>
        <v>126</v>
      </c>
      <c r="K229" s="42">
        <f>VLOOKUP('Data 1'!$B229,'Data 2'!$A$1:$F$46,MATCH('Data 1'!K$1,'Data 2'!$A$1:$F$1,0),0)</f>
        <v>162.54</v>
      </c>
      <c r="L229" s="40">
        <f>SUM('Data 1'!$J229*'Data 1'!$C229)</f>
        <v>756</v>
      </c>
      <c r="M229" s="40">
        <f>'Data 1'!$C229*'Data 1'!$K229</f>
        <v>975.24</v>
      </c>
      <c r="N229" s="40">
        <f>'Data 1'!$M229-'Data 1'!$L229</f>
        <v>219.24</v>
      </c>
      <c r="O229" s="37">
        <f>DAY('Data 1'!$A229)</f>
        <v>31</v>
      </c>
      <c r="P229" s="37" t="str">
        <f>TEXT('Data 1'!$A229,"mmm")</f>
        <v>Oct</v>
      </c>
      <c r="Q229" s="41">
        <f>YEAR('Data 1'!$A229)</f>
        <v>2021</v>
      </c>
    </row>
    <row r="230" spans="1:17" x14ac:dyDescent="0.3">
      <c r="A230" s="35">
        <v>44503</v>
      </c>
      <c r="B230" s="36" t="s">
        <v>20</v>
      </c>
      <c r="C230" s="37">
        <v>12</v>
      </c>
      <c r="D230" s="37" t="s">
        <v>21</v>
      </c>
      <c r="E230" s="37" t="s">
        <v>19</v>
      </c>
      <c r="F230" s="38">
        <v>0</v>
      </c>
      <c r="G230" s="39" t="str">
        <f>VLOOKUP('Data 1'!$B230,'Data 2'!$A$1:$F$46,MATCH('Data 1'!G$1,'Data 2'!$A$1:$F$1,0),0)</f>
        <v>Product13</v>
      </c>
      <c r="H230" s="39" t="str">
        <f>VLOOKUP('Data 1'!$B230,'Data 2'!$A$1:$F$46,MATCH('Data 1'!H$1,'Data 2'!$A$1:$F$1,0),0)</f>
        <v>Category02</v>
      </c>
      <c r="I230" s="39" t="str">
        <f>VLOOKUP('Data 1'!$B230,'Data 2'!$A$1:$F$46,MATCH('Data 1'!I$1,'Data 2'!$A$1:$F$1,0),0)</f>
        <v>Kg</v>
      </c>
      <c r="J230" s="39">
        <f>VLOOKUP('Data 1'!$B230,'Data 2'!$A$1:$F$46,MATCH('Data 1'!J$1,'Data 2'!$A$1:$F$1,0),0)</f>
        <v>112</v>
      </c>
      <c r="K230" s="39">
        <f>VLOOKUP('Data 1'!$B230,'Data 2'!$A$1:$F$46,MATCH('Data 1'!K$1,'Data 2'!$A$1:$F$1,0),0)</f>
        <v>122.08</v>
      </c>
      <c r="L230" s="40">
        <f>SUM('Data 1'!$J230*'Data 1'!$C230)</f>
        <v>1344</v>
      </c>
      <c r="M230" s="40">
        <f>'Data 1'!$C230*'Data 1'!$K230</f>
        <v>1464.96</v>
      </c>
      <c r="N230" s="40">
        <f>'Data 1'!$M230-'Data 1'!$L230</f>
        <v>120.96000000000004</v>
      </c>
      <c r="O230" s="37">
        <f>DAY('Data 1'!$A230)</f>
        <v>3</v>
      </c>
      <c r="P230" s="37" t="str">
        <f>TEXT('Data 1'!$A230,"mmm")</f>
        <v>Nov</v>
      </c>
      <c r="Q230" s="41">
        <f>YEAR('Data 1'!$A230)</f>
        <v>2021</v>
      </c>
    </row>
    <row r="231" spans="1:17" x14ac:dyDescent="0.3">
      <c r="A231" s="35">
        <v>44506</v>
      </c>
      <c r="B231" s="36" t="s">
        <v>62</v>
      </c>
      <c r="C231" s="37">
        <v>10</v>
      </c>
      <c r="D231" s="37" t="s">
        <v>21</v>
      </c>
      <c r="E231" s="37" t="s">
        <v>17</v>
      </c>
      <c r="F231" s="38">
        <v>0</v>
      </c>
      <c r="G231" s="42" t="str">
        <f>VLOOKUP('Data 1'!$B231,'Data 2'!$A$1:$F$46,MATCH('Data 1'!G$1,'Data 2'!$A$1:$F$1,0),0)</f>
        <v>Product36</v>
      </c>
      <c r="H231" s="42" t="str">
        <f>VLOOKUP('Data 1'!$B231,'Data 2'!$A$1:$F$46,MATCH('Data 1'!H$1,'Data 2'!$A$1:$F$1,0),0)</f>
        <v>Category04</v>
      </c>
      <c r="I231" s="42" t="str">
        <f>VLOOKUP('Data 1'!$B231,'Data 2'!$A$1:$F$46,MATCH('Data 1'!I$1,'Data 2'!$A$1:$F$1,0),0)</f>
        <v>Kg</v>
      </c>
      <c r="J231" s="42">
        <f>VLOOKUP('Data 1'!$B231,'Data 2'!$A$1:$F$46,MATCH('Data 1'!J$1,'Data 2'!$A$1:$F$1,0),0)</f>
        <v>90</v>
      </c>
      <c r="K231" s="42">
        <f>VLOOKUP('Data 1'!$B231,'Data 2'!$A$1:$F$46,MATCH('Data 1'!K$1,'Data 2'!$A$1:$F$1,0),0)</f>
        <v>96.3</v>
      </c>
      <c r="L231" s="40">
        <f>SUM('Data 1'!$J231*'Data 1'!$C231)</f>
        <v>900</v>
      </c>
      <c r="M231" s="40">
        <f>'Data 1'!$C231*'Data 1'!$K231</f>
        <v>963</v>
      </c>
      <c r="N231" s="40">
        <f>'Data 1'!$M231-'Data 1'!$L231</f>
        <v>63</v>
      </c>
      <c r="O231" s="37">
        <f>DAY('Data 1'!$A231)</f>
        <v>6</v>
      </c>
      <c r="P231" s="37" t="str">
        <f>TEXT('Data 1'!$A231,"mmm")</f>
        <v>Nov</v>
      </c>
      <c r="Q231" s="41">
        <f>YEAR('Data 1'!$A231)</f>
        <v>2021</v>
      </c>
    </row>
    <row r="232" spans="1:17" x14ac:dyDescent="0.3">
      <c r="A232" s="35">
        <v>44508</v>
      </c>
      <c r="B232" s="36" t="s">
        <v>55</v>
      </c>
      <c r="C232" s="37">
        <v>15</v>
      </c>
      <c r="D232" s="37" t="s">
        <v>21</v>
      </c>
      <c r="E232" s="37" t="s">
        <v>17</v>
      </c>
      <c r="F232" s="38">
        <v>0</v>
      </c>
      <c r="G232" s="39" t="str">
        <f>VLOOKUP('Data 1'!$B232,'Data 2'!$A$1:$F$46,MATCH('Data 1'!G$1,'Data 2'!$A$1:$F$1,0),0)</f>
        <v>Product07</v>
      </c>
      <c r="H232" s="39" t="str">
        <f>VLOOKUP('Data 1'!$B232,'Data 2'!$A$1:$F$46,MATCH('Data 1'!H$1,'Data 2'!$A$1:$F$1,0),0)</f>
        <v>Category01</v>
      </c>
      <c r="I232" s="39" t="str">
        <f>VLOOKUP('Data 1'!$B232,'Data 2'!$A$1:$F$46,MATCH('Data 1'!I$1,'Data 2'!$A$1:$F$1,0),0)</f>
        <v>Lt</v>
      </c>
      <c r="J232" s="39">
        <f>VLOOKUP('Data 1'!$B232,'Data 2'!$A$1:$F$46,MATCH('Data 1'!J$1,'Data 2'!$A$1:$F$1,0),0)</f>
        <v>43</v>
      </c>
      <c r="K232" s="39">
        <f>VLOOKUP('Data 1'!$B232,'Data 2'!$A$1:$F$46,MATCH('Data 1'!K$1,'Data 2'!$A$1:$F$1,0),0)</f>
        <v>47.730000000000004</v>
      </c>
      <c r="L232" s="40">
        <f>SUM('Data 1'!$J232*'Data 1'!$C232)</f>
        <v>645</v>
      </c>
      <c r="M232" s="40">
        <f>'Data 1'!$C232*'Data 1'!$K232</f>
        <v>715.95</v>
      </c>
      <c r="N232" s="40">
        <f>'Data 1'!$M232-'Data 1'!$L232</f>
        <v>70.950000000000045</v>
      </c>
      <c r="O232" s="37">
        <f>DAY('Data 1'!$A232)</f>
        <v>8</v>
      </c>
      <c r="P232" s="37" t="str">
        <f>TEXT('Data 1'!$A232,"mmm")</f>
        <v>Nov</v>
      </c>
      <c r="Q232" s="41">
        <f>YEAR('Data 1'!$A232)</f>
        <v>2021</v>
      </c>
    </row>
    <row r="233" spans="1:17" x14ac:dyDescent="0.3">
      <c r="A233" s="35">
        <v>44510</v>
      </c>
      <c r="B233" s="36" t="s">
        <v>29</v>
      </c>
      <c r="C233" s="37">
        <v>6</v>
      </c>
      <c r="D233" s="37" t="s">
        <v>17</v>
      </c>
      <c r="E233" s="37" t="s">
        <v>19</v>
      </c>
      <c r="F233" s="38">
        <v>0</v>
      </c>
      <c r="G233" s="42" t="str">
        <f>VLOOKUP('Data 1'!$B233,'Data 2'!$A$1:$F$46,MATCH('Data 1'!G$1,'Data 2'!$A$1:$F$1,0),0)</f>
        <v>Product42</v>
      </c>
      <c r="H233" s="42" t="str">
        <f>VLOOKUP('Data 1'!$B233,'Data 2'!$A$1:$F$46,MATCH('Data 1'!H$1,'Data 2'!$A$1:$F$1,0),0)</f>
        <v>Category05</v>
      </c>
      <c r="I233" s="42" t="str">
        <f>VLOOKUP('Data 1'!$B233,'Data 2'!$A$1:$F$46,MATCH('Data 1'!I$1,'Data 2'!$A$1:$F$1,0),0)</f>
        <v>Ft</v>
      </c>
      <c r="J233" s="42">
        <f>VLOOKUP('Data 1'!$B233,'Data 2'!$A$1:$F$46,MATCH('Data 1'!J$1,'Data 2'!$A$1:$F$1,0),0)</f>
        <v>120</v>
      </c>
      <c r="K233" s="42">
        <f>VLOOKUP('Data 1'!$B233,'Data 2'!$A$1:$F$46,MATCH('Data 1'!K$1,'Data 2'!$A$1:$F$1,0),0)</f>
        <v>162</v>
      </c>
      <c r="L233" s="40">
        <f>SUM('Data 1'!$J233*'Data 1'!$C233)</f>
        <v>720</v>
      </c>
      <c r="M233" s="40">
        <f>'Data 1'!$C233*'Data 1'!$K233</f>
        <v>972</v>
      </c>
      <c r="N233" s="40">
        <f>'Data 1'!$M233-'Data 1'!$L233</f>
        <v>252</v>
      </c>
      <c r="O233" s="37">
        <f>DAY('Data 1'!$A233)</f>
        <v>10</v>
      </c>
      <c r="P233" s="37" t="str">
        <f>TEXT('Data 1'!$A233,"mmm")</f>
        <v>Nov</v>
      </c>
      <c r="Q233" s="41">
        <f>YEAR('Data 1'!$A233)</f>
        <v>2021</v>
      </c>
    </row>
    <row r="234" spans="1:17" x14ac:dyDescent="0.3">
      <c r="A234" s="35">
        <v>44511</v>
      </c>
      <c r="B234" s="36" t="s">
        <v>36</v>
      </c>
      <c r="C234" s="37">
        <v>12</v>
      </c>
      <c r="D234" s="37" t="s">
        <v>16</v>
      </c>
      <c r="E234" s="37" t="s">
        <v>17</v>
      </c>
      <c r="F234" s="38">
        <v>0</v>
      </c>
      <c r="G234" s="39" t="str">
        <f>VLOOKUP('Data 1'!$B234,'Data 2'!$A$1:$F$46,MATCH('Data 1'!G$1,'Data 2'!$A$1:$F$1,0),0)</f>
        <v>Product40</v>
      </c>
      <c r="H234" s="39" t="str">
        <f>VLOOKUP('Data 1'!$B234,'Data 2'!$A$1:$F$46,MATCH('Data 1'!H$1,'Data 2'!$A$1:$F$1,0),0)</f>
        <v>Category05</v>
      </c>
      <c r="I234" s="39" t="str">
        <f>VLOOKUP('Data 1'!$B234,'Data 2'!$A$1:$F$46,MATCH('Data 1'!I$1,'Data 2'!$A$1:$F$1,0),0)</f>
        <v>Kg</v>
      </c>
      <c r="J234" s="39">
        <f>VLOOKUP('Data 1'!$B234,'Data 2'!$A$1:$F$46,MATCH('Data 1'!J$1,'Data 2'!$A$1:$F$1,0),0)</f>
        <v>90</v>
      </c>
      <c r="K234" s="39">
        <f>VLOOKUP('Data 1'!$B234,'Data 2'!$A$1:$F$46,MATCH('Data 1'!K$1,'Data 2'!$A$1:$F$1,0),0)</f>
        <v>115.2</v>
      </c>
      <c r="L234" s="40">
        <f>SUM('Data 1'!$J234*'Data 1'!$C234)</f>
        <v>1080</v>
      </c>
      <c r="M234" s="40">
        <f>'Data 1'!$C234*'Data 1'!$K234</f>
        <v>1382.4</v>
      </c>
      <c r="N234" s="40">
        <f>'Data 1'!$M234-'Data 1'!$L234</f>
        <v>302.40000000000009</v>
      </c>
      <c r="O234" s="37">
        <f>DAY('Data 1'!$A234)</f>
        <v>11</v>
      </c>
      <c r="P234" s="37" t="str">
        <f>TEXT('Data 1'!$A234,"mmm")</f>
        <v>Nov</v>
      </c>
      <c r="Q234" s="41">
        <f>YEAR('Data 1'!$A234)</f>
        <v>2021</v>
      </c>
    </row>
    <row r="235" spans="1:17" x14ac:dyDescent="0.3">
      <c r="A235" s="35">
        <v>44512</v>
      </c>
      <c r="B235" s="36" t="s">
        <v>39</v>
      </c>
      <c r="C235" s="37">
        <v>3</v>
      </c>
      <c r="D235" s="37" t="s">
        <v>17</v>
      </c>
      <c r="E235" s="37" t="s">
        <v>19</v>
      </c>
      <c r="F235" s="38">
        <v>0</v>
      </c>
      <c r="G235" s="42" t="str">
        <f>VLOOKUP('Data 1'!$B235,'Data 2'!$A$1:$F$46,MATCH('Data 1'!G$1,'Data 2'!$A$1:$F$1,0),0)</f>
        <v>Product10</v>
      </c>
      <c r="H235" s="42" t="str">
        <f>VLOOKUP('Data 1'!$B235,'Data 2'!$A$1:$F$46,MATCH('Data 1'!H$1,'Data 2'!$A$1:$F$1,0),0)</f>
        <v>Category02</v>
      </c>
      <c r="I235" s="42" t="str">
        <f>VLOOKUP('Data 1'!$B235,'Data 2'!$A$1:$F$46,MATCH('Data 1'!I$1,'Data 2'!$A$1:$F$1,0),0)</f>
        <v>Ft</v>
      </c>
      <c r="J235" s="42">
        <f>VLOOKUP('Data 1'!$B235,'Data 2'!$A$1:$F$46,MATCH('Data 1'!J$1,'Data 2'!$A$1:$F$1,0),0)</f>
        <v>148</v>
      </c>
      <c r="K235" s="42">
        <f>VLOOKUP('Data 1'!$B235,'Data 2'!$A$1:$F$46,MATCH('Data 1'!K$1,'Data 2'!$A$1:$F$1,0),0)</f>
        <v>164.28</v>
      </c>
      <c r="L235" s="40">
        <f>SUM('Data 1'!$J235*'Data 1'!$C235)</f>
        <v>444</v>
      </c>
      <c r="M235" s="40">
        <f>'Data 1'!$C235*'Data 1'!$K235</f>
        <v>492.84000000000003</v>
      </c>
      <c r="N235" s="40">
        <f>'Data 1'!$M235-'Data 1'!$L235</f>
        <v>48.840000000000032</v>
      </c>
      <c r="O235" s="37">
        <f>DAY('Data 1'!$A235)</f>
        <v>12</v>
      </c>
      <c r="P235" s="37" t="str">
        <f>TEXT('Data 1'!$A235,"mmm")</f>
        <v>Nov</v>
      </c>
      <c r="Q235" s="41">
        <f>YEAR('Data 1'!$A235)</f>
        <v>2021</v>
      </c>
    </row>
    <row r="236" spans="1:17" x14ac:dyDescent="0.3">
      <c r="A236" s="35">
        <v>44520</v>
      </c>
      <c r="B236" s="36" t="s">
        <v>32</v>
      </c>
      <c r="C236" s="37">
        <v>14</v>
      </c>
      <c r="D236" s="37" t="s">
        <v>17</v>
      </c>
      <c r="E236" s="37" t="s">
        <v>17</v>
      </c>
      <c r="F236" s="38">
        <v>0</v>
      </c>
      <c r="G236" s="39" t="str">
        <f>VLOOKUP('Data 1'!$B236,'Data 2'!$A$1:$F$46,MATCH('Data 1'!G$1,'Data 2'!$A$1:$F$1,0),0)</f>
        <v>Product34</v>
      </c>
      <c r="H236" s="39" t="str">
        <f>VLOOKUP('Data 1'!$B236,'Data 2'!$A$1:$F$46,MATCH('Data 1'!H$1,'Data 2'!$A$1:$F$1,0),0)</f>
        <v>Category04</v>
      </c>
      <c r="I236" s="39" t="str">
        <f>VLOOKUP('Data 1'!$B236,'Data 2'!$A$1:$F$46,MATCH('Data 1'!I$1,'Data 2'!$A$1:$F$1,0),0)</f>
        <v>Lt</v>
      </c>
      <c r="J236" s="39">
        <f>VLOOKUP('Data 1'!$B236,'Data 2'!$A$1:$F$46,MATCH('Data 1'!J$1,'Data 2'!$A$1:$F$1,0),0)</f>
        <v>55</v>
      </c>
      <c r="K236" s="39">
        <f>VLOOKUP('Data 1'!$B236,'Data 2'!$A$1:$F$46,MATCH('Data 1'!K$1,'Data 2'!$A$1:$F$1,0),0)</f>
        <v>58.3</v>
      </c>
      <c r="L236" s="40">
        <f>SUM('Data 1'!$J236*'Data 1'!$C236)</f>
        <v>770</v>
      </c>
      <c r="M236" s="40">
        <f>'Data 1'!$C236*'Data 1'!$K236</f>
        <v>816.19999999999993</v>
      </c>
      <c r="N236" s="40">
        <f>'Data 1'!$M236-'Data 1'!$L236</f>
        <v>46.199999999999932</v>
      </c>
      <c r="O236" s="37">
        <f>DAY('Data 1'!$A236)</f>
        <v>20</v>
      </c>
      <c r="P236" s="37" t="str">
        <f>TEXT('Data 1'!$A236,"mmm")</f>
        <v>Nov</v>
      </c>
      <c r="Q236" s="41">
        <f>YEAR('Data 1'!$A236)</f>
        <v>2021</v>
      </c>
    </row>
    <row r="237" spans="1:17" x14ac:dyDescent="0.3">
      <c r="A237" s="35">
        <v>44520</v>
      </c>
      <c r="B237" s="36" t="s">
        <v>44</v>
      </c>
      <c r="C237" s="37">
        <v>11</v>
      </c>
      <c r="D237" s="37" t="s">
        <v>17</v>
      </c>
      <c r="E237" s="37" t="s">
        <v>19</v>
      </c>
      <c r="F237" s="38">
        <v>0</v>
      </c>
      <c r="G237" s="42" t="str">
        <f>VLOOKUP('Data 1'!$B237,'Data 2'!$A$1:$F$46,MATCH('Data 1'!G$1,'Data 2'!$A$1:$F$1,0),0)</f>
        <v>Product08</v>
      </c>
      <c r="H237" s="42" t="str">
        <f>VLOOKUP('Data 1'!$B237,'Data 2'!$A$1:$F$46,MATCH('Data 1'!H$1,'Data 2'!$A$1:$F$1,0),0)</f>
        <v>Category01</v>
      </c>
      <c r="I237" s="42" t="str">
        <f>VLOOKUP('Data 1'!$B237,'Data 2'!$A$1:$F$46,MATCH('Data 1'!I$1,'Data 2'!$A$1:$F$1,0),0)</f>
        <v>Kg</v>
      </c>
      <c r="J237" s="42">
        <f>VLOOKUP('Data 1'!$B237,'Data 2'!$A$1:$F$46,MATCH('Data 1'!J$1,'Data 2'!$A$1:$F$1,0),0)</f>
        <v>83</v>
      </c>
      <c r="K237" s="42">
        <f>VLOOKUP('Data 1'!$B237,'Data 2'!$A$1:$F$46,MATCH('Data 1'!K$1,'Data 2'!$A$1:$F$1,0),0)</f>
        <v>94.62</v>
      </c>
      <c r="L237" s="40">
        <f>SUM('Data 1'!$J237*'Data 1'!$C237)</f>
        <v>913</v>
      </c>
      <c r="M237" s="40">
        <f>'Data 1'!$C237*'Data 1'!$K237</f>
        <v>1040.8200000000002</v>
      </c>
      <c r="N237" s="40">
        <f>'Data 1'!$M237-'Data 1'!$L237</f>
        <v>127.82000000000016</v>
      </c>
      <c r="O237" s="37">
        <f>DAY('Data 1'!$A237)</f>
        <v>20</v>
      </c>
      <c r="P237" s="37" t="str">
        <f>TEXT('Data 1'!$A237,"mmm")</f>
        <v>Nov</v>
      </c>
      <c r="Q237" s="41">
        <f>YEAR('Data 1'!$A237)</f>
        <v>2021</v>
      </c>
    </row>
    <row r="238" spans="1:17" x14ac:dyDescent="0.3">
      <c r="A238" s="35">
        <v>44521</v>
      </c>
      <c r="B238" s="36" t="s">
        <v>28</v>
      </c>
      <c r="C238" s="37">
        <v>1</v>
      </c>
      <c r="D238" s="37" t="s">
        <v>16</v>
      </c>
      <c r="E238" s="37" t="s">
        <v>17</v>
      </c>
      <c r="F238" s="38">
        <v>0</v>
      </c>
      <c r="G238" s="39" t="str">
        <f>VLOOKUP('Data 1'!$B238,'Data 2'!$A$1:$F$46,MATCH('Data 1'!G$1,'Data 2'!$A$1:$F$1,0),0)</f>
        <v>Product14</v>
      </c>
      <c r="H238" s="39" t="str">
        <f>VLOOKUP('Data 1'!$B238,'Data 2'!$A$1:$F$46,MATCH('Data 1'!H$1,'Data 2'!$A$1:$F$1,0),0)</f>
        <v>Category02</v>
      </c>
      <c r="I238" s="39" t="str">
        <f>VLOOKUP('Data 1'!$B238,'Data 2'!$A$1:$F$46,MATCH('Data 1'!I$1,'Data 2'!$A$1:$F$1,0),0)</f>
        <v>Kg</v>
      </c>
      <c r="J238" s="39">
        <f>VLOOKUP('Data 1'!$B238,'Data 2'!$A$1:$F$46,MATCH('Data 1'!J$1,'Data 2'!$A$1:$F$1,0),0)</f>
        <v>112</v>
      </c>
      <c r="K238" s="39">
        <f>VLOOKUP('Data 1'!$B238,'Data 2'!$A$1:$F$46,MATCH('Data 1'!K$1,'Data 2'!$A$1:$F$1,0),0)</f>
        <v>146.72</v>
      </c>
      <c r="L238" s="40">
        <f>SUM('Data 1'!$J238*'Data 1'!$C238)</f>
        <v>112</v>
      </c>
      <c r="M238" s="40">
        <f>'Data 1'!$C238*'Data 1'!$K238</f>
        <v>146.72</v>
      </c>
      <c r="N238" s="40">
        <f>'Data 1'!$M238-'Data 1'!$L238</f>
        <v>34.72</v>
      </c>
      <c r="O238" s="37">
        <f>DAY('Data 1'!$A238)</f>
        <v>21</v>
      </c>
      <c r="P238" s="37" t="str">
        <f>TEXT('Data 1'!$A238,"mmm")</f>
        <v>Nov</v>
      </c>
      <c r="Q238" s="41">
        <f>YEAR('Data 1'!$A238)</f>
        <v>2021</v>
      </c>
    </row>
    <row r="239" spans="1:17" x14ac:dyDescent="0.3">
      <c r="A239" s="35">
        <v>44521</v>
      </c>
      <c r="B239" s="36" t="s">
        <v>34</v>
      </c>
      <c r="C239" s="37">
        <v>1</v>
      </c>
      <c r="D239" s="37" t="s">
        <v>17</v>
      </c>
      <c r="E239" s="37" t="s">
        <v>19</v>
      </c>
      <c r="F239" s="38">
        <v>0</v>
      </c>
      <c r="G239" s="42" t="str">
        <f>VLOOKUP('Data 1'!$B239,'Data 2'!$A$1:$F$46,MATCH('Data 1'!G$1,'Data 2'!$A$1:$F$1,0),0)</f>
        <v>Product06</v>
      </c>
      <c r="H239" s="42" t="str">
        <f>VLOOKUP('Data 1'!$B239,'Data 2'!$A$1:$F$46,MATCH('Data 1'!H$1,'Data 2'!$A$1:$F$1,0),0)</f>
        <v>Category01</v>
      </c>
      <c r="I239" s="42" t="str">
        <f>VLOOKUP('Data 1'!$B239,'Data 2'!$A$1:$F$46,MATCH('Data 1'!I$1,'Data 2'!$A$1:$F$1,0),0)</f>
        <v>Kg</v>
      </c>
      <c r="J239" s="42">
        <f>VLOOKUP('Data 1'!$B239,'Data 2'!$A$1:$F$46,MATCH('Data 1'!J$1,'Data 2'!$A$1:$F$1,0),0)</f>
        <v>75</v>
      </c>
      <c r="K239" s="42">
        <f>VLOOKUP('Data 1'!$B239,'Data 2'!$A$1:$F$46,MATCH('Data 1'!K$1,'Data 2'!$A$1:$F$1,0),0)</f>
        <v>85.5</v>
      </c>
      <c r="L239" s="40">
        <f>SUM('Data 1'!$J239*'Data 1'!$C239)</f>
        <v>75</v>
      </c>
      <c r="M239" s="40">
        <f>'Data 1'!$C239*'Data 1'!$K239</f>
        <v>85.5</v>
      </c>
      <c r="N239" s="40">
        <f>'Data 1'!$M239-'Data 1'!$L239</f>
        <v>10.5</v>
      </c>
      <c r="O239" s="37">
        <f>DAY('Data 1'!$A239)</f>
        <v>21</v>
      </c>
      <c r="P239" s="37" t="str">
        <f>TEXT('Data 1'!$A239,"mmm")</f>
        <v>Nov</v>
      </c>
      <c r="Q239" s="41">
        <f>YEAR('Data 1'!$A239)</f>
        <v>2021</v>
      </c>
    </row>
    <row r="240" spans="1:17" x14ac:dyDescent="0.3">
      <c r="A240" s="35">
        <v>44527</v>
      </c>
      <c r="B240" s="36" t="s">
        <v>54</v>
      </c>
      <c r="C240" s="37">
        <v>8</v>
      </c>
      <c r="D240" s="37" t="s">
        <v>17</v>
      </c>
      <c r="E240" s="37" t="s">
        <v>17</v>
      </c>
      <c r="F240" s="38">
        <v>0</v>
      </c>
      <c r="G240" s="39" t="str">
        <f>VLOOKUP('Data 1'!$B240,'Data 2'!$A$1:$F$46,MATCH('Data 1'!G$1,'Data 2'!$A$1:$F$1,0),0)</f>
        <v>Product12</v>
      </c>
      <c r="H240" s="39" t="str">
        <f>VLOOKUP('Data 1'!$B240,'Data 2'!$A$1:$F$46,MATCH('Data 1'!H$1,'Data 2'!$A$1:$F$1,0),0)</f>
        <v>Category02</v>
      </c>
      <c r="I240" s="39" t="str">
        <f>VLOOKUP('Data 1'!$B240,'Data 2'!$A$1:$F$46,MATCH('Data 1'!I$1,'Data 2'!$A$1:$F$1,0),0)</f>
        <v>Kg</v>
      </c>
      <c r="J240" s="39">
        <f>VLOOKUP('Data 1'!$B240,'Data 2'!$A$1:$F$46,MATCH('Data 1'!J$1,'Data 2'!$A$1:$F$1,0),0)</f>
        <v>73</v>
      </c>
      <c r="K240" s="39">
        <f>VLOOKUP('Data 1'!$B240,'Data 2'!$A$1:$F$46,MATCH('Data 1'!K$1,'Data 2'!$A$1:$F$1,0),0)</f>
        <v>94.17</v>
      </c>
      <c r="L240" s="40">
        <f>SUM('Data 1'!$J240*'Data 1'!$C240)</f>
        <v>584</v>
      </c>
      <c r="M240" s="40">
        <f>'Data 1'!$C240*'Data 1'!$K240</f>
        <v>753.36</v>
      </c>
      <c r="N240" s="40">
        <f>'Data 1'!$M240-'Data 1'!$L240</f>
        <v>169.36</v>
      </c>
      <c r="O240" s="37">
        <f>DAY('Data 1'!$A240)</f>
        <v>27</v>
      </c>
      <c r="P240" s="37" t="str">
        <f>TEXT('Data 1'!$A240,"mmm")</f>
        <v>Nov</v>
      </c>
      <c r="Q240" s="41">
        <f>YEAR('Data 1'!$A240)</f>
        <v>2021</v>
      </c>
    </row>
    <row r="241" spans="1:17" x14ac:dyDescent="0.3">
      <c r="A241" s="35">
        <v>44528</v>
      </c>
      <c r="B241" s="36" t="s">
        <v>36</v>
      </c>
      <c r="C241" s="37">
        <v>2</v>
      </c>
      <c r="D241" s="37" t="s">
        <v>21</v>
      </c>
      <c r="E241" s="37" t="s">
        <v>19</v>
      </c>
      <c r="F241" s="38">
        <v>0</v>
      </c>
      <c r="G241" s="42" t="str">
        <f>VLOOKUP('Data 1'!$B241,'Data 2'!$A$1:$F$46,MATCH('Data 1'!G$1,'Data 2'!$A$1:$F$1,0),0)</f>
        <v>Product40</v>
      </c>
      <c r="H241" s="42" t="str">
        <f>VLOOKUP('Data 1'!$B241,'Data 2'!$A$1:$F$46,MATCH('Data 1'!H$1,'Data 2'!$A$1:$F$1,0),0)</f>
        <v>Category05</v>
      </c>
      <c r="I241" s="42" t="str">
        <f>VLOOKUP('Data 1'!$B241,'Data 2'!$A$1:$F$46,MATCH('Data 1'!I$1,'Data 2'!$A$1:$F$1,0),0)</f>
        <v>Kg</v>
      </c>
      <c r="J241" s="42">
        <f>VLOOKUP('Data 1'!$B241,'Data 2'!$A$1:$F$46,MATCH('Data 1'!J$1,'Data 2'!$A$1:$F$1,0),0)</f>
        <v>90</v>
      </c>
      <c r="K241" s="42">
        <f>VLOOKUP('Data 1'!$B241,'Data 2'!$A$1:$F$46,MATCH('Data 1'!K$1,'Data 2'!$A$1:$F$1,0),0)</f>
        <v>115.2</v>
      </c>
      <c r="L241" s="40">
        <f>SUM('Data 1'!$J241*'Data 1'!$C241)</f>
        <v>180</v>
      </c>
      <c r="M241" s="40">
        <f>'Data 1'!$C241*'Data 1'!$K241</f>
        <v>230.4</v>
      </c>
      <c r="N241" s="40">
        <f>'Data 1'!$M241-'Data 1'!$L241</f>
        <v>50.400000000000006</v>
      </c>
      <c r="O241" s="37">
        <f>DAY('Data 1'!$A241)</f>
        <v>28</v>
      </c>
      <c r="P241" s="37" t="str">
        <f>TEXT('Data 1'!$A241,"mmm")</f>
        <v>Nov</v>
      </c>
      <c r="Q241" s="41">
        <f>YEAR('Data 1'!$A241)</f>
        <v>2021</v>
      </c>
    </row>
    <row r="242" spans="1:17" x14ac:dyDescent="0.3">
      <c r="A242" s="35">
        <v>44530</v>
      </c>
      <c r="B242" s="36" t="s">
        <v>53</v>
      </c>
      <c r="C242" s="37">
        <v>15</v>
      </c>
      <c r="D242" s="37" t="s">
        <v>21</v>
      </c>
      <c r="E242" s="37" t="s">
        <v>17</v>
      </c>
      <c r="F242" s="38">
        <v>0</v>
      </c>
      <c r="G242" s="39" t="str">
        <f>VLOOKUP('Data 1'!$B242,'Data 2'!$A$1:$F$46,MATCH('Data 1'!G$1,'Data 2'!$A$1:$F$1,0),0)</f>
        <v>Product39</v>
      </c>
      <c r="H242" s="39" t="str">
        <f>VLOOKUP('Data 1'!$B242,'Data 2'!$A$1:$F$46,MATCH('Data 1'!H$1,'Data 2'!$A$1:$F$1,0),0)</f>
        <v>Category05</v>
      </c>
      <c r="I242" s="39" t="str">
        <f>VLOOKUP('Data 1'!$B242,'Data 2'!$A$1:$F$46,MATCH('Data 1'!I$1,'Data 2'!$A$1:$F$1,0),0)</f>
        <v>No.</v>
      </c>
      <c r="J242" s="39">
        <f>VLOOKUP('Data 1'!$B242,'Data 2'!$A$1:$F$46,MATCH('Data 1'!J$1,'Data 2'!$A$1:$F$1,0),0)</f>
        <v>37</v>
      </c>
      <c r="K242" s="39">
        <f>VLOOKUP('Data 1'!$B242,'Data 2'!$A$1:$F$46,MATCH('Data 1'!K$1,'Data 2'!$A$1:$F$1,0),0)</f>
        <v>42.55</v>
      </c>
      <c r="L242" s="40">
        <f>SUM('Data 1'!$J242*'Data 1'!$C242)</f>
        <v>555</v>
      </c>
      <c r="M242" s="40">
        <f>'Data 1'!$C242*'Data 1'!$K242</f>
        <v>638.25</v>
      </c>
      <c r="N242" s="40">
        <f>'Data 1'!$M242-'Data 1'!$L242</f>
        <v>83.25</v>
      </c>
      <c r="O242" s="37">
        <f>DAY('Data 1'!$A242)</f>
        <v>30</v>
      </c>
      <c r="P242" s="37" t="str">
        <f>TEXT('Data 1'!$A242,"mmm")</f>
        <v>Nov</v>
      </c>
      <c r="Q242" s="41">
        <f>YEAR('Data 1'!$A242)</f>
        <v>2021</v>
      </c>
    </row>
    <row r="243" spans="1:17" x14ac:dyDescent="0.3">
      <c r="A243" s="35">
        <v>44532</v>
      </c>
      <c r="B243" s="36" t="s">
        <v>40</v>
      </c>
      <c r="C243" s="37">
        <v>10</v>
      </c>
      <c r="D243" s="37" t="s">
        <v>21</v>
      </c>
      <c r="E243" s="37" t="s">
        <v>19</v>
      </c>
      <c r="F243" s="38">
        <v>0</v>
      </c>
      <c r="G243" s="42" t="str">
        <f>VLOOKUP('Data 1'!$B243,'Data 2'!$A$1:$F$46,MATCH('Data 1'!G$1,'Data 2'!$A$1:$F$1,0),0)</f>
        <v>Product16</v>
      </c>
      <c r="H243" s="42" t="str">
        <f>VLOOKUP('Data 1'!$B243,'Data 2'!$A$1:$F$46,MATCH('Data 1'!H$1,'Data 2'!$A$1:$F$1,0),0)</f>
        <v>Category02</v>
      </c>
      <c r="I243" s="42" t="str">
        <f>VLOOKUP('Data 1'!$B243,'Data 2'!$A$1:$F$46,MATCH('Data 1'!I$1,'Data 2'!$A$1:$F$1,0),0)</f>
        <v>No.</v>
      </c>
      <c r="J243" s="42">
        <f>VLOOKUP('Data 1'!$B243,'Data 2'!$A$1:$F$46,MATCH('Data 1'!J$1,'Data 2'!$A$1:$F$1,0),0)</f>
        <v>13</v>
      </c>
      <c r="K243" s="42">
        <f>VLOOKUP('Data 1'!$B243,'Data 2'!$A$1:$F$46,MATCH('Data 1'!K$1,'Data 2'!$A$1:$F$1,0),0)</f>
        <v>16.64</v>
      </c>
      <c r="L243" s="40">
        <f>SUM('Data 1'!$J243*'Data 1'!$C243)</f>
        <v>130</v>
      </c>
      <c r="M243" s="40">
        <f>'Data 1'!$C243*'Data 1'!$K243</f>
        <v>166.4</v>
      </c>
      <c r="N243" s="40">
        <f>'Data 1'!$M243-'Data 1'!$L243</f>
        <v>36.400000000000006</v>
      </c>
      <c r="O243" s="37">
        <f>DAY('Data 1'!$A243)</f>
        <v>2</v>
      </c>
      <c r="P243" s="37" t="str">
        <f>TEXT('Data 1'!$A243,"mmm")</f>
        <v>Dec</v>
      </c>
      <c r="Q243" s="41">
        <f>YEAR('Data 1'!$A243)</f>
        <v>2021</v>
      </c>
    </row>
    <row r="244" spans="1:17" x14ac:dyDescent="0.3">
      <c r="A244" s="35">
        <v>44533</v>
      </c>
      <c r="B244" s="36" t="s">
        <v>32</v>
      </c>
      <c r="C244" s="37">
        <v>2</v>
      </c>
      <c r="D244" s="37" t="s">
        <v>17</v>
      </c>
      <c r="E244" s="37" t="s">
        <v>19</v>
      </c>
      <c r="F244" s="38">
        <v>0</v>
      </c>
      <c r="G244" s="39" t="str">
        <f>VLOOKUP('Data 1'!$B244,'Data 2'!$A$1:$F$46,MATCH('Data 1'!G$1,'Data 2'!$A$1:$F$1,0),0)</f>
        <v>Product34</v>
      </c>
      <c r="H244" s="39" t="str">
        <f>VLOOKUP('Data 1'!$B244,'Data 2'!$A$1:$F$46,MATCH('Data 1'!H$1,'Data 2'!$A$1:$F$1,0),0)</f>
        <v>Category04</v>
      </c>
      <c r="I244" s="39" t="str">
        <f>VLOOKUP('Data 1'!$B244,'Data 2'!$A$1:$F$46,MATCH('Data 1'!I$1,'Data 2'!$A$1:$F$1,0),0)</f>
        <v>Lt</v>
      </c>
      <c r="J244" s="39">
        <f>VLOOKUP('Data 1'!$B244,'Data 2'!$A$1:$F$46,MATCH('Data 1'!J$1,'Data 2'!$A$1:$F$1,0),0)</f>
        <v>55</v>
      </c>
      <c r="K244" s="39">
        <f>VLOOKUP('Data 1'!$B244,'Data 2'!$A$1:$F$46,MATCH('Data 1'!K$1,'Data 2'!$A$1:$F$1,0),0)</f>
        <v>58.3</v>
      </c>
      <c r="L244" s="40">
        <f>SUM('Data 1'!$J244*'Data 1'!$C244)</f>
        <v>110</v>
      </c>
      <c r="M244" s="40">
        <f>'Data 1'!$C244*'Data 1'!$K244</f>
        <v>116.6</v>
      </c>
      <c r="N244" s="40">
        <f>'Data 1'!$M244-'Data 1'!$L244</f>
        <v>6.5999999999999943</v>
      </c>
      <c r="O244" s="37">
        <f>DAY('Data 1'!$A244)</f>
        <v>3</v>
      </c>
      <c r="P244" s="37" t="str">
        <f>TEXT('Data 1'!$A244,"mmm")</f>
        <v>Dec</v>
      </c>
      <c r="Q244" s="41">
        <f>YEAR('Data 1'!$A244)</f>
        <v>2021</v>
      </c>
    </row>
    <row r="245" spans="1:17" x14ac:dyDescent="0.3">
      <c r="A245" s="35">
        <v>44533</v>
      </c>
      <c r="B245" s="36" t="s">
        <v>59</v>
      </c>
      <c r="C245" s="37">
        <v>8</v>
      </c>
      <c r="D245" s="37" t="s">
        <v>17</v>
      </c>
      <c r="E245" s="37" t="s">
        <v>17</v>
      </c>
      <c r="F245" s="38">
        <v>0</v>
      </c>
      <c r="G245" s="42" t="str">
        <f>VLOOKUP('Data 1'!$B245,'Data 2'!$A$1:$F$46,MATCH('Data 1'!G$1,'Data 2'!$A$1:$F$1,0),0)</f>
        <v>Product19</v>
      </c>
      <c r="H245" s="42" t="str">
        <f>VLOOKUP('Data 1'!$B245,'Data 2'!$A$1:$F$46,MATCH('Data 1'!H$1,'Data 2'!$A$1:$F$1,0),0)</f>
        <v>Category02</v>
      </c>
      <c r="I245" s="42" t="str">
        <f>VLOOKUP('Data 1'!$B245,'Data 2'!$A$1:$F$46,MATCH('Data 1'!I$1,'Data 2'!$A$1:$F$1,0),0)</f>
        <v>Ft</v>
      </c>
      <c r="J245" s="42">
        <f>VLOOKUP('Data 1'!$B245,'Data 2'!$A$1:$F$46,MATCH('Data 1'!J$1,'Data 2'!$A$1:$F$1,0),0)</f>
        <v>150</v>
      </c>
      <c r="K245" s="42">
        <f>VLOOKUP('Data 1'!$B245,'Data 2'!$A$1:$F$46,MATCH('Data 1'!K$1,'Data 2'!$A$1:$F$1,0),0)</f>
        <v>210</v>
      </c>
      <c r="L245" s="40">
        <f>SUM('Data 1'!$J245*'Data 1'!$C245)</f>
        <v>1200</v>
      </c>
      <c r="M245" s="40">
        <f>'Data 1'!$C245*'Data 1'!$K245</f>
        <v>1680</v>
      </c>
      <c r="N245" s="40">
        <f>'Data 1'!$M245-'Data 1'!$L245</f>
        <v>480</v>
      </c>
      <c r="O245" s="37">
        <f>DAY('Data 1'!$A245)</f>
        <v>3</v>
      </c>
      <c r="P245" s="37" t="str">
        <f>TEXT('Data 1'!$A245,"mmm")</f>
        <v>Dec</v>
      </c>
      <c r="Q245" s="41">
        <f>YEAR('Data 1'!$A245)</f>
        <v>2021</v>
      </c>
    </row>
    <row r="246" spans="1:17" x14ac:dyDescent="0.3">
      <c r="A246" s="35">
        <v>44535</v>
      </c>
      <c r="B246" s="36" t="s">
        <v>22</v>
      </c>
      <c r="C246" s="37">
        <v>15</v>
      </c>
      <c r="D246" s="37" t="s">
        <v>21</v>
      </c>
      <c r="E246" s="37" t="s">
        <v>19</v>
      </c>
      <c r="F246" s="38">
        <v>0</v>
      </c>
      <c r="G246" s="39" t="str">
        <f>VLOOKUP('Data 1'!$B246,'Data 2'!$A$1:$F$46,MATCH('Data 1'!G$1,'Data 2'!$A$1:$F$1,0),0)</f>
        <v>Product04</v>
      </c>
      <c r="H246" s="39" t="str">
        <f>VLOOKUP('Data 1'!$B246,'Data 2'!$A$1:$F$46,MATCH('Data 1'!H$1,'Data 2'!$A$1:$F$1,0),0)</f>
        <v>Category01</v>
      </c>
      <c r="I246" s="39" t="str">
        <f>VLOOKUP('Data 1'!$B246,'Data 2'!$A$1:$F$46,MATCH('Data 1'!I$1,'Data 2'!$A$1:$F$1,0),0)</f>
        <v>Lt</v>
      </c>
      <c r="J246" s="39">
        <f>VLOOKUP('Data 1'!$B246,'Data 2'!$A$1:$F$46,MATCH('Data 1'!J$1,'Data 2'!$A$1:$F$1,0),0)</f>
        <v>44</v>
      </c>
      <c r="K246" s="39">
        <f>VLOOKUP('Data 1'!$B246,'Data 2'!$A$1:$F$46,MATCH('Data 1'!K$1,'Data 2'!$A$1:$F$1,0),0)</f>
        <v>48.84</v>
      </c>
      <c r="L246" s="40">
        <f>SUM('Data 1'!$J246*'Data 1'!$C246)</f>
        <v>660</v>
      </c>
      <c r="M246" s="40">
        <f>'Data 1'!$C246*'Data 1'!$K246</f>
        <v>732.6</v>
      </c>
      <c r="N246" s="40">
        <f>'Data 1'!$M246-'Data 1'!$L246</f>
        <v>72.600000000000023</v>
      </c>
      <c r="O246" s="37">
        <f>DAY('Data 1'!$A246)</f>
        <v>5</v>
      </c>
      <c r="P246" s="37" t="str">
        <f>TEXT('Data 1'!$A246,"mmm")</f>
        <v>Dec</v>
      </c>
      <c r="Q246" s="41">
        <f>YEAR('Data 1'!$A246)</f>
        <v>2021</v>
      </c>
    </row>
    <row r="247" spans="1:17" x14ac:dyDescent="0.3">
      <c r="A247" s="35">
        <v>44535</v>
      </c>
      <c r="B247" s="36" t="s">
        <v>39</v>
      </c>
      <c r="C247" s="37">
        <v>1</v>
      </c>
      <c r="D247" s="37" t="s">
        <v>21</v>
      </c>
      <c r="E247" s="37" t="s">
        <v>17</v>
      </c>
      <c r="F247" s="38">
        <v>0</v>
      </c>
      <c r="G247" s="42" t="str">
        <f>VLOOKUP('Data 1'!$B247,'Data 2'!$A$1:$F$46,MATCH('Data 1'!G$1,'Data 2'!$A$1:$F$1,0),0)</f>
        <v>Product10</v>
      </c>
      <c r="H247" s="42" t="str">
        <f>VLOOKUP('Data 1'!$B247,'Data 2'!$A$1:$F$46,MATCH('Data 1'!H$1,'Data 2'!$A$1:$F$1,0),0)</f>
        <v>Category02</v>
      </c>
      <c r="I247" s="42" t="str">
        <f>VLOOKUP('Data 1'!$B247,'Data 2'!$A$1:$F$46,MATCH('Data 1'!I$1,'Data 2'!$A$1:$F$1,0),0)</f>
        <v>Ft</v>
      </c>
      <c r="J247" s="42">
        <f>VLOOKUP('Data 1'!$B247,'Data 2'!$A$1:$F$46,MATCH('Data 1'!J$1,'Data 2'!$A$1:$F$1,0),0)</f>
        <v>148</v>
      </c>
      <c r="K247" s="42">
        <f>VLOOKUP('Data 1'!$B247,'Data 2'!$A$1:$F$46,MATCH('Data 1'!K$1,'Data 2'!$A$1:$F$1,0),0)</f>
        <v>164.28</v>
      </c>
      <c r="L247" s="40">
        <f>SUM('Data 1'!$J247*'Data 1'!$C247)</f>
        <v>148</v>
      </c>
      <c r="M247" s="40">
        <f>'Data 1'!$C247*'Data 1'!$K247</f>
        <v>164.28</v>
      </c>
      <c r="N247" s="40">
        <f>'Data 1'!$M247-'Data 1'!$L247</f>
        <v>16.28</v>
      </c>
      <c r="O247" s="37">
        <f>DAY('Data 1'!$A247)</f>
        <v>5</v>
      </c>
      <c r="P247" s="37" t="str">
        <f>TEXT('Data 1'!$A247,"mmm")</f>
        <v>Dec</v>
      </c>
      <c r="Q247" s="41">
        <f>YEAR('Data 1'!$A247)</f>
        <v>2021</v>
      </c>
    </row>
    <row r="248" spans="1:17" x14ac:dyDescent="0.3">
      <c r="A248" s="35">
        <v>44537</v>
      </c>
      <c r="B248" s="36" t="s">
        <v>20</v>
      </c>
      <c r="C248" s="37">
        <v>8</v>
      </c>
      <c r="D248" s="37" t="s">
        <v>21</v>
      </c>
      <c r="E248" s="37" t="s">
        <v>17</v>
      </c>
      <c r="F248" s="38">
        <v>0</v>
      </c>
      <c r="G248" s="39" t="str">
        <f>VLOOKUP('Data 1'!$B248,'Data 2'!$A$1:$F$46,MATCH('Data 1'!G$1,'Data 2'!$A$1:$F$1,0),0)</f>
        <v>Product13</v>
      </c>
      <c r="H248" s="39" t="str">
        <f>VLOOKUP('Data 1'!$B248,'Data 2'!$A$1:$F$46,MATCH('Data 1'!H$1,'Data 2'!$A$1:$F$1,0),0)</f>
        <v>Category02</v>
      </c>
      <c r="I248" s="39" t="str">
        <f>VLOOKUP('Data 1'!$B248,'Data 2'!$A$1:$F$46,MATCH('Data 1'!I$1,'Data 2'!$A$1:$F$1,0),0)</f>
        <v>Kg</v>
      </c>
      <c r="J248" s="39">
        <f>VLOOKUP('Data 1'!$B248,'Data 2'!$A$1:$F$46,MATCH('Data 1'!J$1,'Data 2'!$A$1:$F$1,0),0)</f>
        <v>112</v>
      </c>
      <c r="K248" s="39">
        <f>VLOOKUP('Data 1'!$B248,'Data 2'!$A$1:$F$46,MATCH('Data 1'!K$1,'Data 2'!$A$1:$F$1,0),0)</f>
        <v>122.08</v>
      </c>
      <c r="L248" s="40">
        <f>SUM('Data 1'!$J248*'Data 1'!$C248)</f>
        <v>896</v>
      </c>
      <c r="M248" s="40">
        <f>'Data 1'!$C248*'Data 1'!$K248</f>
        <v>976.64</v>
      </c>
      <c r="N248" s="40">
        <f>'Data 1'!$M248-'Data 1'!$L248</f>
        <v>80.639999999999986</v>
      </c>
      <c r="O248" s="37">
        <f>DAY('Data 1'!$A248)</f>
        <v>7</v>
      </c>
      <c r="P248" s="37" t="str">
        <f>TEXT('Data 1'!$A248,"mmm")</f>
        <v>Dec</v>
      </c>
      <c r="Q248" s="41">
        <f>YEAR('Data 1'!$A248)</f>
        <v>2021</v>
      </c>
    </row>
    <row r="249" spans="1:17" x14ac:dyDescent="0.3">
      <c r="A249" s="35">
        <v>44538</v>
      </c>
      <c r="B249" s="36" t="s">
        <v>30</v>
      </c>
      <c r="C249" s="37">
        <v>14</v>
      </c>
      <c r="D249" s="37" t="s">
        <v>21</v>
      </c>
      <c r="E249" s="37" t="s">
        <v>17</v>
      </c>
      <c r="F249" s="38">
        <v>0</v>
      </c>
      <c r="G249" s="42" t="str">
        <f>VLOOKUP('Data 1'!$B249,'Data 2'!$A$1:$F$46,MATCH('Data 1'!G$1,'Data 2'!$A$1:$F$1,0),0)</f>
        <v>Product44</v>
      </c>
      <c r="H249" s="42" t="str">
        <f>VLOOKUP('Data 1'!$B249,'Data 2'!$A$1:$F$46,MATCH('Data 1'!H$1,'Data 2'!$A$1:$F$1,0),0)</f>
        <v>Category05</v>
      </c>
      <c r="I249" s="42" t="str">
        <f>VLOOKUP('Data 1'!$B249,'Data 2'!$A$1:$F$46,MATCH('Data 1'!I$1,'Data 2'!$A$1:$F$1,0),0)</f>
        <v>Kg</v>
      </c>
      <c r="J249" s="42">
        <f>VLOOKUP('Data 1'!$B249,'Data 2'!$A$1:$F$46,MATCH('Data 1'!J$1,'Data 2'!$A$1:$F$1,0),0)</f>
        <v>76</v>
      </c>
      <c r="K249" s="42">
        <f>VLOOKUP('Data 1'!$B249,'Data 2'!$A$1:$F$46,MATCH('Data 1'!K$1,'Data 2'!$A$1:$F$1,0),0)</f>
        <v>82.08</v>
      </c>
      <c r="L249" s="40">
        <f>SUM('Data 1'!$J249*'Data 1'!$C249)</f>
        <v>1064</v>
      </c>
      <c r="M249" s="40">
        <f>'Data 1'!$C249*'Data 1'!$K249</f>
        <v>1149.1199999999999</v>
      </c>
      <c r="N249" s="40">
        <f>'Data 1'!$M249-'Data 1'!$L249</f>
        <v>85.119999999999891</v>
      </c>
      <c r="O249" s="37">
        <f>DAY('Data 1'!$A249)</f>
        <v>8</v>
      </c>
      <c r="P249" s="37" t="str">
        <f>TEXT('Data 1'!$A249,"mmm")</f>
        <v>Dec</v>
      </c>
      <c r="Q249" s="41">
        <f>YEAR('Data 1'!$A249)</f>
        <v>2021</v>
      </c>
    </row>
    <row r="250" spans="1:17" x14ac:dyDescent="0.3">
      <c r="A250" s="35">
        <v>44544</v>
      </c>
      <c r="B250" s="36" t="s">
        <v>29</v>
      </c>
      <c r="C250" s="37">
        <v>4</v>
      </c>
      <c r="D250" s="37" t="s">
        <v>21</v>
      </c>
      <c r="E250" s="37" t="s">
        <v>17</v>
      </c>
      <c r="F250" s="38">
        <v>0</v>
      </c>
      <c r="G250" s="39" t="str">
        <f>VLOOKUP('Data 1'!$B250,'Data 2'!$A$1:$F$46,MATCH('Data 1'!G$1,'Data 2'!$A$1:$F$1,0),0)</f>
        <v>Product42</v>
      </c>
      <c r="H250" s="39" t="str">
        <f>VLOOKUP('Data 1'!$B250,'Data 2'!$A$1:$F$46,MATCH('Data 1'!H$1,'Data 2'!$A$1:$F$1,0),0)</f>
        <v>Category05</v>
      </c>
      <c r="I250" s="39" t="str">
        <f>VLOOKUP('Data 1'!$B250,'Data 2'!$A$1:$F$46,MATCH('Data 1'!I$1,'Data 2'!$A$1:$F$1,0),0)</f>
        <v>Ft</v>
      </c>
      <c r="J250" s="39">
        <f>VLOOKUP('Data 1'!$B250,'Data 2'!$A$1:$F$46,MATCH('Data 1'!J$1,'Data 2'!$A$1:$F$1,0),0)</f>
        <v>120</v>
      </c>
      <c r="K250" s="39">
        <f>VLOOKUP('Data 1'!$B250,'Data 2'!$A$1:$F$46,MATCH('Data 1'!K$1,'Data 2'!$A$1:$F$1,0),0)</f>
        <v>162</v>
      </c>
      <c r="L250" s="40">
        <f>SUM('Data 1'!$J250*'Data 1'!$C250)</f>
        <v>480</v>
      </c>
      <c r="M250" s="40">
        <f>'Data 1'!$C250*'Data 1'!$K250</f>
        <v>648</v>
      </c>
      <c r="N250" s="40">
        <f>'Data 1'!$M250-'Data 1'!$L250</f>
        <v>168</v>
      </c>
      <c r="O250" s="37">
        <f>DAY('Data 1'!$A250)</f>
        <v>14</v>
      </c>
      <c r="P250" s="37" t="str">
        <f>TEXT('Data 1'!$A250,"mmm")</f>
        <v>Dec</v>
      </c>
      <c r="Q250" s="41">
        <f>YEAR('Data 1'!$A250)</f>
        <v>2021</v>
      </c>
    </row>
    <row r="251" spans="1:17" x14ac:dyDescent="0.3">
      <c r="A251" s="35">
        <v>44548</v>
      </c>
      <c r="B251" s="36" t="s">
        <v>25</v>
      </c>
      <c r="C251" s="37">
        <v>2</v>
      </c>
      <c r="D251" s="37" t="s">
        <v>21</v>
      </c>
      <c r="E251" s="37" t="s">
        <v>19</v>
      </c>
      <c r="F251" s="38">
        <v>0</v>
      </c>
      <c r="G251" s="42" t="str">
        <f>VLOOKUP('Data 1'!$B251,'Data 2'!$A$1:$F$46,MATCH('Data 1'!G$1,'Data 2'!$A$1:$F$1,0),0)</f>
        <v>Product03</v>
      </c>
      <c r="H251" s="42" t="str">
        <f>VLOOKUP('Data 1'!$B251,'Data 2'!$A$1:$F$46,MATCH('Data 1'!H$1,'Data 2'!$A$1:$F$1,0),0)</f>
        <v>Category01</v>
      </c>
      <c r="I251" s="42" t="str">
        <f>VLOOKUP('Data 1'!$B251,'Data 2'!$A$1:$F$46,MATCH('Data 1'!I$1,'Data 2'!$A$1:$F$1,0),0)</f>
        <v>Kg</v>
      </c>
      <c r="J251" s="42">
        <f>VLOOKUP('Data 1'!$B251,'Data 2'!$A$1:$F$46,MATCH('Data 1'!J$1,'Data 2'!$A$1:$F$1,0),0)</f>
        <v>71</v>
      </c>
      <c r="K251" s="42">
        <f>VLOOKUP('Data 1'!$B251,'Data 2'!$A$1:$F$46,MATCH('Data 1'!K$1,'Data 2'!$A$1:$F$1,0),0)</f>
        <v>80.94</v>
      </c>
      <c r="L251" s="40">
        <f>SUM('Data 1'!$J251*'Data 1'!$C251)</f>
        <v>142</v>
      </c>
      <c r="M251" s="40">
        <f>'Data 1'!$C251*'Data 1'!$K251</f>
        <v>161.88</v>
      </c>
      <c r="N251" s="40">
        <f>'Data 1'!$M251-'Data 1'!$L251</f>
        <v>19.879999999999995</v>
      </c>
      <c r="O251" s="37">
        <f>DAY('Data 1'!$A251)</f>
        <v>18</v>
      </c>
      <c r="P251" s="37" t="str">
        <f>TEXT('Data 1'!$A251,"mmm")</f>
        <v>Dec</v>
      </c>
      <c r="Q251" s="41">
        <f>YEAR('Data 1'!$A251)</f>
        <v>2021</v>
      </c>
    </row>
    <row r="252" spans="1:17" x14ac:dyDescent="0.3">
      <c r="A252" s="35">
        <v>44548</v>
      </c>
      <c r="B252" s="36" t="s">
        <v>41</v>
      </c>
      <c r="C252" s="37">
        <v>8</v>
      </c>
      <c r="D252" s="37" t="s">
        <v>17</v>
      </c>
      <c r="E252" s="37" t="s">
        <v>19</v>
      </c>
      <c r="F252" s="38">
        <v>0</v>
      </c>
      <c r="G252" s="39" t="str">
        <f>VLOOKUP('Data 1'!$B252,'Data 2'!$A$1:$F$46,MATCH('Data 1'!G$1,'Data 2'!$A$1:$F$1,0),0)</f>
        <v>Product22</v>
      </c>
      <c r="H252" s="39" t="str">
        <f>VLOOKUP('Data 1'!$B252,'Data 2'!$A$1:$F$46,MATCH('Data 1'!H$1,'Data 2'!$A$1:$F$1,0),0)</f>
        <v>Category03</v>
      </c>
      <c r="I252" s="39" t="str">
        <f>VLOOKUP('Data 1'!$B252,'Data 2'!$A$1:$F$46,MATCH('Data 1'!I$1,'Data 2'!$A$1:$F$1,0),0)</f>
        <v>Ft</v>
      </c>
      <c r="J252" s="39">
        <f>VLOOKUP('Data 1'!$B252,'Data 2'!$A$1:$F$46,MATCH('Data 1'!J$1,'Data 2'!$A$1:$F$1,0),0)</f>
        <v>121</v>
      </c>
      <c r="K252" s="39">
        <f>VLOOKUP('Data 1'!$B252,'Data 2'!$A$1:$F$46,MATCH('Data 1'!K$1,'Data 2'!$A$1:$F$1,0),0)</f>
        <v>141.57</v>
      </c>
      <c r="L252" s="40">
        <f>SUM('Data 1'!$J252*'Data 1'!$C252)</f>
        <v>968</v>
      </c>
      <c r="M252" s="40">
        <f>'Data 1'!$C252*'Data 1'!$K252</f>
        <v>1132.56</v>
      </c>
      <c r="N252" s="40">
        <f>'Data 1'!$M252-'Data 1'!$L252</f>
        <v>164.55999999999995</v>
      </c>
      <c r="O252" s="37">
        <f>DAY('Data 1'!$A252)</f>
        <v>18</v>
      </c>
      <c r="P252" s="37" t="str">
        <f>TEXT('Data 1'!$A252,"mmm")</f>
        <v>Dec</v>
      </c>
      <c r="Q252" s="41">
        <f>YEAR('Data 1'!$A252)</f>
        <v>2021</v>
      </c>
    </row>
    <row r="253" spans="1:17" x14ac:dyDescent="0.3">
      <c r="A253" s="35">
        <v>44549</v>
      </c>
      <c r="B253" s="36" t="s">
        <v>31</v>
      </c>
      <c r="C253" s="37">
        <v>12</v>
      </c>
      <c r="D253" s="37" t="s">
        <v>21</v>
      </c>
      <c r="E253" s="37" t="s">
        <v>17</v>
      </c>
      <c r="F253" s="38">
        <v>0</v>
      </c>
      <c r="G253" s="42" t="str">
        <f>VLOOKUP('Data 1'!$B253,'Data 2'!$A$1:$F$46,MATCH('Data 1'!G$1,'Data 2'!$A$1:$F$1,0),0)</f>
        <v>Product23</v>
      </c>
      <c r="H253" s="42" t="str">
        <f>VLOOKUP('Data 1'!$B253,'Data 2'!$A$1:$F$46,MATCH('Data 1'!H$1,'Data 2'!$A$1:$F$1,0),0)</f>
        <v>Category03</v>
      </c>
      <c r="I253" s="42" t="str">
        <f>VLOOKUP('Data 1'!$B253,'Data 2'!$A$1:$F$46,MATCH('Data 1'!I$1,'Data 2'!$A$1:$F$1,0),0)</f>
        <v>Ft</v>
      </c>
      <c r="J253" s="42">
        <f>VLOOKUP('Data 1'!$B253,'Data 2'!$A$1:$F$46,MATCH('Data 1'!J$1,'Data 2'!$A$1:$F$1,0),0)</f>
        <v>141</v>
      </c>
      <c r="K253" s="42">
        <f>VLOOKUP('Data 1'!$B253,'Data 2'!$A$1:$F$46,MATCH('Data 1'!K$1,'Data 2'!$A$1:$F$1,0),0)</f>
        <v>149.46</v>
      </c>
      <c r="L253" s="40">
        <f>SUM('Data 1'!$J253*'Data 1'!$C253)</f>
        <v>1692</v>
      </c>
      <c r="M253" s="40">
        <f>'Data 1'!$C253*'Data 1'!$K253</f>
        <v>1793.52</v>
      </c>
      <c r="N253" s="40">
        <f>'Data 1'!$M253-'Data 1'!$L253</f>
        <v>101.51999999999998</v>
      </c>
      <c r="O253" s="37">
        <f>DAY('Data 1'!$A253)</f>
        <v>19</v>
      </c>
      <c r="P253" s="37" t="str">
        <f>TEXT('Data 1'!$A253,"mmm")</f>
        <v>Dec</v>
      </c>
      <c r="Q253" s="41">
        <f>YEAR('Data 1'!$A253)</f>
        <v>2021</v>
      </c>
    </row>
    <row r="254" spans="1:17" x14ac:dyDescent="0.3">
      <c r="A254" s="35">
        <v>44549</v>
      </c>
      <c r="B254" s="36" t="s">
        <v>38</v>
      </c>
      <c r="C254" s="37">
        <v>3</v>
      </c>
      <c r="D254" s="37" t="s">
        <v>16</v>
      </c>
      <c r="E254" s="37" t="s">
        <v>17</v>
      </c>
      <c r="F254" s="38">
        <v>0</v>
      </c>
      <c r="G254" s="39" t="str">
        <f>VLOOKUP('Data 1'!$B254,'Data 2'!$A$1:$F$46,MATCH('Data 1'!G$1,'Data 2'!$A$1:$F$1,0),0)</f>
        <v>Product29</v>
      </c>
      <c r="H254" s="39" t="str">
        <f>VLOOKUP('Data 1'!$B254,'Data 2'!$A$1:$F$46,MATCH('Data 1'!H$1,'Data 2'!$A$1:$F$1,0),0)</f>
        <v>Category04</v>
      </c>
      <c r="I254" s="39" t="str">
        <f>VLOOKUP('Data 1'!$B254,'Data 2'!$A$1:$F$46,MATCH('Data 1'!I$1,'Data 2'!$A$1:$F$1,0),0)</f>
        <v>Lt</v>
      </c>
      <c r="J254" s="39">
        <f>VLOOKUP('Data 1'!$B254,'Data 2'!$A$1:$F$46,MATCH('Data 1'!J$1,'Data 2'!$A$1:$F$1,0),0)</f>
        <v>47</v>
      </c>
      <c r="K254" s="39">
        <f>VLOOKUP('Data 1'!$B254,'Data 2'!$A$1:$F$46,MATCH('Data 1'!K$1,'Data 2'!$A$1:$F$1,0),0)</f>
        <v>53.11</v>
      </c>
      <c r="L254" s="40">
        <f>SUM('Data 1'!$J254*'Data 1'!$C254)</f>
        <v>141</v>
      </c>
      <c r="M254" s="40">
        <f>'Data 1'!$C254*'Data 1'!$K254</f>
        <v>159.32999999999998</v>
      </c>
      <c r="N254" s="40">
        <f>'Data 1'!$M254-'Data 1'!$L254</f>
        <v>18.329999999999984</v>
      </c>
      <c r="O254" s="37">
        <f>DAY('Data 1'!$A254)</f>
        <v>19</v>
      </c>
      <c r="P254" s="37" t="str">
        <f>TEXT('Data 1'!$A254,"mmm")</f>
        <v>Dec</v>
      </c>
      <c r="Q254" s="41">
        <f>YEAR('Data 1'!$A254)</f>
        <v>2021</v>
      </c>
    </row>
    <row r="255" spans="1:17" x14ac:dyDescent="0.3">
      <c r="A255" s="35">
        <v>44549</v>
      </c>
      <c r="B255" s="36" t="s">
        <v>50</v>
      </c>
      <c r="C255" s="37">
        <v>10</v>
      </c>
      <c r="D255" s="37" t="s">
        <v>17</v>
      </c>
      <c r="E255" s="37" t="s">
        <v>17</v>
      </c>
      <c r="F255" s="38">
        <v>0</v>
      </c>
      <c r="G255" s="42" t="str">
        <f>VLOOKUP('Data 1'!$B255,'Data 2'!$A$1:$F$46,MATCH('Data 1'!G$1,'Data 2'!$A$1:$F$1,0),0)</f>
        <v>Product11</v>
      </c>
      <c r="H255" s="42" t="str">
        <f>VLOOKUP('Data 1'!$B255,'Data 2'!$A$1:$F$46,MATCH('Data 1'!H$1,'Data 2'!$A$1:$F$1,0),0)</f>
        <v>Category02</v>
      </c>
      <c r="I255" s="42" t="str">
        <f>VLOOKUP('Data 1'!$B255,'Data 2'!$A$1:$F$46,MATCH('Data 1'!I$1,'Data 2'!$A$1:$F$1,0),0)</f>
        <v>Lt</v>
      </c>
      <c r="J255" s="42">
        <f>VLOOKUP('Data 1'!$B255,'Data 2'!$A$1:$F$46,MATCH('Data 1'!J$1,'Data 2'!$A$1:$F$1,0),0)</f>
        <v>44</v>
      </c>
      <c r="K255" s="42">
        <f>VLOOKUP('Data 1'!$B255,'Data 2'!$A$1:$F$46,MATCH('Data 1'!K$1,'Data 2'!$A$1:$F$1,0),0)</f>
        <v>48.4</v>
      </c>
      <c r="L255" s="40">
        <f>SUM('Data 1'!$J255*'Data 1'!$C255)</f>
        <v>440</v>
      </c>
      <c r="M255" s="40">
        <f>'Data 1'!$C255*'Data 1'!$K255</f>
        <v>484</v>
      </c>
      <c r="N255" s="40">
        <f>'Data 1'!$M255-'Data 1'!$L255</f>
        <v>44</v>
      </c>
      <c r="O255" s="37">
        <f>DAY('Data 1'!$A255)</f>
        <v>19</v>
      </c>
      <c r="P255" s="37" t="str">
        <f>TEXT('Data 1'!$A255,"mmm")</f>
        <v>Dec</v>
      </c>
      <c r="Q255" s="41">
        <f>YEAR('Data 1'!$A255)</f>
        <v>2021</v>
      </c>
    </row>
    <row r="256" spans="1:17" x14ac:dyDescent="0.3">
      <c r="A256" s="35">
        <v>44550</v>
      </c>
      <c r="B256" s="36" t="s">
        <v>54</v>
      </c>
      <c r="C256" s="37">
        <v>14</v>
      </c>
      <c r="D256" s="37" t="s">
        <v>21</v>
      </c>
      <c r="E256" s="37" t="s">
        <v>17</v>
      </c>
      <c r="F256" s="38">
        <v>0</v>
      </c>
      <c r="G256" s="39" t="str">
        <f>VLOOKUP('Data 1'!$B256,'Data 2'!$A$1:$F$46,MATCH('Data 1'!G$1,'Data 2'!$A$1:$F$1,0),0)</f>
        <v>Product12</v>
      </c>
      <c r="H256" s="39" t="str">
        <f>VLOOKUP('Data 1'!$B256,'Data 2'!$A$1:$F$46,MATCH('Data 1'!H$1,'Data 2'!$A$1:$F$1,0),0)</f>
        <v>Category02</v>
      </c>
      <c r="I256" s="39" t="str">
        <f>VLOOKUP('Data 1'!$B256,'Data 2'!$A$1:$F$46,MATCH('Data 1'!I$1,'Data 2'!$A$1:$F$1,0),0)</f>
        <v>Kg</v>
      </c>
      <c r="J256" s="39">
        <f>VLOOKUP('Data 1'!$B256,'Data 2'!$A$1:$F$46,MATCH('Data 1'!J$1,'Data 2'!$A$1:$F$1,0),0)</f>
        <v>73</v>
      </c>
      <c r="K256" s="39">
        <f>VLOOKUP('Data 1'!$B256,'Data 2'!$A$1:$F$46,MATCH('Data 1'!K$1,'Data 2'!$A$1:$F$1,0),0)</f>
        <v>94.17</v>
      </c>
      <c r="L256" s="40">
        <f>SUM('Data 1'!$J256*'Data 1'!$C256)</f>
        <v>1022</v>
      </c>
      <c r="M256" s="40">
        <f>'Data 1'!$C256*'Data 1'!$K256</f>
        <v>1318.38</v>
      </c>
      <c r="N256" s="40">
        <f>'Data 1'!$M256-'Data 1'!$L256</f>
        <v>296.38000000000011</v>
      </c>
      <c r="O256" s="37">
        <f>DAY('Data 1'!$A256)</f>
        <v>20</v>
      </c>
      <c r="P256" s="37" t="str">
        <f>TEXT('Data 1'!$A256,"mmm")</f>
        <v>Dec</v>
      </c>
      <c r="Q256" s="41">
        <f>YEAR('Data 1'!$A256)</f>
        <v>2021</v>
      </c>
    </row>
    <row r="257" spans="1:17" x14ac:dyDescent="0.3">
      <c r="A257" s="35">
        <v>44551</v>
      </c>
      <c r="B257" s="36" t="s">
        <v>61</v>
      </c>
      <c r="C257" s="37">
        <v>10</v>
      </c>
      <c r="D257" s="37" t="s">
        <v>17</v>
      </c>
      <c r="E257" s="37" t="s">
        <v>19</v>
      </c>
      <c r="F257" s="38">
        <v>0</v>
      </c>
      <c r="G257" s="42" t="str">
        <f>VLOOKUP('Data 1'!$B257,'Data 2'!$A$1:$F$46,MATCH('Data 1'!G$1,'Data 2'!$A$1:$F$1,0),0)</f>
        <v>Product26</v>
      </c>
      <c r="H257" s="42" t="str">
        <f>VLOOKUP('Data 1'!$B257,'Data 2'!$A$1:$F$46,MATCH('Data 1'!H$1,'Data 2'!$A$1:$F$1,0),0)</f>
        <v>Category04</v>
      </c>
      <c r="I257" s="42" t="str">
        <f>VLOOKUP('Data 1'!$B257,'Data 2'!$A$1:$F$46,MATCH('Data 1'!I$1,'Data 2'!$A$1:$F$1,0),0)</f>
        <v>No.</v>
      </c>
      <c r="J257" s="42">
        <f>VLOOKUP('Data 1'!$B257,'Data 2'!$A$1:$F$46,MATCH('Data 1'!J$1,'Data 2'!$A$1:$F$1,0),0)</f>
        <v>18</v>
      </c>
      <c r="K257" s="42">
        <f>VLOOKUP('Data 1'!$B257,'Data 2'!$A$1:$F$46,MATCH('Data 1'!K$1,'Data 2'!$A$1:$F$1,0),0)</f>
        <v>24.66</v>
      </c>
      <c r="L257" s="40">
        <f>SUM('Data 1'!$J257*'Data 1'!$C257)</f>
        <v>180</v>
      </c>
      <c r="M257" s="40">
        <f>'Data 1'!$C257*'Data 1'!$K257</f>
        <v>246.6</v>
      </c>
      <c r="N257" s="40">
        <f>'Data 1'!$M257-'Data 1'!$L257</f>
        <v>66.599999999999994</v>
      </c>
      <c r="O257" s="37">
        <f>DAY('Data 1'!$A257)</f>
        <v>21</v>
      </c>
      <c r="P257" s="37" t="str">
        <f>TEXT('Data 1'!$A257,"mmm")</f>
        <v>Dec</v>
      </c>
      <c r="Q257" s="41">
        <f>YEAR('Data 1'!$A257)</f>
        <v>2021</v>
      </c>
    </row>
    <row r="258" spans="1:17" x14ac:dyDescent="0.3">
      <c r="A258" s="35">
        <v>44554</v>
      </c>
      <c r="B258" s="36" t="s">
        <v>29</v>
      </c>
      <c r="C258" s="37">
        <v>8</v>
      </c>
      <c r="D258" s="37" t="s">
        <v>16</v>
      </c>
      <c r="E258" s="37" t="s">
        <v>19</v>
      </c>
      <c r="F258" s="38">
        <v>0</v>
      </c>
      <c r="G258" s="39" t="str">
        <f>VLOOKUP('Data 1'!$B258,'Data 2'!$A$1:$F$46,MATCH('Data 1'!G$1,'Data 2'!$A$1:$F$1,0),0)</f>
        <v>Product42</v>
      </c>
      <c r="H258" s="39" t="str">
        <f>VLOOKUP('Data 1'!$B258,'Data 2'!$A$1:$F$46,MATCH('Data 1'!H$1,'Data 2'!$A$1:$F$1,0),0)</f>
        <v>Category05</v>
      </c>
      <c r="I258" s="39" t="str">
        <f>VLOOKUP('Data 1'!$B258,'Data 2'!$A$1:$F$46,MATCH('Data 1'!I$1,'Data 2'!$A$1:$F$1,0),0)</f>
        <v>Ft</v>
      </c>
      <c r="J258" s="39">
        <f>VLOOKUP('Data 1'!$B258,'Data 2'!$A$1:$F$46,MATCH('Data 1'!J$1,'Data 2'!$A$1:$F$1,0),0)</f>
        <v>120</v>
      </c>
      <c r="K258" s="39">
        <f>VLOOKUP('Data 1'!$B258,'Data 2'!$A$1:$F$46,MATCH('Data 1'!K$1,'Data 2'!$A$1:$F$1,0),0)</f>
        <v>162</v>
      </c>
      <c r="L258" s="40">
        <f>SUM('Data 1'!$J258*'Data 1'!$C258)</f>
        <v>960</v>
      </c>
      <c r="M258" s="40">
        <f>'Data 1'!$C258*'Data 1'!$K258</f>
        <v>1296</v>
      </c>
      <c r="N258" s="40">
        <f>'Data 1'!$M258-'Data 1'!$L258</f>
        <v>336</v>
      </c>
      <c r="O258" s="37">
        <f>DAY('Data 1'!$A258)</f>
        <v>24</v>
      </c>
      <c r="P258" s="37" t="str">
        <f>TEXT('Data 1'!$A258,"mmm")</f>
        <v>Dec</v>
      </c>
      <c r="Q258" s="41">
        <f>YEAR('Data 1'!$A258)</f>
        <v>2021</v>
      </c>
    </row>
    <row r="259" spans="1:17" x14ac:dyDescent="0.3">
      <c r="A259" s="35">
        <v>44554</v>
      </c>
      <c r="B259" s="36" t="s">
        <v>62</v>
      </c>
      <c r="C259" s="37">
        <v>8</v>
      </c>
      <c r="D259" s="37" t="s">
        <v>16</v>
      </c>
      <c r="E259" s="37" t="s">
        <v>17</v>
      </c>
      <c r="F259" s="38">
        <v>0</v>
      </c>
      <c r="G259" s="42" t="str">
        <f>VLOOKUP('Data 1'!$B259,'Data 2'!$A$1:$F$46,MATCH('Data 1'!G$1,'Data 2'!$A$1:$F$1,0),0)</f>
        <v>Product36</v>
      </c>
      <c r="H259" s="42" t="str">
        <f>VLOOKUP('Data 1'!$B259,'Data 2'!$A$1:$F$46,MATCH('Data 1'!H$1,'Data 2'!$A$1:$F$1,0),0)</f>
        <v>Category04</v>
      </c>
      <c r="I259" s="42" t="str">
        <f>VLOOKUP('Data 1'!$B259,'Data 2'!$A$1:$F$46,MATCH('Data 1'!I$1,'Data 2'!$A$1:$F$1,0),0)</f>
        <v>Kg</v>
      </c>
      <c r="J259" s="42">
        <f>VLOOKUP('Data 1'!$B259,'Data 2'!$A$1:$F$46,MATCH('Data 1'!J$1,'Data 2'!$A$1:$F$1,0),0)</f>
        <v>90</v>
      </c>
      <c r="K259" s="42">
        <f>VLOOKUP('Data 1'!$B259,'Data 2'!$A$1:$F$46,MATCH('Data 1'!K$1,'Data 2'!$A$1:$F$1,0),0)</f>
        <v>96.3</v>
      </c>
      <c r="L259" s="40">
        <f>SUM('Data 1'!$J259*'Data 1'!$C259)</f>
        <v>720</v>
      </c>
      <c r="M259" s="40">
        <f>'Data 1'!$C259*'Data 1'!$K259</f>
        <v>770.4</v>
      </c>
      <c r="N259" s="40">
        <f>'Data 1'!$M259-'Data 1'!$L259</f>
        <v>50.399999999999977</v>
      </c>
      <c r="O259" s="37">
        <f>DAY('Data 1'!$A259)</f>
        <v>24</v>
      </c>
      <c r="P259" s="37" t="str">
        <f>TEXT('Data 1'!$A259,"mmm")</f>
        <v>Dec</v>
      </c>
      <c r="Q259" s="41">
        <f>YEAR('Data 1'!$A259)</f>
        <v>2021</v>
      </c>
    </row>
    <row r="260" spans="1:17" x14ac:dyDescent="0.3">
      <c r="A260" s="35">
        <v>44556</v>
      </c>
      <c r="B260" s="36" t="s">
        <v>60</v>
      </c>
      <c r="C260" s="37">
        <v>14</v>
      </c>
      <c r="D260" s="37" t="s">
        <v>17</v>
      </c>
      <c r="E260" s="37" t="s">
        <v>19</v>
      </c>
      <c r="F260" s="38">
        <v>0</v>
      </c>
      <c r="G260" s="39" t="str">
        <f>VLOOKUP('Data 1'!$B260,'Data 2'!$A$1:$F$46,MATCH('Data 1'!G$1,'Data 2'!$A$1:$F$1,0),0)</f>
        <v>Product41</v>
      </c>
      <c r="H260" s="39" t="str">
        <f>VLOOKUP('Data 1'!$B260,'Data 2'!$A$1:$F$46,MATCH('Data 1'!H$1,'Data 2'!$A$1:$F$1,0),0)</f>
        <v>Category05</v>
      </c>
      <c r="I260" s="39" t="str">
        <f>VLOOKUP('Data 1'!$B260,'Data 2'!$A$1:$F$46,MATCH('Data 1'!I$1,'Data 2'!$A$1:$F$1,0),0)</f>
        <v>Ft</v>
      </c>
      <c r="J260" s="39">
        <f>VLOOKUP('Data 1'!$B260,'Data 2'!$A$1:$F$46,MATCH('Data 1'!J$1,'Data 2'!$A$1:$F$1,0),0)</f>
        <v>138</v>
      </c>
      <c r="K260" s="39">
        <f>VLOOKUP('Data 1'!$B260,'Data 2'!$A$1:$F$46,MATCH('Data 1'!K$1,'Data 2'!$A$1:$F$1,0),0)</f>
        <v>173.88</v>
      </c>
      <c r="L260" s="40">
        <f>SUM('Data 1'!$J260*'Data 1'!$C260)</f>
        <v>1932</v>
      </c>
      <c r="M260" s="40">
        <f>'Data 1'!$C260*'Data 1'!$K260</f>
        <v>2434.3199999999997</v>
      </c>
      <c r="N260" s="40">
        <f>'Data 1'!$M260-'Data 1'!$L260</f>
        <v>502.31999999999971</v>
      </c>
      <c r="O260" s="37">
        <f>DAY('Data 1'!$A260)</f>
        <v>26</v>
      </c>
      <c r="P260" s="37" t="str">
        <f>TEXT('Data 1'!$A260,"mmm")</f>
        <v>Dec</v>
      </c>
      <c r="Q260" s="41">
        <f>YEAR('Data 1'!$A260)</f>
        <v>2021</v>
      </c>
    </row>
    <row r="261" spans="1:17" x14ac:dyDescent="0.3">
      <c r="A261" s="35">
        <v>44557</v>
      </c>
      <c r="B261" s="36" t="s">
        <v>38</v>
      </c>
      <c r="C261" s="37">
        <v>14</v>
      </c>
      <c r="D261" s="37" t="s">
        <v>21</v>
      </c>
      <c r="E261" s="37" t="s">
        <v>19</v>
      </c>
      <c r="F261" s="38">
        <v>0</v>
      </c>
      <c r="G261" s="42" t="str">
        <f>VLOOKUP('Data 1'!$B261,'Data 2'!$A$1:$F$46,MATCH('Data 1'!G$1,'Data 2'!$A$1:$F$1,0),0)</f>
        <v>Product29</v>
      </c>
      <c r="H261" s="42" t="str">
        <f>VLOOKUP('Data 1'!$B261,'Data 2'!$A$1:$F$46,MATCH('Data 1'!H$1,'Data 2'!$A$1:$F$1,0),0)</f>
        <v>Category04</v>
      </c>
      <c r="I261" s="42" t="str">
        <f>VLOOKUP('Data 1'!$B261,'Data 2'!$A$1:$F$46,MATCH('Data 1'!I$1,'Data 2'!$A$1:$F$1,0),0)</f>
        <v>Lt</v>
      </c>
      <c r="J261" s="42">
        <f>VLOOKUP('Data 1'!$B261,'Data 2'!$A$1:$F$46,MATCH('Data 1'!J$1,'Data 2'!$A$1:$F$1,0),0)</f>
        <v>47</v>
      </c>
      <c r="K261" s="42">
        <f>VLOOKUP('Data 1'!$B261,'Data 2'!$A$1:$F$46,MATCH('Data 1'!K$1,'Data 2'!$A$1:$F$1,0),0)</f>
        <v>53.11</v>
      </c>
      <c r="L261" s="40">
        <f>SUM('Data 1'!$J261*'Data 1'!$C261)</f>
        <v>658</v>
      </c>
      <c r="M261" s="40">
        <f>'Data 1'!$C261*'Data 1'!$K261</f>
        <v>743.54</v>
      </c>
      <c r="N261" s="40">
        <f>'Data 1'!$M261-'Data 1'!$L261</f>
        <v>85.539999999999964</v>
      </c>
      <c r="O261" s="37">
        <f>DAY('Data 1'!$A261)</f>
        <v>27</v>
      </c>
      <c r="P261" s="37" t="str">
        <f>TEXT('Data 1'!$A261,"mmm")</f>
        <v>Dec</v>
      </c>
      <c r="Q261" s="41">
        <f>YEAR('Data 1'!$A261)</f>
        <v>2021</v>
      </c>
    </row>
    <row r="262" spans="1:17" x14ac:dyDescent="0.3">
      <c r="A262" s="35">
        <v>44558</v>
      </c>
      <c r="B262" s="36" t="s">
        <v>38</v>
      </c>
      <c r="C262" s="37">
        <v>6</v>
      </c>
      <c r="D262" s="37" t="s">
        <v>21</v>
      </c>
      <c r="E262" s="37" t="s">
        <v>19</v>
      </c>
      <c r="F262" s="38">
        <v>0</v>
      </c>
      <c r="G262" s="39" t="str">
        <f>VLOOKUP('Data 1'!$B262,'Data 2'!$A$1:$F$46,MATCH('Data 1'!G$1,'Data 2'!$A$1:$F$1,0),0)</f>
        <v>Product29</v>
      </c>
      <c r="H262" s="39" t="str">
        <f>VLOOKUP('Data 1'!$B262,'Data 2'!$A$1:$F$46,MATCH('Data 1'!H$1,'Data 2'!$A$1:$F$1,0),0)</f>
        <v>Category04</v>
      </c>
      <c r="I262" s="39" t="str">
        <f>VLOOKUP('Data 1'!$B262,'Data 2'!$A$1:$F$46,MATCH('Data 1'!I$1,'Data 2'!$A$1:$F$1,0),0)</f>
        <v>Lt</v>
      </c>
      <c r="J262" s="39">
        <f>VLOOKUP('Data 1'!$B262,'Data 2'!$A$1:$F$46,MATCH('Data 1'!J$1,'Data 2'!$A$1:$F$1,0),0)</f>
        <v>47</v>
      </c>
      <c r="K262" s="39">
        <f>VLOOKUP('Data 1'!$B262,'Data 2'!$A$1:$F$46,MATCH('Data 1'!K$1,'Data 2'!$A$1:$F$1,0),0)</f>
        <v>53.11</v>
      </c>
      <c r="L262" s="40">
        <f>SUM('Data 1'!$J262*'Data 1'!$C262)</f>
        <v>282</v>
      </c>
      <c r="M262" s="40">
        <f>'Data 1'!$C262*'Data 1'!$K262</f>
        <v>318.65999999999997</v>
      </c>
      <c r="N262" s="40">
        <f>'Data 1'!$M262-'Data 1'!$L262</f>
        <v>36.659999999999968</v>
      </c>
      <c r="O262" s="37">
        <f>DAY('Data 1'!$A262)</f>
        <v>28</v>
      </c>
      <c r="P262" s="37" t="str">
        <f>TEXT('Data 1'!$A262,"mmm")</f>
        <v>Dec</v>
      </c>
      <c r="Q262" s="41">
        <f>YEAR('Data 1'!$A262)</f>
        <v>2021</v>
      </c>
    </row>
    <row r="263" spans="1:17" x14ac:dyDescent="0.3">
      <c r="A263" s="35">
        <v>44560</v>
      </c>
      <c r="B263" s="36" t="s">
        <v>39</v>
      </c>
      <c r="C263" s="37">
        <v>13</v>
      </c>
      <c r="D263" s="37" t="s">
        <v>17</v>
      </c>
      <c r="E263" s="37" t="s">
        <v>17</v>
      </c>
      <c r="F263" s="38">
        <v>0</v>
      </c>
      <c r="G263" s="42" t="str">
        <f>VLOOKUP('Data 1'!$B263,'Data 2'!$A$1:$F$46,MATCH('Data 1'!G$1,'Data 2'!$A$1:$F$1,0),0)</f>
        <v>Product10</v>
      </c>
      <c r="H263" s="42" t="str">
        <f>VLOOKUP('Data 1'!$B263,'Data 2'!$A$1:$F$46,MATCH('Data 1'!H$1,'Data 2'!$A$1:$F$1,0),0)</f>
        <v>Category02</v>
      </c>
      <c r="I263" s="42" t="str">
        <f>VLOOKUP('Data 1'!$B263,'Data 2'!$A$1:$F$46,MATCH('Data 1'!I$1,'Data 2'!$A$1:$F$1,0),0)</f>
        <v>Ft</v>
      </c>
      <c r="J263" s="42">
        <f>VLOOKUP('Data 1'!$B263,'Data 2'!$A$1:$F$46,MATCH('Data 1'!J$1,'Data 2'!$A$1:$F$1,0),0)</f>
        <v>148</v>
      </c>
      <c r="K263" s="42">
        <f>VLOOKUP('Data 1'!$B263,'Data 2'!$A$1:$F$46,MATCH('Data 1'!K$1,'Data 2'!$A$1:$F$1,0),0)</f>
        <v>164.28</v>
      </c>
      <c r="L263" s="40">
        <f>SUM('Data 1'!$J263*'Data 1'!$C263)</f>
        <v>1924</v>
      </c>
      <c r="M263" s="40">
        <f>'Data 1'!$C263*'Data 1'!$K263</f>
        <v>2135.64</v>
      </c>
      <c r="N263" s="40">
        <f>'Data 1'!$M263-'Data 1'!$L263</f>
        <v>211.63999999999987</v>
      </c>
      <c r="O263" s="37">
        <f>DAY('Data 1'!$A263)</f>
        <v>30</v>
      </c>
      <c r="P263" s="37" t="str">
        <f>TEXT('Data 1'!$A263,"mmm")</f>
        <v>Dec</v>
      </c>
      <c r="Q263" s="41">
        <f>YEAR('Data 1'!$A263)</f>
        <v>2021</v>
      </c>
    </row>
    <row r="264" spans="1:17" x14ac:dyDescent="0.3">
      <c r="A264" s="35">
        <v>44562</v>
      </c>
      <c r="B264" s="36" t="s">
        <v>41</v>
      </c>
      <c r="C264" s="37">
        <v>1</v>
      </c>
      <c r="D264" s="37" t="s">
        <v>16</v>
      </c>
      <c r="E264" s="37" t="s">
        <v>19</v>
      </c>
      <c r="F264" s="38">
        <v>0</v>
      </c>
      <c r="G264" s="39" t="str">
        <f>VLOOKUP('Data 1'!$B264,'Data 2'!$A$1:$F$46,MATCH('Data 1'!G$1,'Data 2'!$A$1:$F$1,0),0)</f>
        <v>Product22</v>
      </c>
      <c r="H264" s="39" t="str">
        <f>VLOOKUP('Data 1'!$B264,'Data 2'!$A$1:$F$46,MATCH('Data 1'!H$1,'Data 2'!$A$1:$F$1,0),0)</f>
        <v>Category03</v>
      </c>
      <c r="I264" s="39" t="str">
        <f>VLOOKUP('Data 1'!$B264,'Data 2'!$A$1:$F$46,MATCH('Data 1'!I$1,'Data 2'!$A$1:$F$1,0),0)</f>
        <v>Ft</v>
      </c>
      <c r="J264" s="39">
        <f>VLOOKUP('Data 1'!$B264,'Data 2'!$A$1:$F$46,MATCH('Data 1'!J$1,'Data 2'!$A$1:$F$1,0),0)</f>
        <v>121</v>
      </c>
      <c r="K264" s="39">
        <f>VLOOKUP('Data 1'!$B264,'Data 2'!$A$1:$F$46,MATCH('Data 1'!K$1,'Data 2'!$A$1:$F$1,0),0)</f>
        <v>141.57</v>
      </c>
      <c r="L264" s="40">
        <f>SUM('Data 1'!$J264*'Data 1'!$C264)</f>
        <v>121</v>
      </c>
      <c r="M264" s="40">
        <f>'Data 1'!$C264*'Data 1'!$K264</f>
        <v>141.57</v>
      </c>
      <c r="N264" s="40">
        <f>'Data 1'!$M264-'Data 1'!$L264</f>
        <v>20.569999999999993</v>
      </c>
      <c r="O264" s="37">
        <f>DAY('Data 1'!$A264)</f>
        <v>1</v>
      </c>
      <c r="P264" s="37" t="str">
        <f>TEXT('Data 1'!$A264,"mmm")</f>
        <v>Jan</v>
      </c>
      <c r="Q264" s="41">
        <f>YEAR('Data 1'!$A264)</f>
        <v>2022</v>
      </c>
    </row>
    <row r="265" spans="1:17" x14ac:dyDescent="0.3">
      <c r="A265" s="35">
        <v>44563</v>
      </c>
      <c r="B265" s="36" t="s">
        <v>39</v>
      </c>
      <c r="C265" s="37">
        <v>7</v>
      </c>
      <c r="D265" s="37" t="s">
        <v>21</v>
      </c>
      <c r="E265" s="37" t="s">
        <v>19</v>
      </c>
      <c r="F265" s="38">
        <v>0</v>
      </c>
      <c r="G265" s="42" t="str">
        <f>VLOOKUP('Data 1'!$B265,'Data 2'!$A$1:$F$46,MATCH('Data 1'!G$1,'Data 2'!$A$1:$F$1,0),0)</f>
        <v>Product10</v>
      </c>
      <c r="H265" s="42" t="str">
        <f>VLOOKUP('Data 1'!$B265,'Data 2'!$A$1:$F$46,MATCH('Data 1'!H$1,'Data 2'!$A$1:$F$1,0),0)</f>
        <v>Category02</v>
      </c>
      <c r="I265" s="42" t="str">
        <f>VLOOKUP('Data 1'!$B265,'Data 2'!$A$1:$F$46,MATCH('Data 1'!I$1,'Data 2'!$A$1:$F$1,0),0)</f>
        <v>Ft</v>
      </c>
      <c r="J265" s="42">
        <f>VLOOKUP('Data 1'!$B265,'Data 2'!$A$1:$F$46,MATCH('Data 1'!J$1,'Data 2'!$A$1:$F$1,0),0)</f>
        <v>148</v>
      </c>
      <c r="K265" s="42">
        <f>VLOOKUP('Data 1'!$B265,'Data 2'!$A$1:$F$46,MATCH('Data 1'!K$1,'Data 2'!$A$1:$F$1,0),0)</f>
        <v>164.28</v>
      </c>
      <c r="L265" s="40">
        <f>SUM('Data 1'!$J265*'Data 1'!$C265)</f>
        <v>1036</v>
      </c>
      <c r="M265" s="40">
        <f>'Data 1'!$C265*'Data 1'!$K265</f>
        <v>1149.96</v>
      </c>
      <c r="N265" s="40">
        <f>'Data 1'!$M265-'Data 1'!$L265</f>
        <v>113.96000000000004</v>
      </c>
      <c r="O265" s="37">
        <f>DAY('Data 1'!$A265)</f>
        <v>2</v>
      </c>
      <c r="P265" s="37" t="str">
        <f>TEXT('Data 1'!$A265,"mmm")</f>
        <v>Jan</v>
      </c>
      <c r="Q265" s="41">
        <f>YEAR('Data 1'!$A265)</f>
        <v>2022</v>
      </c>
    </row>
    <row r="266" spans="1:17" x14ac:dyDescent="0.3">
      <c r="A266" s="35">
        <v>44563</v>
      </c>
      <c r="B266" s="36" t="s">
        <v>46</v>
      </c>
      <c r="C266" s="37">
        <v>2</v>
      </c>
      <c r="D266" s="37" t="s">
        <v>17</v>
      </c>
      <c r="E266" s="37" t="s">
        <v>19</v>
      </c>
      <c r="F266" s="38">
        <v>0</v>
      </c>
      <c r="G266" s="39" t="str">
        <f>VLOOKUP('Data 1'!$B266,'Data 2'!$A$1:$F$46,MATCH('Data 1'!G$1,'Data 2'!$A$1:$F$1,0),0)</f>
        <v>Product15</v>
      </c>
      <c r="H266" s="39" t="str">
        <f>VLOOKUP('Data 1'!$B266,'Data 2'!$A$1:$F$46,MATCH('Data 1'!H$1,'Data 2'!$A$1:$F$1,0),0)</f>
        <v>Category02</v>
      </c>
      <c r="I266" s="39" t="str">
        <f>VLOOKUP('Data 1'!$B266,'Data 2'!$A$1:$F$46,MATCH('Data 1'!I$1,'Data 2'!$A$1:$F$1,0),0)</f>
        <v>No.</v>
      </c>
      <c r="J266" s="39">
        <f>VLOOKUP('Data 1'!$B266,'Data 2'!$A$1:$F$46,MATCH('Data 1'!J$1,'Data 2'!$A$1:$F$1,0),0)</f>
        <v>12</v>
      </c>
      <c r="K266" s="39">
        <f>VLOOKUP('Data 1'!$B266,'Data 2'!$A$1:$F$46,MATCH('Data 1'!K$1,'Data 2'!$A$1:$F$1,0),0)</f>
        <v>15.719999999999999</v>
      </c>
      <c r="L266" s="40">
        <f>SUM('Data 1'!$J266*'Data 1'!$C266)</f>
        <v>24</v>
      </c>
      <c r="M266" s="40">
        <f>'Data 1'!$C266*'Data 1'!$K266</f>
        <v>31.439999999999998</v>
      </c>
      <c r="N266" s="40">
        <f>'Data 1'!$M266-'Data 1'!$L266</f>
        <v>7.4399999999999977</v>
      </c>
      <c r="O266" s="37">
        <f>DAY('Data 1'!$A266)</f>
        <v>2</v>
      </c>
      <c r="P266" s="37" t="str">
        <f>TEXT('Data 1'!$A266,"mmm")</f>
        <v>Jan</v>
      </c>
      <c r="Q266" s="41">
        <f>YEAR('Data 1'!$A266)</f>
        <v>2022</v>
      </c>
    </row>
    <row r="267" spans="1:17" x14ac:dyDescent="0.3">
      <c r="A267" s="35">
        <v>44563</v>
      </c>
      <c r="B267" s="36" t="s">
        <v>57</v>
      </c>
      <c r="C267" s="37">
        <v>1</v>
      </c>
      <c r="D267" s="37" t="s">
        <v>21</v>
      </c>
      <c r="E267" s="37" t="s">
        <v>19</v>
      </c>
      <c r="F267" s="38">
        <v>0</v>
      </c>
      <c r="G267" s="42" t="str">
        <f>VLOOKUP('Data 1'!$B267,'Data 2'!$A$1:$F$46,MATCH('Data 1'!G$1,'Data 2'!$A$1:$F$1,0),0)</f>
        <v>Product33</v>
      </c>
      <c r="H267" s="42" t="str">
        <f>VLOOKUP('Data 1'!$B267,'Data 2'!$A$1:$F$46,MATCH('Data 1'!H$1,'Data 2'!$A$1:$F$1,0),0)</f>
        <v>Category04</v>
      </c>
      <c r="I267" s="42" t="str">
        <f>VLOOKUP('Data 1'!$B267,'Data 2'!$A$1:$F$46,MATCH('Data 1'!I$1,'Data 2'!$A$1:$F$1,0),0)</f>
        <v>Kg</v>
      </c>
      <c r="J267" s="42">
        <f>VLOOKUP('Data 1'!$B267,'Data 2'!$A$1:$F$46,MATCH('Data 1'!J$1,'Data 2'!$A$1:$F$1,0),0)</f>
        <v>95</v>
      </c>
      <c r="K267" s="42">
        <f>VLOOKUP('Data 1'!$B267,'Data 2'!$A$1:$F$46,MATCH('Data 1'!K$1,'Data 2'!$A$1:$F$1,0),0)</f>
        <v>119.7</v>
      </c>
      <c r="L267" s="40">
        <f>SUM('Data 1'!$J267*'Data 1'!$C267)</f>
        <v>95</v>
      </c>
      <c r="M267" s="40">
        <f>'Data 1'!$C267*'Data 1'!$K267</f>
        <v>119.7</v>
      </c>
      <c r="N267" s="40">
        <f>'Data 1'!$M267-'Data 1'!$L267</f>
        <v>24.700000000000003</v>
      </c>
      <c r="O267" s="37">
        <f>DAY('Data 1'!$A267)</f>
        <v>2</v>
      </c>
      <c r="P267" s="37" t="str">
        <f>TEXT('Data 1'!$A267,"mmm")</f>
        <v>Jan</v>
      </c>
      <c r="Q267" s="41">
        <f>YEAR('Data 1'!$A267)</f>
        <v>2022</v>
      </c>
    </row>
    <row r="268" spans="1:17" x14ac:dyDescent="0.3">
      <c r="A268" s="35">
        <v>44564</v>
      </c>
      <c r="B268" s="36" t="s">
        <v>42</v>
      </c>
      <c r="C268" s="37">
        <v>9</v>
      </c>
      <c r="D268" s="37" t="s">
        <v>21</v>
      </c>
      <c r="E268" s="37" t="s">
        <v>19</v>
      </c>
      <c r="F268" s="38">
        <v>0</v>
      </c>
      <c r="G268" s="39" t="str">
        <f>VLOOKUP('Data 1'!$B268,'Data 2'!$A$1:$F$46,MATCH('Data 1'!G$1,'Data 2'!$A$1:$F$1,0),0)</f>
        <v>Product43</v>
      </c>
      <c r="H268" s="39" t="str">
        <f>VLOOKUP('Data 1'!$B268,'Data 2'!$A$1:$F$46,MATCH('Data 1'!H$1,'Data 2'!$A$1:$F$1,0),0)</f>
        <v>Category05</v>
      </c>
      <c r="I268" s="39" t="str">
        <f>VLOOKUP('Data 1'!$B268,'Data 2'!$A$1:$F$46,MATCH('Data 1'!I$1,'Data 2'!$A$1:$F$1,0),0)</f>
        <v>Kg</v>
      </c>
      <c r="J268" s="39">
        <f>VLOOKUP('Data 1'!$B268,'Data 2'!$A$1:$F$46,MATCH('Data 1'!J$1,'Data 2'!$A$1:$F$1,0),0)</f>
        <v>67</v>
      </c>
      <c r="K268" s="39">
        <f>VLOOKUP('Data 1'!$B268,'Data 2'!$A$1:$F$46,MATCH('Data 1'!K$1,'Data 2'!$A$1:$F$1,0),0)</f>
        <v>83.08</v>
      </c>
      <c r="L268" s="40">
        <f>SUM('Data 1'!$J268*'Data 1'!$C268)</f>
        <v>603</v>
      </c>
      <c r="M268" s="40">
        <f>'Data 1'!$C268*'Data 1'!$K268</f>
        <v>747.72</v>
      </c>
      <c r="N268" s="40">
        <f>'Data 1'!$M268-'Data 1'!$L268</f>
        <v>144.72000000000003</v>
      </c>
      <c r="O268" s="37">
        <f>DAY('Data 1'!$A268)</f>
        <v>3</v>
      </c>
      <c r="P268" s="37" t="str">
        <f>TEXT('Data 1'!$A268,"mmm")</f>
        <v>Jan</v>
      </c>
      <c r="Q268" s="41">
        <f>YEAR('Data 1'!$A268)</f>
        <v>2022</v>
      </c>
    </row>
    <row r="269" spans="1:17" x14ac:dyDescent="0.3">
      <c r="A269" s="35">
        <v>44565</v>
      </c>
      <c r="B269" s="36" t="s">
        <v>54</v>
      </c>
      <c r="C269" s="37">
        <v>8</v>
      </c>
      <c r="D269" s="37" t="s">
        <v>21</v>
      </c>
      <c r="E269" s="37" t="s">
        <v>17</v>
      </c>
      <c r="F269" s="38">
        <v>0</v>
      </c>
      <c r="G269" s="42" t="str">
        <f>VLOOKUP('Data 1'!$B269,'Data 2'!$A$1:$F$46,MATCH('Data 1'!G$1,'Data 2'!$A$1:$F$1,0),0)</f>
        <v>Product12</v>
      </c>
      <c r="H269" s="42" t="str">
        <f>VLOOKUP('Data 1'!$B269,'Data 2'!$A$1:$F$46,MATCH('Data 1'!H$1,'Data 2'!$A$1:$F$1,0),0)</f>
        <v>Category02</v>
      </c>
      <c r="I269" s="42" t="str">
        <f>VLOOKUP('Data 1'!$B269,'Data 2'!$A$1:$F$46,MATCH('Data 1'!I$1,'Data 2'!$A$1:$F$1,0),0)</f>
        <v>Kg</v>
      </c>
      <c r="J269" s="42">
        <f>VLOOKUP('Data 1'!$B269,'Data 2'!$A$1:$F$46,MATCH('Data 1'!J$1,'Data 2'!$A$1:$F$1,0),0)</f>
        <v>73</v>
      </c>
      <c r="K269" s="42">
        <f>VLOOKUP('Data 1'!$B269,'Data 2'!$A$1:$F$46,MATCH('Data 1'!K$1,'Data 2'!$A$1:$F$1,0),0)</f>
        <v>94.17</v>
      </c>
      <c r="L269" s="40">
        <f>SUM('Data 1'!$J269*'Data 1'!$C269)</f>
        <v>584</v>
      </c>
      <c r="M269" s="40">
        <f>'Data 1'!$C269*'Data 1'!$K269</f>
        <v>753.36</v>
      </c>
      <c r="N269" s="40">
        <f>'Data 1'!$M269-'Data 1'!$L269</f>
        <v>169.36</v>
      </c>
      <c r="O269" s="37">
        <f>DAY('Data 1'!$A269)</f>
        <v>4</v>
      </c>
      <c r="P269" s="37" t="str">
        <f>TEXT('Data 1'!$A269,"mmm")</f>
        <v>Jan</v>
      </c>
      <c r="Q269" s="41">
        <f>YEAR('Data 1'!$A269)</f>
        <v>2022</v>
      </c>
    </row>
    <row r="270" spans="1:17" x14ac:dyDescent="0.3">
      <c r="A270" s="35">
        <v>44565</v>
      </c>
      <c r="B270" s="36" t="s">
        <v>38</v>
      </c>
      <c r="C270" s="37">
        <v>1</v>
      </c>
      <c r="D270" s="37" t="s">
        <v>17</v>
      </c>
      <c r="E270" s="37" t="s">
        <v>17</v>
      </c>
      <c r="F270" s="38">
        <v>0</v>
      </c>
      <c r="G270" s="39" t="str">
        <f>VLOOKUP('Data 1'!$B270,'Data 2'!$A$1:$F$46,MATCH('Data 1'!G$1,'Data 2'!$A$1:$F$1,0),0)</f>
        <v>Product29</v>
      </c>
      <c r="H270" s="39" t="str">
        <f>VLOOKUP('Data 1'!$B270,'Data 2'!$A$1:$F$46,MATCH('Data 1'!H$1,'Data 2'!$A$1:$F$1,0),0)</f>
        <v>Category04</v>
      </c>
      <c r="I270" s="39" t="str">
        <f>VLOOKUP('Data 1'!$B270,'Data 2'!$A$1:$F$46,MATCH('Data 1'!I$1,'Data 2'!$A$1:$F$1,0),0)</f>
        <v>Lt</v>
      </c>
      <c r="J270" s="39">
        <f>VLOOKUP('Data 1'!$B270,'Data 2'!$A$1:$F$46,MATCH('Data 1'!J$1,'Data 2'!$A$1:$F$1,0),0)</f>
        <v>47</v>
      </c>
      <c r="K270" s="39">
        <f>VLOOKUP('Data 1'!$B270,'Data 2'!$A$1:$F$46,MATCH('Data 1'!K$1,'Data 2'!$A$1:$F$1,0),0)</f>
        <v>53.11</v>
      </c>
      <c r="L270" s="40">
        <f>SUM('Data 1'!$J270*'Data 1'!$C270)</f>
        <v>47</v>
      </c>
      <c r="M270" s="40">
        <f>'Data 1'!$C270*'Data 1'!$K270</f>
        <v>53.11</v>
      </c>
      <c r="N270" s="40">
        <f>'Data 1'!$M270-'Data 1'!$L270</f>
        <v>6.1099999999999994</v>
      </c>
      <c r="O270" s="37">
        <f>DAY('Data 1'!$A270)</f>
        <v>4</v>
      </c>
      <c r="P270" s="37" t="str">
        <f>TEXT('Data 1'!$A270,"mmm")</f>
        <v>Jan</v>
      </c>
      <c r="Q270" s="41">
        <f>YEAR('Data 1'!$A270)</f>
        <v>2022</v>
      </c>
    </row>
    <row r="271" spans="1:17" x14ac:dyDescent="0.3">
      <c r="A271" s="35">
        <v>44570</v>
      </c>
      <c r="B271" s="36" t="s">
        <v>37</v>
      </c>
      <c r="C271" s="37">
        <v>12</v>
      </c>
      <c r="D271" s="37" t="s">
        <v>21</v>
      </c>
      <c r="E271" s="37" t="s">
        <v>17</v>
      </c>
      <c r="F271" s="38">
        <v>0</v>
      </c>
      <c r="G271" s="42" t="str">
        <f>VLOOKUP('Data 1'!$B271,'Data 2'!$A$1:$F$46,MATCH('Data 1'!G$1,'Data 2'!$A$1:$F$1,0),0)</f>
        <v>Product32</v>
      </c>
      <c r="H271" s="42" t="str">
        <f>VLOOKUP('Data 1'!$B271,'Data 2'!$A$1:$F$46,MATCH('Data 1'!H$1,'Data 2'!$A$1:$F$1,0),0)</f>
        <v>Category04</v>
      </c>
      <c r="I271" s="42" t="str">
        <f>VLOOKUP('Data 1'!$B271,'Data 2'!$A$1:$F$46,MATCH('Data 1'!I$1,'Data 2'!$A$1:$F$1,0),0)</f>
        <v>Kg</v>
      </c>
      <c r="J271" s="42">
        <f>VLOOKUP('Data 1'!$B271,'Data 2'!$A$1:$F$46,MATCH('Data 1'!J$1,'Data 2'!$A$1:$F$1,0),0)</f>
        <v>89</v>
      </c>
      <c r="K271" s="42">
        <f>VLOOKUP('Data 1'!$B271,'Data 2'!$A$1:$F$46,MATCH('Data 1'!K$1,'Data 2'!$A$1:$F$1,0),0)</f>
        <v>117.48</v>
      </c>
      <c r="L271" s="40">
        <f>SUM('Data 1'!$J271*'Data 1'!$C271)</f>
        <v>1068</v>
      </c>
      <c r="M271" s="40">
        <f>'Data 1'!$C271*'Data 1'!$K271</f>
        <v>1409.76</v>
      </c>
      <c r="N271" s="40">
        <f>'Data 1'!$M271-'Data 1'!$L271</f>
        <v>341.76</v>
      </c>
      <c r="O271" s="37">
        <f>DAY('Data 1'!$A271)</f>
        <v>9</v>
      </c>
      <c r="P271" s="37" t="str">
        <f>TEXT('Data 1'!$A271,"mmm")</f>
        <v>Jan</v>
      </c>
      <c r="Q271" s="41">
        <f>YEAR('Data 1'!$A271)</f>
        <v>2022</v>
      </c>
    </row>
    <row r="272" spans="1:17" x14ac:dyDescent="0.3">
      <c r="A272" s="35">
        <v>44571</v>
      </c>
      <c r="B272" s="36" t="s">
        <v>32</v>
      </c>
      <c r="C272" s="37">
        <v>14</v>
      </c>
      <c r="D272" s="37" t="s">
        <v>17</v>
      </c>
      <c r="E272" s="37" t="s">
        <v>17</v>
      </c>
      <c r="F272" s="38">
        <v>0</v>
      </c>
      <c r="G272" s="39" t="str">
        <f>VLOOKUP('Data 1'!$B272,'Data 2'!$A$1:$F$46,MATCH('Data 1'!G$1,'Data 2'!$A$1:$F$1,0),0)</f>
        <v>Product34</v>
      </c>
      <c r="H272" s="39" t="str">
        <f>VLOOKUP('Data 1'!$B272,'Data 2'!$A$1:$F$46,MATCH('Data 1'!H$1,'Data 2'!$A$1:$F$1,0),0)</f>
        <v>Category04</v>
      </c>
      <c r="I272" s="39" t="str">
        <f>VLOOKUP('Data 1'!$B272,'Data 2'!$A$1:$F$46,MATCH('Data 1'!I$1,'Data 2'!$A$1:$F$1,0),0)</f>
        <v>Lt</v>
      </c>
      <c r="J272" s="39">
        <f>VLOOKUP('Data 1'!$B272,'Data 2'!$A$1:$F$46,MATCH('Data 1'!J$1,'Data 2'!$A$1:$F$1,0),0)</f>
        <v>55</v>
      </c>
      <c r="K272" s="39">
        <f>VLOOKUP('Data 1'!$B272,'Data 2'!$A$1:$F$46,MATCH('Data 1'!K$1,'Data 2'!$A$1:$F$1,0),0)</f>
        <v>58.3</v>
      </c>
      <c r="L272" s="40">
        <f>SUM('Data 1'!$J272*'Data 1'!$C272)</f>
        <v>770</v>
      </c>
      <c r="M272" s="40">
        <f>'Data 1'!$C272*'Data 1'!$K272</f>
        <v>816.19999999999993</v>
      </c>
      <c r="N272" s="40">
        <f>'Data 1'!$M272-'Data 1'!$L272</f>
        <v>46.199999999999932</v>
      </c>
      <c r="O272" s="37">
        <f>DAY('Data 1'!$A272)</f>
        <v>10</v>
      </c>
      <c r="P272" s="37" t="str">
        <f>TEXT('Data 1'!$A272,"mmm")</f>
        <v>Jan</v>
      </c>
      <c r="Q272" s="41">
        <f>YEAR('Data 1'!$A272)</f>
        <v>2022</v>
      </c>
    </row>
    <row r="273" spans="1:17" x14ac:dyDescent="0.3">
      <c r="A273" s="35">
        <v>44572</v>
      </c>
      <c r="B273" s="36" t="s">
        <v>37</v>
      </c>
      <c r="C273" s="37">
        <v>2</v>
      </c>
      <c r="D273" s="37" t="s">
        <v>21</v>
      </c>
      <c r="E273" s="37" t="s">
        <v>17</v>
      </c>
      <c r="F273" s="38">
        <v>0</v>
      </c>
      <c r="G273" s="42" t="str">
        <f>VLOOKUP('Data 1'!$B273,'Data 2'!$A$1:$F$46,MATCH('Data 1'!G$1,'Data 2'!$A$1:$F$1,0),0)</f>
        <v>Product32</v>
      </c>
      <c r="H273" s="42" t="str">
        <f>VLOOKUP('Data 1'!$B273,'Data 2'!$A$1:$F$46,MATCH('Data 1'!H$1,'Data 2'!$A$1:$F$1,0),0)</f>
        <v>Category04</v>
      </c>
      <c r="I273" s="42" t="str">
        <f>VLOOKUP('Data 1'!$B273,'Data 2'!$A$1:$F$46,MATCH('Data 1'!I$1,'Data 2'!$A$1:$F$1,0),0)</f>
        <v>Kg</v>
      </c>
      <c r="J273" s="42">
        <f>VLOOKUP('Data 1'!$B273,'Data 2'!$A$1:$F$46,MATCH('Data 1'!J$1,'Data 2'!$A$1:$F$1,0),0)</f>
        <v>89</v>
      </c>
      <c r="K273" s="42">
        <f>VLOOKUP('Data 1'!$B273,'Data 2'!$A$1:$F$46,MATCH('Data 1'!K$1,'Data 2'!$A$1:$F$1,0),0)</f>
        <v>117.48</v>
      </c>
      <c r="L273" s="40">
        <f>SUM('Data 1'!$J273*'Data 1'!$C273)</f>
        <v>178</v>
      </c>
      <c r="M273" s="40">
        <f>'Data 1'!$C273*'Data 1'!$K273</f>
        <v>234.96</v>
      </c>
      <c r="N273" s="40">
        <f>'Data 1'!$M273-'Data 1'!$L273</f>
        <v>56.960000000000008</v>
      </c>
      <c r="O273" s="37">
        <f>DAY('Data 1'!$A273)</f>
        <v>11</v>
      </c>
      <c r="P273" s="37" t="str">
        <f>TEXT('Data 1'!$A273,"mmm")</f>
        <v>Jan</v>
      </c>
      <c r="Q273" s="41">
        <f>YEAR('Data 1'!$A273)</f>
        <v>2022</v>
      </c>
    </row>
    <row r="274" spans="1:17" x14ac:dyDescent="0.3">
      <c r="A274" s="35">
        <v>44574</v>
      </c>
      <c r="B274" s="36" t="s">
        <v>59</v>
      </c>
      <c r="C274" s="37">
        <v>6</v>
      </c>
      <c r="D274" s="37" t="s">
        <v>17</v>
      </c>
      <c r="E274" s="37" t="s">
        <v>17</v>
      </c>
      <c r="F274" s="38">
        <v>0</v>
      </c>
      <c r="G274" s="39" t="str">
        <f>VLOOKUP('Data 1'!$B274,'Data 2'!$A$1:$F$46,MATCH('Data 1'!G$1,'Data 2'!$A$1:$F$1,0),0)</f>
        <v>Product19</v>
      </c>
      <c r="H274" s="39" t="str">
        <f>VLOOKUP('Data 1'!$B274,'Data 2'!$A$1:$F$46,MATCH('Data 1'!H$1,'Data 2'!$A$1:$F$1,0),0)</f>
        <v>Category02</v>
      </c>
      <c r="I274" s="39" t="str">
        <f>VLOOKUP('Data 1'!$B274,'Data 2'!$A$1:$F$46,MATCH('Data 1'!I$1,'Data 2'!$A$1:$F$1,0),0)</f>
        <v>Ft</v>
      </c>
      <c r="J274" s="39">
        <f>VLOOKUP('Data 1'!$B274,'Data 2'!$A$1:$F$46,MATCH('Data 1'!J$1,'Data 2'!$A$1:$F$1,0),0)</f>
        <v>150</v>
      </c>
      <c r="K274" s="39">
        <f>VLOOKUP('Data 1'!$B274,'Data 2'!$A$1:$F$46,MATCH('Data 1'!K$1,'Data 2'!$A$1:$F$1,0),0)</f>
        <v>210</v>
      </c>
      <c r="L274" s="40">
        <f>SUM('Data 1'!$J274*'Data 1'!$C274)</f>
        <v>900</v>
      </c>
      <c r="M274" s="40">
        <f>'Data 1'!$C274*'Data 1'!$K274</f>
        <v>1260</v>
      </c>
      <c r="N274" s="40">
        <f>'Data 1'!$M274-'Data 1'!$L274</f>
        <v>360</v>
      </c>
      <c r="O274" s="37">
        <f>DAY('Data 1'!$A274)</f>
        <v>13</v>
      </c>
      <c r="P274" s="37" t="str">
        <f>TEXT('Data 1'!$A274,"mmm")</f>
        <v>Jan</v>
      </c>
      <c r="Q274" s="41">
        <f>YEAR('Data 1'!$A274)</f>
        <v>2022</v>
      </c>
    </row>
    <row r="275" spans="1:17" x14ac:dyDescent="0.3">
      <c r="A275" s="35">
        <v>44575</v>
      </c>
      <c r="B275" s="36" t="s">
        <v>50</v>
      </c>
      <c r="C275" s="37">
        <v>14</v>
      </c>
      <c r="D275" s="37" t="s">
        <v>21</v>
      </c>
      <c r="E275" s="37" t="s">
        <v>17</v>
      </c>
      <c r="F275" s="38">
        <v>0</v>
      </c>
      <c r="G275" s="42" t="str">
        <f>VLOOKUP('Data 1'!$B275,'Data 2'!$A$1:$F$46,MATCH('Data 1'!G$1,'Data 2'!$A$1:$F$1,0),0)</f>
        <v>Product11</v>
      </c>
      <c r="H275" s="42" t="str">
        <f>VLOOKUP('Data 1'!$B275,'Data 2'!$A$1:$F$46,MATCH('Data 1'!H$1,'Data 2'!$A$1:$F$1,0),0)</f>
        <v>Category02</v>
      </c>
      <c r="I275" s="42" t="str">
        <f>VLOOKUP('Data 1'!$B275,'Data 2'!$A$1:$F$46,MATCH('Data 1'!I$1,'Data 2'!$A$1:$F$1,0),0)</f>
        <v>Lt</v>
      </c>
      <c r="J275" s="42">
        <f>VLOOKUP('Data 1'!$B275,'Data 2'!$A$1:$F$46,MATCH('Data 1'!J$1,'Data 2'!$A$1:$F$1,0),0)</f>
        <v>44</v>
      </c>
      <c r="K275" s="42">
        <f>VLOOKUP('Data 1'!$B275,'Data 2'!$A$1:$F$46,MATCH('Data 1'!K$1,'Data 2'!$A$1:$F$1,0),0)</f>
        <v>48.4</v>
      </c>
      <c r="L275" s="40">
        <f>SUM('Data 1'!$J275*'Data 1'!$C275)</f>
        <v>616</v>
      </c>
      <c r="M275" s="40">
        <f>'Data 1'!$C275*'Data 1'!$K275</f>
        <v>677.6</v>
      </c>
      <c r="N275" s="40">
        <f>'Data 1'!$M275-'Data 1'!$L275</f>
        <v>61.600000000000023</v>
      </c>
      <c r="O275" s="37">
        <f>DAY('Data 1'!$A275)</f>
        <v>14</v>
      </c>
      <c r="P275" s="37" t="str">
        <f>TEXT('Data 1'!$A275,"mmm")</f>
        <v>Jan</v>
      </c>
      <c r="Q275" s="41">
        <f>YEAR('Data 1'!$A275)</f>
        <v>2022</v>
      </c>
    </row>
    <row r="276" spans="1:17" x14ac:dyDescent="0.3">
      <c r="A276" s="35">
        <v>44576</v>
      </c>
      <c r="B276" s="36" t="s">
        <v>41</v>
      </c>
      <c r="C276" s="37">
        <v>10</v>
      </c>
      <c r="D276" s="37" t="s">
        <v>21</v>
      </c>
      <c r="E276" s="37" t="s">
        <v>19</v>
      </c>
      <c r="F276" s="38">
        <v>0</v>
      </c>
      <c r="G276" s="39" t="str">
        <f>VLOOKUP('Data 1'!$B276,'Data 2'!$A$1:$F$46,MATCH('Data 1'!G$1,'Data 2'!$A$1:$F$1,0),0)</f>
        <v>Product22</v>
      </c>
      <c r="H276" s="39" t="str">
        <f>VLOOKUP('Data 1'!$B276,'Data 2'!$A$1:$F$46,MATCH('Data 1'!H$1,'Data 2'!$A$1:$F$1,0),0)</f>
        <v>Category03</v>
      </c>
      <c r="I276" s="39" t="str">
        <f>VLOOKUP('Data 1'!$B276,'Data 2'!$A$1:$F$46,MATCH('Data 1'!I$1,'Data 2'!$A$1:$F$1,0),0)</f>
        <v>Ft</v>
      </c>
      <c r="J276" s="39">
        <f>VLOOKUP('Data 1'!$B276,'Data 2'!$A$1:$F$46,MATCH('Data 1'!J$1,'Data 2'!$A$1:$F$1,0),0)</f>
        <v>121</v>
      </c>
      <c r="K276" s="39">
        <f>VLOOKUP('Data 1'!$B276,'Data 2'!$A$1:$F$46,MATCH('Data 1'!K$1,'Data 2'!$A$1:$F$1,0),0)</f>
        <v>141.57</v>
      </c>
      <c r="L276" s="40">
        <f>SUM('Data 1'!$J276*'Data 1'!$C276)</f>
        <v>1210</v>
      </c>
      <c r="M276" s="40">
        <f>'Data 1'!$C276*'Data 1'!$K276</f>
        <v>1415.6999999999998</v>
      </c>
      <c r="N276" s="40">
        <f>'Data 1'!$M276-'Data 1'!$L276</f>
        <v>205.69999999999982</v>
      </c>
      <c r="O276" s="37">
        <f>DAY('Data 1'!$A276)</f>
        <v>15</v>
      </c>
      <c r="P276" s="37" t="str">
        <f>TEXT('Data 1'!$A276,"mmm")</f>
        <v>Jan</v>
      </c>
      <c r="Q276" s="41">
        <f>YEAR('Data 1'!$A276)</f>
        <v>2022</v>
      </c>
    </row>
    <row r="277" spans="1:17" x14ac:dyDescent="0.3">
      <c r="A277" s="35">
        <v>44577</v>
      </c>
      <c r="B277" s="36" t="s">
        <v>28</v>
      </c>
      <c r="C277" s="37">
        <v>11</v>
      </c>
      <c r="D277" s="37" t="s">
        <v>17</v>
      </c>
      <c r="E277" s="37" t="s">
        <v>19</v>
      </c>
      <c r="F277" s="38">
        <v>0</v>
      </c>
      <c r="G277" s="42" t="str">
        <f>VLOOKUP('Data 1'!$B277,'Data 2'!$A$1:$F$46,MATCH('Data 1'!G$1,'Data 2'!$A$1:$F$1,0),0)</f>
        <v>Product14</v>
      </c>
      <c r="H277" s="42" t="str">
        <f>VLOOKUP('Data 1'!$B277,'Data 2'!$A$1:$F$46,MATCH('Data 1'!H$1,'Data 2'!$A$1:$F$1,0),0)</f>
        <v>Category02</v>
      </c>
      <c r="I277" s="42" t="str">
        <f>VLOOKUP('Data 1'!$B277,'Data 2'!$A$1:$F$46,MATCH('Data 1'!I$1,'Data 2'!$A$1:$F$1,0),0)</f>
        <v>Kg</v>
      </c>
      <c r="J277" s="42">
        <f>VLOOKUP('Data 1'!$B277,'Data 2'!$A$1:$F$46,MATCH('Data 1'!J$1,'Data 2'!$A$1:$F$1,0),0)</f>
        <v>112</v>
      </c>
      <c r="K277" s="42">
        <f>VLOOKUP('Data 1'!$B277,'Data 2'!$A$1:$F$46,MATCH('Data 1'!K$1,'Data 2'!$A$1:$F$1,0),0)</f>
        <v>146.72</v>
      </c>
      <c r="L277" s="40">
        <f>SUM('Data 1'!$J277*'Data 1'!$C277)</f>
        <v>1232</v>
      </c>
      <c r="M277" s="40">
        <f>'Data 1'!$C277*'Data 1'!$K277</f>
        <v>1613.92</v>
      </c>
      <c r="N277" s="40">
        <f>'Data 1'!$M277-'Data 1'!$L277</f>
        <v>381.92000000000007</v>
      </c>
      <c r="O277" s="37">
        <f>DAY('Data 1'!$A277)</f>
        <v>16</v>
      </c>
      <c r="P277" s="37" t="str">
        <f>TEXT('Data 1'!$A277,"mmm")</f>
        <v>Jan</v>
      </c>
      <c r="Q277" s="41">
        <f>YEAR('Data 1'!$A277)</f>
        <v>2022</v>
      </c>
    </row>
    <row r="278" spans="1:17" x14ac:dyDescent="0.3">
      <c r="A278" s="35">
        <v>44578</v>
      </c>
      <c r="B278" s="36" t="s">
        <v>36</v>
      </c>
      <c r="C278" s="37">
        <v>4</v>
      </c>
      <c r="D278" s="37" t="s">
        <v>17</v>
      </c>
      <c r="E278" s="37" t="s">
        <v>17</v>
      </c>
      <c r="F278" s="38">
        <v>0</v>
      </c>
      <c r="G278" s="39" t="str">
        <f>VLOOKUP('Data 1'!$B278,'Data 2'!$A$1:$F$46,MATCH('Data 1'!G$1,'Data 2'!$A$1:$F$1,0),0)</f>
        <v>Product40</v>
      </c>
      <c r="H278" s="39" t="str">
        <f>VLOOKUP('Data 1'!$B278,'Data 2'!$A$1:$F$46,MATCH('Data 1'!H$1,'Data 2'!$A$1:$F$1,0),0)</f>
        <v>Category05</v>
      </c>
      <c r="I278" s="39" t="str">
        <f>VLOOKUP('Data 1'!$B278,'Data 2'!$A$1:$F$46,MATCH('Data 1'!I$1,'Data 2'!$A$1:$F$1,0),0)</f>
        <v>Kg</v>
      </c>
      <c r="J278" s="39">
        <f>VLOOKUP('Data 1'!$B278,'Data 2'!$A$1:$F$46,MATCH('Data 1'!J$1,'Data 2'!$A$1:$F$1,0),0)</f>
        <v>90</v>
      </c>
      <c r="K278" s="39">
        <f>VLOOKUP('Data 1'!$B278,'Data 2'!$A$1:$F$46,MATCH('Data 1'!K$1,'Data 2'!$A$1:$F$1,0),0)</f>
        <v>115.2</v>
      </c>
      <c r="L278" s="40">
        <f>SUM('Data 1'!$J278*'Data 1'!$C278)</f>
        <v>360</v>
      </c>
      <c r="M278" s="40">
        <f>'Data 1'!$C278*'Data 1'!$K278</f>
        <v>460.8</v>
      </c>
      <c r="N278" s="40">
        <f>'Data 1'!$M278-'Data 1'!$L278</f>
        <v>100.80000000000001</v>
      </c>
      <c r="O278" s="37">
        <f>DAY('Data 1'!$A278)</f>
        <v>17</v>
      </c>
      <c r="P278" s="37" t="str">
        <f>TEXT('Data 1'!$A278,"mmm")</f>
        <v>Jan</v>
      </c>
      <c r="Q278" s="41">
        <f>YEAR('Data 1'!$A278)</f>
        <v>2022</v>
      </c>
    </row>
    <row r="279" spans="1:17" x14ac:dyDescent="0.3">
      <c r="A279" s="35">
        <v>44579</v>
      </c>
      <c r="B279" s="36" t="s">
        <v>44</v>
      </c>
      <c r="C279" s="37">
        <v>9</v>
      </c>
      <c r="D279" s="37" t="s">
        <v>16</v>
      </c>
      <c r="E279" s="37" t="s">
        <v>19</v>
      </c>
      <c r="F279" s="38">
        <v>0</v>
      </c>
      <c r="G279" s="42" t="str">
        <f>VLOOKUP('Data 1'!$B279,'Data 2'!$A$1:$F$46,MATCH('Data 1'!G$1,'Data 2'!$A$1:$F$1,0),0)</f>
        <v>Product08</v>
      </c>
      <c r="H279" s="42" t="str">
        <f>VLOOKUP('Data 1'!$B279,'Data 2'!$A$1:$F$46,MATCH('Data 1'!H$1,'Data 2'!$A$1:$F$1,0),0)</f>
        <v>Category01</v>
      </c>
      <c r="I279" s="42" t="str">
        <f>VLOOKUP('Data 1'!$B279,'Data 2'!$A$1:$F$46,MATCH('Data 1'!I$1,'Data 2'!$A$1:$F$1,0),0)</f>
        <v>Kg</v>
      </c>
      <c r="J279" s="42">
        <f>VLOOKUP('Data 1'!$B279,'Data 2'!$A$1:$F$46,MATCH('Data 1'!J$1,'Data 2'!$A$1:$F$1,0),0)</f>
        <v>83</v>
      </c>
      <c r="K279" s="42">
        <f>VLOOKUP('Data 1'!$B279,'Data 2'!$A$1:$F$46,MATCH('Data 1'!K$1,'Data 2'!$A$1:$F$1,0),0)</f>
        <v>94.62</v>
      </c>
      <c r="L279" s="40">
        <f>SUM('Data 1'!$J279*'Data 1'!$C279)</f>
        <v>747</v>
      </c>
      <c r="M279" s="40">
        <f>'Data 1'!$C279*'Data 1'!$K279</f>
        <v>851.58</v>
      </c>
      <c r="N279" s="40">
        <f>'Data 1'!$M279-'Data 1'!$L279</f>
        <v>104.58000000000004</v>
      </c>
      <c r="O279" s="37">
        <f>DAY('Data 1'!$A279)</f>
        <v>18</v>
      </c>
      <c r="P279" s="37" t="str">
        <f>TEXT('Data 1'!$A279,"mmm")</f>
        <v>Jan</v>
      </c>
      <c r="Q279" s="41">
        <f>YEAR('Data 1'!$A279)</f>
        <v>2022</v>
      </c>
    </row>
    <row r="280" spans="1:17" x14ac:dyDescent="0.3">
      <c r="A280" s="35">
        <v>44581</v>
      </c>
      <c r="B280" s="36" t="s">
        <v>51</v>
      </c>
      <c r="C280" s="37">
        <v>2</v>
      </c>
      <c r="D280" s="37" t="s">
        <v>21</v>
      </c>
      <c r="E280" s="37" t="s">
        <v>19</v>
      </c>
      <c r="F280" s="38">
        <v>0</v>
      </c>
      <c r="G280" s="39" t="str">
        <f>VLOOKUP('Data 1'!$B280,'Data 2'!$A$1:$F$46,MATCH('Data 1'!G$1,'Data 2'!$A$1:$F$1,0),0)</f>
        <v>Product21</v>
      </c>
      <c r="H280" s="39" t="str">
        <f>VLOOKUP('Data 1'!$B280,'Data 2'!$A$1:$F$46,MATCH('Data 1'!H$1,'Data 2'!$A$1:$F$1,0),0)</f>
        <v>Category03</v>
      </c>
      <c r="I280" s="39" t="str">
        <f>VLOOKUP('Data 1'!$B280,'Data 2'!$A$1:$F$46,MATCH('Data 1'!I$1,'Data 2'!$A$1:$F$1,0),0)</f>
        <v>Ft</v>
      </c>
      <c r="J280" s="39">
        <f>VLOOKUP('Data 1'!$B280,'Data 2'!$A$1:$F$46,MATCH('Data 1'!J$1,'Data 2'!$A$1:$F$1,0),0)</f>
        <v>126</v>
      </c>
      <c r="K280" s="39">
        <f>VLOOKUP('Data 1'!$B280,'Data 2'!$A$1:$F$46,MATCH('Data 1'!K$1,'Data 2'!$A$1:$F$1,0),0)</f>
        <v>162.54</v>
      </c>
      <c r="L280" s="40">
        <f>SUM('Data 1'!$J280*'Data 1'!$C280)</f>
        <v>252</v>
      </c>
      <c r="M280" s="40">
        <f>'Data 1'!$C280*'Data 1'!$K280</f>
        <v>325.08</v>
      </c>
      <c r="N280" s="40">
        <f>'Data 1'!$M280-'Data 1'!$L280</f>
        <v>73.079999999999984</v>
      </c>
      <c r="O280" s="37">
        <f>DAY('Data 1'!$A280)</f>
        <v>20</v>
      </c>
      <c r="P280" s="37" t="str">
        <f>TEXT('Data 1'!$A280,"mmm")</f>
        <v>Jan</v>
      </c>
      <c r="Q280" s="41">
        <f>YEAR('Data 1'!$A280)</f>
        <v>2022</v>
      </c>
    </row>
    <row r="281" spans="1:17" x14ac:dyDescent="0.3">
      <c r="A281" s="35">
        <v>44581</v>
      </c>
      <c r="B281" s="36" t="s">
        <v>28</v>
      </c>
      <c r="C281" s="37">
        <v>7</v>
      </c>
      <c r="D281" s="37" t="s">
        <v>17</v>
      </c>
      <c r="E281" s="37" t="s">
        <v>17</v>
      </c>
      <c r="F281" s="38">
        <v>0</v>
      </c>
      <c r="G281" s="42" t="str">
        <f>VLOOKUP('Data 1'!$B281,'Data 2'!$A$1:$F$46,MATCH('Data 1'!G$1,'Data 2'!$A$1:$F$1,0),0)</f>
        <v>Product14</v>
      </c>
      <c r="H281" s="42" t="str">
        <f>VLOOKUP('Data 1'!$B281,'Data 2'!$A$1:$F$46,MATCH('Data 1'!H$1,'Data 2'!$A$1:$F$1,0),0)</f>
        <v>Category02</v>
      </c>
      <c r="I281" s="42" t="str">
        <f>VLOOKUP('Data 1'!$B281,'Data 2'!$A$1:$F$46,MATCH('Data 1'!I$1,'Data 2'!$A$1:$F$1,0),0)</f>
        <v>Kg</v>
      </c>
      <c r="J281" s="42">
        <f>VLOOKUP('Data 1'!$B281,'Data 2'!$A$1:$F$46,MATCH('Data 1'!J$1,'Data 2'!$A$1:$F$1,0),0)</f>
        <v>112</v>
      </c>
      <c r="K281" s="42">
        <f>VLOOKUP('Data 1'!$B281,'Data 2'!$A$1:$F$46,MATCH('Data 1'!K$1,'Data 2'!$A$1:$F$1,0),0)</f>
        <v>146.72</v>
      </c>
      <c r="L281" s="40">
        <f>SUM('Data 1'!$J281*'Data 1'!$C281)</f>
        <v>784</v>
      </c>
      <c r="M281" s="40">
        <f>'Data 1'!$C281*'Data 1'!$K281</f>
        <v>1027.04</v>
      </c>
      <c r="N281" s="40">
        <f>'Data 1'!$M281-'Data 1'!$L281</f>
        <v>243.03999999999996</v>
      </c>
      <c r="O281" s="37">
        <f>DAY('Data 1'!$A281)</f>
        <v>20</v>
      </c>
      <c r="P281" s="37" t="str">
        <f>TEXT('Data 1'!$A281,"mmm")</f>
        <v>Jan</v>
      </c>
      <c r="Q281" s="41">
        <f>YEAR('Data 1'!$A281)</f>
        <v>2022</v>
      </c>
    </row>
    <row r="282" spans="1:17" x14ac:dyDescent="0.3">
      <c r="A282" s="35">
        <v>44583</v>
      </c>
      <c r="B282" s="36" t="s">
        <v>35</v>
      </c>
      <c r="C282" s="37">
        <v>6</v>
      </c>
      <c r="D282" s="37" t="s">
        <v>17</v>
      </c>
      <c r="E282" s="37" t="s">
        <v>19</v>
      </c>
      <c r="F282" s="38">
        <v>0</v>
      </c>
      <c r="G282" s="39" t="str">
        <f>VLOOKUP('Data 1'!$B282,'Data 2'!$A$1:$F$46,MATCH('Data 1'!G$1,'Data 2'!$A$1:$F$1,0),0)</f>
        <v>Product01</v>
      </c>
      <c r="H282" s="39" t="str">
        <f>VLOOKUP('Data 1'!$B282,'Data 2'!$A$1:$F$46,MATCH('Data 1'!H$1,'Data 2'!$A$1:$F$1,0),0)</f>
        <v>Category01</v>
      </c>
      <c r="I282" s="39" t="str">
        <f>VLOOKUP('Data 1'!$B282,'Data 2'!$A$1:$F$46,MATCH('Data 1'!I$1,'Data 2'!$A$1:$F$1,0),0)</f>
        <v>Kg</v>
      </c>
      <c r="J282" s="39">
        <f>VLOOKUP('Data 1'!$B282,'Data 2'!$A$1:$F$46,MATCH('Data 1'!J$1,'Data 2'!$A$1:$F$1,0),0)</f>
        <v>98</v>
      </c>
      <c r="K282" s="39">
        <f>VLOOKUP('Data 1'!$B282,'Data 2'!$A$1:$F$46,MATCH('Data 1'!K$1,'Data 2'!$A$1:$F$1,0),0)</f>
        <v>103.88</v>
      </c>
      <c r="L282" s="40">
        <f>SUM('Data 1'!$J282*'Data 1'!$C282)</f>
        <v>588</v>
      </c>
      <c r="M282" s="40">
        <f>'Data 1'!$C282*'Data 1'!$K282</f>
        <v>623.28</v>
      </c>
      <c r="N282" s="40">
        <f>'Data 1'!$M282-'Data 1'!$L282</f>
        <v>35.279999999999973</v>
      </c>
      <c r="O282" s="37">
        <f>DAY('Data 1'!$A282)</f>
        <v>22</v>
      </c>
      <c r="P282" s="37" t="str">
        <f>TEXT('Data 1'!$A282,"mmm")</f>
        <v>Jan</v>
      </c>
      <c r="Q282" s="41">
        <f>YEAR('Data 1'!$A282)</f>
        <v>2022</v>
      </c>
    </row>
    <row r="283" spans="1:17" x14ac:dyDescent="0.3">
      <c r="A283" s="35">
        <v>44584</v>
      </c>
      <c r="B283" s="36" t="s">
        <v>48</v>
      </c>
      <c r="C283" s="37">
        <v>5</v>
      </c>
      <c r="D283" s="37" t="s">
        <v>16</v>
      </c>
      <c r="E283" s="37" t="s">
        <v>19</v>
      </c>
      <c r="F283" s="38">
        <v>0</v>
      </c>
      <c r="G283" s="42" t="str">
        <f>VLOOKUP('Data 1'!$B283,'Data 2'!$A$1:$F$46,MATCH('Data 1'!G$1,'Data 2'!$A$1:$F$1,0),0)</f>
        <v>Product02</v>
      </c>
      <c r="H283" s="42" t="str">
        <f>VLOOKUP('Data 1'!$B283,'Data 2'!$A$1:$F$46,MATCH('Data 1'!H$1,'Data 2'!$A$1:$F$1,0),0)</f>
        <v>Category01</v>
      </c>
      <c r="I283" s="42" t="str">
        <f>VLOOKUP('Data 1'!$B283,'Data 2'!$A$1:$F$46,MATCH('Data 1'!I$1,'Data 2'!$A$1:$F$1,0),0)</f>
        <v>Kg</v>
      </c>
      <c r="J283" s="42">
        <f>VLOOKUP('Data 1'!$B283,'Data 2'!$A$1:$F$46,MATCH('Data 1'!J$1,'Data 2'!$A$1:$F$1,0),0)</f>
        <v>105</v>
      </c>
      <c r="K283" s="42">
        <f>VLOOKUP('Data 1'!$B283,'Data 2'!$A$1:$F$46,MATCH('Data 1'!K$1,'Data 2'!$A$1:$F$1,0),0)</f>
        <v>142.80000000000001</v>
      </c>
      <c r="L283" s="40">
        <f>SUM('Data 1'!$J283*'Data 1'!$C283)</f>
        <v>525</v>
      </c>
      <c r="M283" s="40">
        <f>'Data 1'!$C283*'Data 1'!$K283</f>
        <v>714</v>
      </c>
      <c r="N283" s="40">
        <f>'Data 1'!$M283-'Data 1'!$L283</f>
        <v>189</v>
      </c>
      <c r="O283" s="37">
        <f>DAY('Data 1'!$A283)</f>
        <v>23</v>
      </c>
      <c r="P283" s="37" t="str">
        <f>TEXT('Data 1'!$A283,"mmm")</f>
        <v>Jan</v>
      </c>
      <c r="Q283" s="41">
        <f>YEAR('Data 1'!$A283)</f>
        <v>2022</v>
      </c>
    </row>
    <row r="284" spans="1:17" x14ac:dyDescent="0.3">
      <c r="A284" s="35">
        <v>44584</v>
      </c>
      <c r="B284" s="36" t="s">
        <v>29</v>
      </c>
      <c r="C284" s="37">
        <v>8</v>
      </c>
      <c r="D284" s="37" t="s">
        <v>21</v>
      </c>
      <c r="E284" s="37" t="s">
        <v>17</v>
      </c>
      <c r="F284" s="38">
        <v>0</v>
      </c>
      <c r="G284" s="39" t="str">
        <f>VLOOKUP('Data 1'!$B284,'Data 2'!$A$1:$F$46,MATCH('Data 1'!G$1,'Data 2'!$A$1:$F$1,0),0)</f>
        <v>Product42</v>
      </c>
      <c r="H284" s="39" t="str">
        <f>VLOOKUP('Data 1'!$B284,'Data 2'!$A$1:$F$46,MATCH('Data 1'!H$1,'Data 2'!$A$1:$F$1,0),0)</f>
        <v>Category05</v>
      </c>
      <c r="I284" s="39" t="str">
        <f>VLOOKUP('Data 1'!$B284,'Data 2'!$A$1:$F$46,MATCH('Data 1'!I$1,'Data 2'!$A$1:$F$1,0),0)</f>
        <v>Ft</v>
      </c>
      <c r="J284" s="39">
        <f>VLOOKUP('Data 1'!$B284,'Data 2'!$A$1:$F$46,MATCH('Data 1'!J$1,'Data 2'!$A$1:$F$1,0),0)</f>
        <v>120</v>
      </c>
      <c r="K284" s="39">
        <f>VLOOKUP('Data 1'!$B284,'Data 2'!$A$1:$F$46,MATCH('Data 1'!K$1,'Data 2'!$A$1:$F$1,0),0)</f>
        <v>162</v>
      </c>
      <c r="L284" s="40">
        <f>SUM('Data 1'!$J284*'Data 1'!$C284)</f>
        <v>960</v>
      </c>
      <c r="M284" s="40">
        <f>'Data 1'!$C284*'Data 1'!$K284</f>
        <v>1296</v>
      </c>
      <c r="N284" s="40">
        <f>'Data 1'!$M284-'Data 1'!$L284</f>
        <v>336</v>
      </c>
      <c r="O284" s="37">
        <f>DAY('Data 1'!$A284)</f>
        <v>23</v>
      </c>
      <c r="P284" s="37" t="str">
        <f>TEXT('Data 1'!$A284,"mmm")</f>
        <v>Jan</v>
      </c>
      <c r="Q284" s="41">
        <f>YEAR('Data 1'!$A284)</f>
        <v>2022</v>
      </c>
    </row>
    <row r="285" spans="1:17" x14ac:dyDescent="0.3">
      <c r="A285" s="35">
        <v>44585</v>
      </c>
      <c r="B285" s="36" t="s">
        <v>47</v>
      </c>
      <c r="C285" s="37">
        <v>15</v>
      </c>
      <c r="D285" s="37" t="s">
        <v>17</v>
      </c>
      <c r="E285" s="37" t="s">
        <v>17</v>
      </c>
      <c r="F285" s="38">
        <v>0</v>
      </c>
      <c r="G285" s="42" t="str">
        <f>VLOOKUP('Data 1'!$B285,'Data 2'!$A$1:$F$46,MATCH('Data 1'!G$1,'Data 2'!$A$1:$F$1,0),0)</f>
        <v>Product30</v>
      </c>
      <c r="H285" s="42" t="str">
        <f>VLOOKUP('Data 1'!$B285,'Data 2'!$A$1:$F$46,MATCH('Data 1'!H$1,'Data 2'!$A$1:$F$1,0),0)</f>
        <v>Category04</v>
      </c>
      <c r="I285" s="42" t="str">
        <f>VLOOKUP('Data 1'!$B285,'Data 2'!$A$1:$F$46,MATCH('Data 1'!I$1,'Data 2'!$A$1:$F$1,0),0)</f>
        <v>Ft</v>
      </c>
      <c r="J285" s="42">
        <f>VLOOKUP('Data 1'!$B285,'Data 2'!$A$1:$F$46,MATCH('Data 1'!J$1,'Data 2'!$A$1:$F$1,0),0)</f>
        <v>148</v>
      </c>
      <c r="K285" s="42">
        <f>VLOOKUP('Data 1'!$B285,'Data 2'!$A$1:$F$46,MATCH('Data 1'!K$1,'Data 2'!$A$1:$F$1,0),0)</f>
        <v>201.28</v>
      </c>
      <c r="L285" s="40">
        <f>SUM('Data 1'!$J285*'Data 1'!$C285)</f>
        <v>2220</v>
      </c>
      <c r="M285" s="40">
        <f>'Data 1'!$C285*'Data 1'!$K285</f>
        <v>3019.2</v>
      </c>
      <c r="N285" s="40">
        <f>'Data 1'!$M285-'Data 1'!$L285</f>
        <v>799.19999999999982</v>
      </c>
      <c r="O285" s="37">
        <f>DAY('Data 1'!$A285)</f>
        <v>24</v>
      </c>
      <c r="P285" s="37" t="str">
        <f>TEXT('Data 1'!$A285,"mmm")</f>
        <v>Jan</v>
      </c>
      <c r="Q285" s="41">
        <f>YEAR('Data 1'!$A285)</f>
        <v>2022</v>
      </c>
    </row>
    <row r="286" spans="1:17" x14ac:dyDescent="0.3">
      <c r="A286" s="35">
        <v>44586</v>
      </c>
      <c r="B286" s="36" t="s">
        <v>58</v>
      </c>
      <c r="C286" s="37">
        <v>14</v>
      </c>
      <c r="D286" s="37" t="s">
        <v>21</v>
      </c>
      <c r="E286" s="37" t="s">
        <v>19</v>
      </c>
      <c r="F286" s="38">
        <v>0</v>
      </c>
      <c r="G286" s="39" t="str">
        <f>VLOOKUP('Data 1'!$B286,'Data 2'!$A$1:$F$46,MATCH('Data 1'!G$1,'Data 2'!$A$1:$F$1,0),0)</f>
        <v>Product17</v>
      </c>
      <c r="H286" s="39" t="str">
        <f>VLOOKUP('Data 1'!$B286,'Data 2'!$A$1:$F$46,MATCH('Data 1'!H$1,'Data 2'!$A$1:$F$1,0),0)</f>
        <v>Category02</v>
      </c>
      <c r="I286" s="39" t="str">
        <f>VLOOKUP('Data 1'!$B286,'Data 2'!$A$1:$F$46,MATCH('Data 1'!I$1,'Data 2'!$A$1:$F$1,0),0)</f>
        <v>Ft</v>
      </c>
      <c r="J286" s="39">
        <f>VLOOKUP('Data 1'!$B286,'Data 2'!$A$1:$F$46,MATCH('Data 1'!J$1,'Data 2'!$A$1:$F$1,0),0)</f>
        <v>134</v>
      </c>
      <c r="K286" s="39">
        <f>VLOOKUP('Data 1'!$B286,'Data 2'!$A$1:$F$46,MATCH('Data 1'!K$1,'Data 2'!$A$1:$F$1,0),0)</f>
        <v>156.78</v>
      </c>
      <c r="L286" s="40">
        <f>SUM('Data 1'!$J286*'Data 1'!$C286)</f>
        <v>1876</v>
      </c>
      <c r="M286" s="40">
        <f>'Data 1'!$C286*'Data 1'!$K286</f>
        <v>2194.92</v>
      </c>
      <c r="N286" s="40">
        <f>'Data 1'!$M286-'Data 1'!$L286</f>
        <v>318.92000000000007</v>
      </c>
      <c r="O286" s="37">
        <f>DAY('Data 1'!$A286)</f>
        <v>25</v>
      </c>
      <c r="P286" s="37" t="str">
        <f>TEXT('Data 1'!$A286,"mmm")</f>
        <v>Jan</v>
      </c>
      <c r="Q286" s="41">
        <f>YEAR('Data 1'!$A286)</f>
        <v>2022</v>
      </c>
    </row>
    <row r="287" spans="1:17" x14ac:dyDescent="0.3">
      <c r="A287" s="35">
        <v>44589</v>
      </c>
      <c r="B287" s="36" t="s">
        <v>40</v>
      </c>
      <c r="C287" s="37">
        <v>11</v>
      </c>
      <c r="D287" s="37" t="s">
        <v>21</v>
      </c>
      <c r="E287" s="37" t="s">
        <v>17</v>
      </c>
      <c r="F287" s="38">
        <v>0</v>
      </c>
      <c r="G287" s="42" t="str">
        <f>VLOOKUP('Data 1'!$B287,'Data 2'!$A$1:$F$46,MATCH('Data 1'!G$1,'Data 2'!$A$1:$F$1,0),0)</f>
        <v>Product16</v>
      </c>
      <c r="H287" s="42" t="str">
        <f>VLOOKUP('Data 1'!$B287,'Data 2'!$A$1:$F$46,MATCH('Data 1'!H$1,'Data 2'!$A$1:$F$1,0),0)</f>
        <v>Category02</v>
      </c>
      <c r="I287" s="42" t="str">
        <f>VLOOKUP('Data 1'!$B287,'Data 2'!$A$1:$F$46,MATCH('Data 1'!I$1,'Data 2'!$A$1:$F$1,0),0)</f>
        <v>No.</v>
      </c>
      <c r="J287" s="42">
        <f>VLOOKUP('Data 1'!$B287,'Data 2'!$A$1:$F$46,MATCH('Data 1'!J$1,'Data 2'!$A$1:$F$1,0),0)</f>
        <v>13</v>
      </c>
      <c r="K287" s="42">
        <f>VLOOKUP('Data 1'!$B287,'Data 2'!$A$1:$F$46,MATCH('Data 1'!K$1,'Data 2'!$A$1:$F$1,0),0)</f>
        <v>16.64</v>
      </c>
      <c r="L287" s="40">
        <f>SUM('Data 1'!$J287*'Data 1'!$C287)</f>
        <v>143</v>
      </c>
      <c r="M287" s="40">
        <f>'Data 1'!$C287*'Data 1'!$K287</f>
        <v>183.04000000000002</v>
      </c>
      <c r="N287" s="40">
        <f>'Data 1'!$M287-'Data 1'!$L287</f>
        <v>40.04000000000002</v>
      </c>
      <c r="O287" s="37">
        <f>DAY('Data 1'!$A287)</f>
        <v>28</v>
      </c>
      <c r="P287" s="37" t="str">
        <f>TEXT('Data 1'!$A287,"mmm")</f>
        <v>Jan</v>
      </c>
      <c r="Q287" s="41">
        <f>YEAR('Data 1'!$A287)</f>
        <v>2022</v>
      </c>
    </row>
    <row r="288" spans="1:17" x14ac:dyDescent="0.3">
      <c r="A288" s="35">
        <v>44592</v>
      </c>
      <c r="B288" s="36" t="s">
        <v>31</v>
      </c>
      <c r="C288" s="37">
        <v>6</v>
      </c>
      <c r="D288" s="37" t="s">
        <v>17</v>
      </c>
      <c r="E288" s="37" t="s">
        <v>19</v>
      </c>
      <c r="F288" s="38">
        <v>0</v>
      </c>
      <c r="G288" s="39" t="str">
        <f>VLOOKUP('Data 1'!$B288,'Data 2'!$A$1:$F$46,MATCH('Data 1'!G$1,'Data 2'!$A$1:$F$1,0),0)</f>
        <v>Product23</v>
      </c>
      <c r="H288" s="39" t="str">
        <f>VLOOKUP('Data 1'!$B288,'Data 2'!$A$1:$F$46,MATCH('Data 1'!H$1,'Data 2'!$A$1:$F$1,0),0)</f>
        <v>Category03</v>
      </c>
      <c r="I288" s="39" t="str">
        <f>VLOOKUP('Data 1'!$B288,'Data 2'!$A$1:$F$46,MATCH('Data 1'!I$1,'Data 2'!$A$1:$F$1,0),0)</f>
        <v>Ft</v>
      </c>
      <c r="J288" s="39">
        <f>VLOOKUP('Data 1'!$B288,'Data 2'!$A$1:$F$46,MATCH('Data 1'!J$1,'Data 2'!$A$1:$F$1,0),0)</f>
        <v>141</v>
      </c>
      <c r="K288" s="39">
        <f>VLOOKUP('Data 1'!$B288,'Data 2'!$A$1:$F$46,MATCH('Data 1'!K$1,'Data 2'!$A$1:$F$1,0),0)</f>
        <v>149.46</v>
      </c>
      <c r="L288" s="40">
        <f>SUM('Data 1'!$J288*'Data 1'!$C288)</f>
        <v>846</v>
      </c>
      <c r="M288" s="40">
        <f>'Data 1'!$C288*'Data 1'!$K288</f>
        <v>896.76</v>
      </c>
      <c r="N288" s="40">
        <f>'Data 1'!$M288-'Data 1'!$L288</f>
        <v>50.759999999999991</v>
      </c>
      <c r="O288" s="37">
        <f>DAY('Data 1'!$A288)</f>
        <v>31</v>
      </c>
      <c r="P288" s="37" t="str">
        <f>TEXT('Data 1'!$A288,"mmm")</f>
        <v>Jan</v>
      </c>
      <c r="Q288" s="41">
        <f>YEAR('Data 1'!$A288)</f>
        <v>2022</v>
      </c>
    </row>
    <row r="289" spans="1:17" x14ac:dyDescent="0.3">
      <c r="A289" s="35">
        <v>44592</v>
      </c>
      <c r="B289" s="36" t="s">
        <v>60</v>
      </c>
      <c r="C289" s="37">
        <v>9</v>
      </c>
      <c r="D289" s="37" t="s">
        <v>21</v>
      </c>
      <c r="E289" s="37" t="s">
        <v>19</v>
      </c>
      <c r="F289" s="38">
        <v>0</v>
      </c>
      <c r="G289" s="42" t="str">
        <f>VLOOKUP('Data 1'!$B289,'Data 2'!$A$1:$F$46,MATCH('Data 1'!G$1,'Data 2'!$A$1:$F$1,0),0)</f>
        <v>Product41</v>
      </c>
      <c r="H289" s="42" t="str">
        <f>VLOOKUP('Data 1'!$B289,'Data 2'!$A$1:$F$46,MATCH('Data 1'!H$1,'Data 2'!$A$1:$F$1,0),0)</f>
        <v>Category05</v>
      </c>
      <c r="I289" s="42" t="str">
        <f>VLOOKUP('Data 1'!$B289,'Data 2'!$A$1:$F$46,MATCH('Data 1'!I$1,'Data 2'!$A$1:$F$1,0),0)</f>
        <v>Ft</v>
      </c>
      <c r="J289" s="42">
        <f>VLOOKUP('Data 1'!$B289,'Data 2'!$A$1:$F$46,MATCH('Data 1'!J$1,'Data 2'!$A$1:$F$1,0),0)</f>
        <v>138</v>
      </c>
      <c r="K289" s="42">
        <f>VLOOKUP('Data 1'!$B289,'Data 2'!$A$1:$F$46,MATCH('Data 1'!K$1,'Data 2'!$A$1:$F$1,0),0)</f>
        <v>173.88</v>
      </c>
      <c r="L289" s="40">
        <f>SUM('Data 1'!$J289*'Data 1'!$C289)</f>
        <v>1242</v>
      </c>
      <c r="M289" s="40">
        <f>'Data 1'!$C289*'Data 1'!$K289</f>
        <v>1564.92</v>
      </c>
      <c r="N289" s="40">
        <f>'Data 1'!$M289-'Data 1'!$L289</f>
        <v>322.92000000000007</v>
      </c>
      <c r="O289" s="37">
        <f>DAY('Data 1'!$A289)</f>
        <v>31</v>
      </c>
      <c r="P289" s="37" t="str">
        <f>TEXT('Data 1'!$A289,"mmm")</f>
        <v>Jan</v>
      </c>
      <c r="Q289" s="41">
        <f>YEAR('Data 1'!$A289)</f>
        <v>2022</v>
      </c>
    </row>
    <row r="290" spans="1:17" x14ac:dyDescent="0.3">
      <c r="A290" s="35">
        <v>44593</v>
      </c>
      <c r="B290" s="36" t="s">
        <v>43</v>
      </c>
      <c r="C290" s="37">
        <v>9</v>
      </c>
      <c r="D290" s="37" t="s">
        <v>21</v>
      </c>
      <c r="E290" s="37" t="s">
        <v>19</v>
      </c>
      <c r="F290" s="38">
        <v>0</v>
      </c>
      <c r="G290" s="39" t="str">
        <f>VLOOKUP('Data 1'!$B290,'Data 2'!$A$1:$F$46,MATCH('Data 1'!G$1,'Data 2'!$A$1:$F$1,0),0)</f>
        <v>Product05</v>
      </c>
      <c r="H290" s="39" t="str">
        <f>VLOOKUP('Data 1'!$B290,'Data 2'!$A$1:$F$46,MATCH('Data 1'!H$1,'Data 2'!$A$1:$F$1,0),0)</f>
        <v>Category01</v>
      </c>
      <c r="I290" s="39" t="str">
        <f>VLOOKUP('Data 1'!$B290,'Data 2'!$A$1:$F$46,MATCH('Data 1'!I$1,'Data 2'!$A$1:$F$1,0),0)</f>
        <v>Ft</v>
      </c>
      <c r="J290" s="39">
        <f>VLOOKUP('Data 1'!$B290,'Data 2'!$A$1:$F$46,MATCH('Data 1'!J$1,'Data 2'!$A$1:$F$1,0),0)</f>
        <v>133</v>
      </c>
      <c r="K290" s="39">
        <f>VLOOKUP('Data 1'!$B290,'Data 2'!$A$1:$F$46,MATCH('Data 1'!K$1,'Data 2'!$A$1:$F$1,0),0)</f>
        <v>155.61000000000001</v>
      </c>
      <c r="L290" s="40">
        <f>SUM('Data 1'!$J290*'Data 1'!$C290)</f>
        <v>1197</v>
      </c>
      <c r="M290" s="40">
        <f>'Data 1'!$C290*'Data 1'!$K290</f>
        <v>1400.4900000000002</v>
      </c>
      <c r="N290" s="40">
        <f>'Data 1'!$M290-'Data 1'!$L290</f>
        <v>203.49000000000024</v>
      </c>
      <c r="O290" s="37">
        <f>DAY('Data 1'!$A290)</f>
        <v>1</v>
      </c>
      <c r="P290" s="37" t="str">
        <f>TEXT('Data 1'!$A290,"mmm")</f>
        <v>Feb</v>
      </c>
      <c r="Q290" s="41">
        <f>YEAR('Data 1'!$A290)</f>
        <v>2022</v>
      </c>
    </row>
    <row r="291" spans="1:17" x14ac:dyDescent="0.3">
      <c r="A291" s="35">
        <v>44595</v>
      </c>
      <c r="B291" s="36" t="s">
        <v>28</v>
      </c>
      <c r="C291" s="37">
        <v>8</v>
      </c>
      <c r="D291" s="37" t="s">
        <v>21</v>
      </c>
      <c r="E291" s="37" t="s">
        <v>17</v>
      </c>
      <c r="F291" s="38">
        <v>0</v>
      </c>
      <c r="G291" s="42" t="str">
        <f>VLOOKUP('Data 1'!$B291,'Data 2'!$A$1:$F$46,MATCH('Data 1'!G$1,'Data 2'!$A$1:$F$1,0),0)</f>
        <v>Product14</v>
      </c>
      <c r="H291" s="42" t="str">
        <f>VLOOKUP('Data 1'!$B291,'Data 2'!$A$1:$F$46,MATCH('Data 1'!H$1,'Data 2'!$A$1:$F$1,0),0)</f>
        <v>Category02</v>
      </c>
      <c r="I291" s="42" t="str">
        <f>VLOOKUP('Data 1'!$B291,'Data 2'!$A$1:$F$46,MATCH('Data 1'!I$1,'Data 2'!$A$1:$F$1,0),0)</f>
        <v>Kg</v>
      </c>
      <c r="J291" s="42">
        <f>VLOOKUP('Data 1'!$B291,'Data 2'!$A$1:$F$46,MATCH('Data 1'!J$1,'Data 2'!$A$1:$F$1,0),0)</f>
        <v>112</v>
      </c>
      <c r="K291" s="42">
        <f>VLOOKUP('Data 1'!$B291,'Data 2'!$A$1:$F$46,MATCH('Data 1'!K$1,'Data 2'!$A$1:$F$1,0),0)</f>
        <v>146.72</v>
      </c>
      <c r="L291" s="40">
        <f>SUM('Data 1'!$J291*'Data 1'!$C291)</f>
        <v>896</v>
      </c>
      <c r="M291" s="40">
        <f>'Data 1'!$C291*'Data 1'!$K291</f>
        <v>1173.76</v>
      </c>
      <c r="N291" s="40">
        <f>'Data 1'!$M291-'Data 1'!$L291</f>
        <v>277.76</v>
      </c>
      <c r="O291" s="37">
        <f>DAY('Data 1'!$A291)</f>
        <v>3</v>
      </c>
      <c r="P291" s="37" t="str">
        <f>TEXT('Data 1'!$A291,"mmm")</f>
        <v>Feb</v>
      </c>
      <c r="Q291" s="41">
        <f>YEAR('Data 1'!$A291)</f>
        <v>2022</v>
      </c>
    </row>
    <row r="292" spans="1:17" x14ac:dyDescent="0.3">
      <c r="A292" s="35">
        <v>44597</v>
      </c>
      <c r="B292" s="36" t="s">
        <v>49</v>
      </c>
      <c r="C292" s="37">
        <v>6</v>
      </c>
      <c r="D292" s="37" t="s">
        <v>21</v>
      </c>
      <c r="E292" s="37" t="s">
        <v>19</v>
      </c>
      <c r="F292" s="38">
        <v>0</v>
      </c>
      <c r="G292" s="39" t="str">
        <f>VLOOKUP('Data 1'!$B292,'Data 2'!$A$1:$F$46,MATCH('Data 1'!G$1,'Data 2'!$A$1:$F$1,0),0)</f>
        <v>Product18</v>
      </c>
      <c r="H292" s="39" t="str">
        <f>VLOOKUP('Data 1'!$B292,'Data 2'!$A$1:$F$46,MATCH('Data 1'!H$1,'Data 2'!$A$1:$F$1,0),0)</f>
        <v>Category02</v>
      </c>
      <c r="I292" s="39" t="str">
        <f>VLOOKUP('Data 1'!$B292,'Data 2'!$A$1:$F$46,MATCH('Data 1'!I$1,'Data 2'!$A$1:$F$1,0),0)</f>
        <v>No.</v>
      </c>
      <c r="J292" s="39">
        <f>VLOOKUP('Data 1'!$B292,'Data 2'!$A$1:$F$46,MATCH('Data 1'!J$1,'Data 2'!$A$1:$F$1,0),0)</f>
        <v>37</v>
      </c>
      <c r="K292" s="39">
        <f>VLOOKUP('Data 1'!$B292,'Data 2'!$A$1:$F$46,MATCH('Data 1'!K$1,'Data 2'!$A$1:$F$1,0),0)</f>
        <v>49.21</v>
      </c>
      <c r="L292" s="40">
        <f>SUM('Data 1'!$J292*'Data 1'!$C292)</f>
        <v>222</v>
      </c>
      <c r="M292" s="40">
        <f>'Data 1'!$C292*'Data 1'!$K292</f>
        <v>295.26</v>
      </c>
      <c r="N292" s="40">
        <f>'Data 1'!$M292-'Data 1'!$L292</f>
        <v>73.259999999999991</v>
      </c>
      <c r="O292" s="37">
        <f>DAY('Data 1'!$A292)</f>
        <v>5</v>
      </c>
      <c r="P292" s="37" t="str">
        <f>TEXT('Data 1'!$A292,"mmm")</f>
        <v>Feb</v>
      </c>
      <c r="Q292" s="41">
        <f>YEAR('Data 1'!$A292)</f>
        <v>2022</v>
      </c>
    </row>
    <row r="293" spans="1:17" x14ac:dyDescent="0.3">
      <c r="A293" s="35">
        <v>44598</v>
      </c>
      <c r="B293" s="36" t="s">
        <v>48</v>
      </c>
      <c r="C293" s="37">
        <v>6</v>
      </c>
      <c r="D293" s="37" t="s">
        <v>21</v>
      </c>
      <c r="E293" s="37" t="s">
        <v>19</v>
      </c>
      <c r="F293" s="38">
        <v>0</v>
      </c>
      <c r="G293" s="42" t="str">
        <f>VLOOKUP('Data 1'!$B293,'Data 2'!$A$1:$F$46,MATCH('Data 1'!G$1,'Data 2'!$A$1:$F$1,0),0)</f>
        <v>Product02</v>
      </c>
      <c r="H293" s="42" t="str">
        <f>VLOOKUP('Data 1'!$B293,'Data 2'!$A$1:$F$46,MATCH('Data 1'!H$1,'Data 2'!$A$1:$F$1,0),0)</f>
        <v>Category01</v>
      </c>
      <c r="I293" s="42" t="str">
        <f>VLOOKUP('Data 1'!$B293,'Data 2'!$A$1:$F$46,MATCH('Data 1'!I$1,'Data 2'!$A$1:$F$1,0),0)</f>
        <v>Kg</v>
      </c>
      <c r="J293" s="42">
        <f>VLOOKUP('Data 1'!$B293,'Data 2'!$A$1:$F$46,MATCH('Data 1'!J$1,'Data 2'!$A$1:$F$1,0),0)</f>
        <v>105</v>
      </c>
      <c r="K293" s="42">
        <f>VLOOKUP('Data 1'!$B293,'Data 2'!$A$1:$F$46,MATCH('Data 1'!K$1,'Data 2'!$A$1:$F$1,0),0)</f>
        <v>142.80000000000001</v>
      </c>
      <c r="L293" s="40">
        <f>SUM('Data 1'!$J293*'Data 1'!$C293)</f>
        <v>630</v>
      </c>
      <c r="M293" s="40">
        <f>'Data 1'!$C293*'Data 1'!$K293</f>
        <v>856.80000000000007</v>
      </c>
      <c r="N293" s="40">
        <f>'Data 1'!$M293-'Data 1'!$L293</f>
        <v>226.80000000000007</v>
      </c>
      <c r="O293" s="37">
        <f>DAY('Data 1'!$A293)</f>
        <v>6</v>
      </c>
      <c r="P293" s="37" t="str">
        <f>TEXT('Data 1'!$A293,"mmm")</f>
        <v>Feb</v>
      </c>
      <c r="Q293" s="41">
        <f>YEAR('Data 1'!$A293)</f>
        <v>2022</v>
      </c>
    </row>
    <row r="294" spans="1:17" x14ac:dyDescent="0.3">
      <c r="A294" s="35">
        <v>44600</v>
      </c>
      <c r="B294" s="36" t="s">
        <v>43</v>
      </c>
      <c r="C294" s="37">
        <v>11</v>
      </c>
      <c r="D294" s="37" t="s">
        <v>17</v>
      </c>
      <c r="E294" s="37" t="s">
        <v>19</v>
      </c>
      <c r="F294" s="38">
        <v>0</v>
      </c>
      <c r="G294" s="39" t="str">
        <f>VLOOKUP('Data 1'!$B294,'Data 2'!$A$1:$F$46,MATCH('Data 1'!G$1,'Data 2'!$A$1:$F$1,0),0)</f>
        <v>Product05</v>
      </c>
      <c r="H294" s="39" t="str">
        <f>VLOOKUP('Data 1'!$B294,'Data 2'!$A$1:$F$46,MATCH('Data 1'!H$1,'Data 2'!$A$1:$F$1,0),0)</f>
        <v>Category01</v>
      </c>
      <c r="I294" s="39" t="str">
        <f>VLOOKUP('Data 1'!$B294,'Data 2'!$A$1:$F$46,MATCH('Data 1'!I$1,'Data 2'!$A$1:$F$1,0),0)</f>
        <v>Ft</v>
      </c>
      <c r="J294" s="39">
        <f>VLOOKUP('Data 1'!$B294,'Data 2'!$A$1:$F$46,MATCH('Data 1'!J$1,'Data 2'!$A$1:$F$1,0),0)</f>
        <v>133</v>
      </c>
      <c r="K294" s="39">
        <f>VLOOKUP('Data 1'!$B294,'Data 2'!$A$1:$F$46,MATCH('Data 1'!K$1,'Data 2'!$A$1:$F$1,0),0)</f>
        <v>155.61000000000001</v>
      </c>
      <c r="L294" s="40">
        <f>SUM('Data 1'!$J294*'Data 1'!$C294)</f>
        <v>1463</v>
      </c>
      <c r="M294" s="40">
        <f>'Data 1'!$C294*'Data 1'!$K294</f>
        <v>1711.71</v>
      </c>
      <c r="N294" s="40">
        <f>'Data 1'!$M294-'Data 1'!$L294</f>
        <v>248.71000000000004</v>
      </c>
      <c r="O294" s="37">
        <f>DAY('Data 1'!$A294)</f>
        <v>8</v>
      </c>
      <c r="P294" s="37" t="str">
        <f>TEXT('Data 1'!$A294,"mmm")</f>
        <v>Feb</v>
      </c>
      <c r="Q294" s="41">
        <f>YEAR('Data 1'!$A294)</f>
        <v>2022</v>
      </c>
    </row>
    <row r="295" spans="1:17" x14ac:dyDescent="0.3">
      <c r="A295" s="35">
        <v>44600</v>
      </c>
      <c r="B295" s="36" t="s">
        <v>22</v>
      </c>
      <c r="C295" s="37">
        <v>3</v>
      </c>
      <c r="D295" s="37" t="s">
        <v>17</v>
      </c>
      <c r="E295" s="37" t="s">
        <v>19</v>
      </c>
      <c r="F295" s="38">
        <v>0</v>
      </c>
      <c r="G295" s="42" t="str">
        <f>VLOOKUP('Data 1'!$B295,'Data 2'!$A$1:$F$46,MATCH('Data 1'!G$1,'Data 2'!$A$1:$F$1,0),0)</f>
        <v>Product04</v>
      </c>
      <c r="H295" s="42" t="str">
        <f>VLOOKUP('Data 1'!$B295,'Data 2'!$A$1:$F$46,MATCH('Data 1'!H$1,'Data 2'!$A$1:$F$1,0),0)</f>
        <v>Category01</v>
      </c>
      <c r="I295" s="42" t="str">
        <f>VLOOKUP('Data 1'!$B295,'Data 2'!$A$1:$F$46,MATCH('Data 1'!I$1,'Data 2'!$A$1:$F$1,0),0)</f>
        <v>Lt</v>
      </c>
      <c r="J295" s="42">
        <f>VLOOKUP('Data 1'!$B295,'Data 2'!$A$1:$F$46,MATCH('Data 1'!J$1,'Data 2'!$A$1:$F$1,0),0)</f>
        <v>44</v>
      </c>
      <c r="K295" s="42">
        <f>VLOOKUP('Data 1'!$B295,'Data 2'!$A$1:$F$46,MATCH('Data 1'!K$1,'Data 2'!$A$1:$F$1,0),0)</f>
        <v>48.84</v>
      </c>
      <c r="L295" s="40">
        <f>SUM('Data 1'!$J295*'Data 1'!$C295)</f>
        <v>132</v>
      </c>
      <c r="M295" s="40">
        <f>'Data 1'!$C295*'Data 1'!$K295</f>
        <v>146.52000000000001</v>
      </c>
      <c r="N295" s="40">
        <f>'Data 1'!$M295-'Data 1'!$L295</f>
        <v>14.52000000000001</v>
      </c>
      <c r="O295" s="37">
        <f>DAY('Data 1'!$A295)</f>
        <v>8</v>
      </c>
      <c r="P295" s="37" t="str">
        <f>TEXT('Data 1'!$A295,"mmm")</f>
        <v>Feb</v>
      </c>
      <c r="Q295" s="41">
        <f>YEAR('Data 1'!$A295)</f>
        <v>2022</v>
      </c>
    </row>
    <row r="296" spans="1:17" x14ac:dyDescent="0.3">
      <c r="A296" s="35">
        <v>44601</v>
      </c>
      <c r="B296" s="36" t="s">
        <v>37</v>
      </c>
      <c r="C296" s="37">
        <v>14</v>
      </c>
      <c r="D296" s="37" t="s">
        <v>17</v>
      </c>
      <c r="E296" s="37" t="s">
        <v>17</v>
      </c>
      <c r="F296" s="38">
        <v>0</v>
      </c>
      <c r="G296" s="39" t="str">
        <f>VLOOKUP('Data 1'!$B296,'Data 2'!$A$1:$F$46,MATCH('Data 1'!G$1,'Data 2'!$A$1:$F$1,0),0)</f>
        <v>Product32</v>
      </c>
      <c r="H296" s="39" t="str">
        <f>VLOOKUP('Data 1'!$B296,'Data 2'!$A$1:$F$46,MATCH('Data 1'!H$1,'Data 2'!$A$1:$F$1,0),0)</f>
        <v>Category04</v>
      </c>
      <c r="I296" s="39" t="str">
        <f>VLOOKUP('Data 1'!$B296,'Data 2'!$A$1:$F$46,MATCH('Data 1'!I$1,'Data 2'!$A$1:$F$1,0),0)</f>
        <v>Kg</v>
      </c>
      <c r="J296" s="39">
        <f>VLOOKUP('Data 1'!$B296,'Data 2'!$A$1:$F$46,MATCH('Data 1'!J$1,'Data 2'!$A$1:$F$1,0),0)</f>
        <v>89</v>
      </c>
      <c r="K296" s="39">
        <f>VLOOKUP('Data 1'!$B296,'Data 2'!$A$1:$F$46,MATCH('Data 1'!K$1,'Data 2'!$A$1:$F$1,0),0)</f>
        <v>117.48</v>
      </c>
      <c r="L296" s="40">
        <f>SUM('Data 1'!$J296*'Data 1'!$C296)</f>
        <v>1246</v>
      </c>
      <c r="M296" s="40">
        <f>'Data 1'!$C296*'Data 1'!$K296</f>
        <v>1644.72</v>
      </c>
      <c r="N296" s="40">
        <f>'Data 1'!$M296-'Data 1'!$L296</f>
        <v>398.72</v>
      </c>
      <c r="O296" s="37">
        <f>DAY('Data 1'!$A296)</f>
        <v>9</v>
      </c>
      <c r="P296" s="37" t="str">
        <f>TEXT('Data 1'!$A296,"mmm")</f>
        <v>Feb</v>
      </c>
      <c r="Q296" s="41">
        <f>YEAR('Data 1'!$A296)</f>
        <v>2022</v>
      </c>
    </row>
    <row r="297" spans="1:17" x14ac:dyDescent="0.3">
      <c r="A297" s="35">
        <v>44604</v>
      </c>
      <c r="B297" s="36" t="s">
        <v>39</v>
      </c>
      <c r="C297" s="37">
        <v>13</v>
      </c>
      <c r="D297" s="37" t="s">
        <v>21</v>
      </c>
      <c r="E297" s="37" t="s">
        <v>19</v>
      </c>
      <c r="F297" s="38">
        <v>0</v>
      </c>
      <c r="G297" s="42" t="str">
        <f>VLOOKUP('Data 1'!$B297,'Data 2'!$A$1:$F$46,MATCH('Data 1'!G$1,'Data 2'!$A$1:$F$1,0),0)</f>
        <v>Product10</v>
      </c>
      <c r="H297" s="42" t="str">
        <f>VLOOKUP('Data 1'!$B297,'Data 2'!$A$1:$F$46,MATCH('Data 1'!H$1,'Data 2'!$A$1:$F$1,0),0)</f>
        <v>Category02</v>
      </c>
      <c r="I297" s="42" t="str">
        <f>VLOOKUP('Data 1'!$B297,'Data 2'!$A$1:$F$46,MATCH('Data 1'!I$1,'Data 2'!$A$1:$F$1,0),0)</f>
        <v>Ft</v>
      </c>
      <c r="J297" s="42">
        <f>VLOOKUP('Data 1'!$B297,'Data 2'!$A$1:$F$46,MATCH('Data 1'!J$1,'Data 2'!$A$1:$F$1,0),0)</f>
        <v>148</v>
      </c>
      <c r="K297" s="42">
        <f>VLOOKUP('Data 1'!$B297,'Data 2'!$A$1:$F$46,MATCH('Data 1'!K$1,'Data 2'!$A$1:$F$1,0),0)</f>
        <v>164.28</v>
      </c>
      <c r="L297" s="40">
        <f>SUM('Data 1'!$J297*'Data 1'!$C297)</f>
        <v>1924</v>
      </c>
      <c r="M297" s="40">
        <f>'Data 1'!$C297*'Data 1'!$K297</f>
        <v>2135.64</v>
      </c>
      <c r="N297" s="40">
        <f>'Data 1'!$M297-'Data 1'!$L297</f>
        <v>211.63999999999987</v>
      </c>
      <c r="O297" s="37">
        <f>DAY('Data 1'!$A297)</f>
        <v>12</v>
      </c>
      <c r="P297" s="37" t="str">
        <f>TEXT('Data 1'!$A297,"mmm")</f>
        <v>Feb</v>
      </c>
      <c r="Q297" s="41">
        <f>YEAR('Data 1'!$A297)</f>
        <v>2022</v>
      </c>
    </row>
    <row r="298" spans="1:17" x14ac:dyDescent="0.3">
      <c r="A298" s="35">
        <v>44606</v>
      </c>
      <c r="B298" s="36" t="s">
        <v>61</v>
      </c>
      <c r="C298" s="37">
        <v>8</v>
      </c>
      <c r="D298" s="37" t="s">
        <v>17</v>
      </c>
      <c r="E298" s="37" t="s">
        <v>19</v>
      </c>
      <c r="F298" s="38">
        <v>0</v>
      </c>
      <c r="G298" s="39" t="str">
        <f>VLOOKUP('Data 1'!$B298,'Data 2'!$A$1:$F$46,MATCH('Data 1'!G$1,'Data 2'!$A$1:$F$1,0),0)</f>
        <v>Product26</v>
      </c>
      <c r="H298" s="39" t="str">
        <f>VLOOKUP('Data 1'!$B298,'Data 2'!$A$1:$F$46,MATCH('Data 1'!H$1,'Data 2'!$A$1:$F$1,0),0)</f>
        <v>Category04</v>
      </c>
      <c r="I298" s="39" t="str">
        <f>VLOOKUP('Data 1'!$B298,'Data 2'!$A$1:$F$46,MATCH('Data 1'!I$1,'Data 2'!$A$1:$F$1,0),0)</f>
        <v>No.</v>
      </c>
      <c r="J298" s="39">
        <f>VLOOKUP('Data 1'!$B298,'Data 2'!$A$1:$F$46,MATCH('Data 1'!J$1,'Data 2'!$A$1:$F$1,0),0)</f>
        <v>18</v>
      </c>
      <c r="K298" s="39">
        <f>VLOOKUP('Data 1'!$B298,'Data 2'!$A$1:$F$46,MATCH('Data 1'!K$1,'Data 2'!$A$1:$F$1,0),0)</f>
        <v>24.66</v>
      </c>
      <c r="L298" s="40">
        <f>SUM('Data 1'!$J298*'Data 1'!$C298)</f>
        <v>144</v>
      </c>
      <c r="M298" s="40">
        <f>'Data 1'!$C298*'Data 1'!$K298</f>
        <v>197.28</v>
      </c>
      <c r="N298" s="40">
        <f>'Data 1'!$M298-'Data 1'!$L298</f>
        <v>53.28</v>
      </c>
      <c r="O298" s="37">
        <f>DAY('Data 1'!$A298)</f>
        <v>14</v>
      </c>
      <c r="P298" s="37" t="str">
        <f>TEXT('Data 1'!$A298,"mmm")</f>
        <v>Feb</v>
      </c>
      <c r="Q298" s="41">
        <f>YEAR('Data 1'!$A298)</f>
        <v>2022</v>
      </c>
    </row>
    <row r="299" spans="1:17" x14ac:dyDescent="0.3">
      <c r="A299" s="35">
        <v>44606</v>
      </c>
      <c r="B299" s="36" t="s">
        <v>52</v>
      </c>
      <c r="C299" s="37">
        <v>3</v>
      </c>
      <c r="D299" s="37" t="s">
        <v>21</v>
      </c>
      <c r="E299" s="37" t="s">
        <v>19</v>
      </c>
      <c r="F299" s="38">
        <v>0</v>
      </c>
      <c r="G299" s="42" t="str">
        <f>VLOOKUP('Data 1'!$B299,'Data 2'!$A$1:$F$46,MATCH('Data 1'!G$1,'Data 2'!$A$1:$F$1,0),0)</f>
        <v>Product28</v>
      </c>
      <c r="H299" s="42" t="str">
        <f>VLOOKUP('Data 1'!$B299,'Data 2'!$A$1:$F$46,MATCH('Data 1'!H$1,'Data 2'!$A$1:$F$1,0),0)</f>
        <v>Category04</v>
      </c>
      <c r="I299" s="42" t="str">
        <f>VLOOKUP('Data 1'!$B299,'Data 2'!$A$1:$F$46,MATCH('Data 1'!I$1,'Data 2'!$A$1:$F$1,0),0)</f>
        <v>No.</v>
      </c>
      <c r="J299" s="42">
        <f>VLOOKUP('Data 1'!$B299,'Data 2'!$A$1:$F$46,MATCH('Data 1'!J$1,'Data 2'!$A$1:$F$1,0),0)</f>
        <v>37</v>
      </c>
      <c r="K299" s="42">
        <f>VLOOKUP('Data 1'!$B299,'Data 2'!$A$1:$F$46,MATCH('Data 1'!K$1,'Data 2'!$A$1:$F$1,0),0)</f>
        <v>41.81</v>
      </c>
      <c r="L299" s="40">
        <f>SUM('Data 1'!$J299*'Data 1'!$C299)</f>
        <v>111</v>
      </c>
      <c r="M299" s="40">
        <f>'Data 1'!$C299*'Data 1'!$K299</f>
        <v>125.43</v>
      </c>
      <c r="N299" s="40">
        <f>'Data 1'!$M299-'Data 1'!$L299</f>
        <v>14.430000000000007</v>
      </c>
      <c r="O299" s="37">
        <f>DAY('Data 1'!$A299)</f>
        <v>14</v>
      </c>
      <c r="P299" s="37" t="str">
        <f>TEXT('Data 1'!$A299,"mmm")</f>
        <v>Feb</v>
      </c>
      <c r="Q299" s="41">
        <f>YEAR('Data 1'!$A299)</f>
        <v>2022</v>
      </c>
    </row>
    <row r="300" spans="1:17" x14ac:dyDescent="0.3">
      <c r="A300" s="35">
        <v>44608</v>
      </c>
      <c r="B300" s="36" t="s">
        <v>37</v>
      </c>
      <c r="C300" s="37">
        <v>1</v>
      </c>
      <c r="D300" s="37" t="s">
        <v>17</v>
      </c>
      <c r="E300" s="37" t="s">
        <v>19</v>
      </c>
      <c r="F300" s="38">
        <v>0</v>
      </c>
      <c r="G300" s="39" t="str">
        <f>VLOOKUP('Data 1'!$B300,'Data 2'!$A$1:$F$46,MATCH('Data 1'!G$1,'Data 2'!$A$1:$F$1,0),0)</f>
        <v>Product32</v>
      </c>
      <c r="H300" s="39" t="str">
        <f>VLOOKUP('Data 1'!$B300,'Data 2'!$A$1:$F$46,MATCH('Data 1'!H$1,'Data 2'!$A$1:$F$1,0),0)</f>
        <v>Category04</v>
      </c>
      <c r="I300" s="39" t="str">
        <f>VLOOKUP('Data 1'!$B300,'Data 2'!$A$1:$F$46,MATCH('Data 1'!I$1,'Data 2'!$A$1:$F$1,0),0)</f>
        <v>Kg</v>
      </c>
      <c r="J300" s="39">
        <f>VLOOKUP('Data 1'!$B300,'Data 2'!$A$1:$F$46,MATCH('Data 1'!J$1,'Data 2'!$A$1:$F$1,0),0)</f>
        <v>89</v>
      </c>
      <c r="K300" s="39">
        <f>VLOOKUP('Data 1'!$B300,'Data 2'!$A$1:$F$46,MATCH('Data 1'!K$1,'Data 2'!$A$1:$F$1,0),0)</f>
        <v>117.48</v>
      </c>
      <c r="L300" s="40">
        <f>SUM('Data 1'!$J300*'Data 1'!$C300)</f>
        <v>89</v>
      </c>
      <c r="M300" s="40">
        <f>'Data 1'!$C300*'Data 1'!$K300</f>
        <v>117.48</v>
      </c>
      <c r="N300" s="40">
        <f>'Data 1'!$M300-'Data 1'!$L300</f>
        <v>28.480000000000004</v>
      </c>
      <c r="O300" s="37">
        <f>DAY('Data 1'!$A300)</f>
        <v>16</v>
      </c>
      <c r="P300" s="37" t="str">
        <f>TEXT('Data 1'!$A300,"mmm")</f>
        <v>Feb</v>
      </c>
      <c r="Q300" s="41">
        <f>YEAR('Data 1'!$A300)</f>
        <v>2022</v>
      </c>
    </row>
    <row r="301" spans="1:17" x14ac:dyDescent="0.3">
      <c r="A301" s="35">
        <v>44611</v>
      </c>
      <c r="B301" s="36" t="s">
        <v>48</v>
      </c>
      <c r="C301" s="37">
        <v>13</v>
      </c>
      <c r="D301" s="37" t="s">
        <v>17</v>
      </c>
      <c r="E301" s="37" t="s">
        <v>19</v>
      </c>
      <c r="F301" s="38">
        <v>0</v>
      </c>
      <c r="G301" s="42" t="str">
        <f>VLOOKUP('Data 1'!$B301,'Data 2'!$A$1:$F$46,MATCH('Data 1'!G$1,'Data 2'!$A$1:$F$1,0),0)</f>
        <v>Product02</v>
      </c>
      <c r="H301" s="42" t="str">
        <f>VLOOKUP('Data 1'!$B301,'Data 2'!$A$1:$F$46,MATCH('Data 1'!H$1,'Data 2'!$A$1:$F$1,0),0)</f>
        <v>Category01</v>
      </c>
      <c r="I301" s="42" t="str">
        <f>VLOOKUP('Data 1'!$B301,'Data 2'!$A$1:$F$46,MATCH('Data 1'!I$1,'Data 2'!$A$1:$F$1,0),0)</f>
        <v>Kg</v>
      </c>
      <c r="J301" s="42">
        <f>VLOOKUP('Data 1'!$B301,'Data 2'!$A$1:$F$46,MATCH('Data 1'!J$1,'Data 2'!$A$1:$F$1,0),0)</f>
        <v>105</v>
      </c>
      <c r="K301" s="42">
        <f>VLOOKUP('Data 1'!$B301,'Data 2'!$A$1:$F$46,MATCH('Data 1'!K$1,'Data 2'!$A$1:$F$1,0),0)</f>
        <v>142.80000000000001</v>
      </c>
      <c r="L301" s="40">
        <f>SUM('Data 1'!$J301*'Data 1'!$C301)</f>
        <v>1365</v>
      </c>
      <c r="M301" s="40">
        <f>'Data 1'!$C301*'Data 1'!$K301</f>
        <v>1856.4</v>
      </c>
      <c r="N301" s="40">
        <f>'Data 1'!$M301-'Data 1'!$L301</f>
        <v>491.40000000000009</v>
      </c>
      <c r="O301" s="37">
        <f>DAY('Data 1'!$A301)</f>
        <v>19</v>
      </c>
      <c r="P301" s="37" t="str">
        <f>TEXT('Data 1'!$A301,"mmm")</f>
        <v>Feb</v>
      </c>
      <c r="Q301" s="41">
        <f>YEAR('Data 1'!$A301)</f>
        <v>2022</v>
      </c>
    </row>
    <row r="302" spans="1:17" x14ac:dyDescent="0.3">
      <c r="A302" s="35">
        <v>44612</v>
      </c>
      <c r="B302" s="36" t="s">
        <v>54</v>
      </c>
      <c r="C302" s="37">
        <v>6</v>
      </c>
      <c r="D302" s="37" t="s">
        <v>21</v>
      </c>
      <c r="E302" s="37" t="s">
        <v>19</v>
      </c>
      <c r="F302" s="38">
        <v>0</v>
      </c>
      <c r="G302" s="39" t="str">
        <f>VLOOKUP('Data 1'!$B302,'Data 2'!$A$1:$F$46,MATCH('Data 1'!G$1,'Data 2'!$A$1:$F$1,0),0)</f>
        <v>Product12</v>
      </c>
      <c r="H302" s="39" t="str">
        <f>VLOOKUP('Data 1'!$B302,'Data 2'!$A$1:$F$46,MATCH('Data 1'!H$1,'Data 2'!$A$1:$F$1,0),0)</f>
        <v>Category02</v>
      </c>
      <c r="I302" s="39" t="str">
        <f>VLOOKUP('Data 1'!$B302,'Data 2'!$A$1:$F$46,MATCH('Data 1'!I$1,'Data 2'!$A$1:$F$1,0),0)</f>
        <v>Kg</v>
      </c>
      <c r="J302" s="39">
        <f>VLOOKUP('Data 1'!$B302,'Data 2'!$A$1:$F$46,MATCH('Data 1'!J$1,'Data 2'!$A$1:$F$1,0),0)</f>
        <v>73</v>
      </c>
      <c r="K302" s="39">
        <f>VLOOKUP('Data 1'!$B302,'Data 2'!$A$1:$F$46,MATCH('Data 1'!K$1,'Data 2'!$A$1:$F$1,0),0)</f>
        <v>94.17</v>
      </c>
      <c r="L302" s="40">
        <f>SUM('Data 1'!$J302*'Data 1'!$C302)</f>
        <v>438</v>
      </c>
      <c r="M302" s="40">
        <f>'Data 1'!$C302*'Data 1'!$K302</f>
        <v>565.02</v>
      </c>
      <c r="N302" s="40">
        <f>'Data 1'!$M302-'Data 1'!$L302</f>
        <v>127.01999999999998</v>
      </c>
      <c r="O302" s="37">
        <f>DAY('Data 1'!$A302)</f>
        <v>20</v>
      </c>
      <c r="P302" s="37" t="str">
        <f>TEXT('Data 1'!$A302,"mmm")</f>
        <v>Feb</v>
      </c>
      <c r="Q302" s="41">
        <f>YEAR('Data 1'!$A302)</f>
        <v>2022</v>
      </c>
    </row>
    <row r="303" spans="1:17" x14ac:dyDescent="0.3">
      <c r="A303" s="35">
        <v>44615</v>
      </c>
      <c r="B303" s="36" t="s">
        <v>20</v>
      </c>
      <c r="C303" s="37">
        <v>6</v>
      </c>
      <c r="D303" s="37" t="s">
        <v>17</v>
      </c>
      <c r="E303" s="37" t="s">
        <v>17</v>
      </c>
      <c r="F303" s="38">
        <v>0</v>
      </c>
      <c r="G303" s="42" t="str">
        <f>VLOOKUP('Data 1'!$B303,'Data 2'!$A$1:$F$46,MATCH('Data 1'!G$1,'Data 2'!$A$1:$F$1,0),0)</f>
        <v>Product13</v>
      </c>
      <c r="H303" s="42" t="str">
        <f>VLOOKUP('Data 1'!$B303,'Data 2'!$A$1:$F$46,MATCH('Data 1'!H$1,'Data 2'!$A$1:$F$1,0),0)</f>
        <v>Category02</v>
      </c>
      <c r="I303" s="42" t="str">
        <f>VLOOKUP('Data 1'!$B303,'Data 2'!$A$1:$F$46,MATCH('Data 1'!I$1,'Data 2'!$A$1:$F$1,0),0)</f>
        <v>Kg</v>
      </c>
      <c r="J303" s="42">
        <f>VLOOKUP('Data 1'!$B303,'Data 2'!$A$1:$F$46,MATCH('Data 1'!J$1,'Data 2'!$A$1:$F$1,0),0)</f>
        <v>112</v>
      </c>
      <c r="K303" s="42">
        <f>VLOOKUP('Data 1'!$B303,'Data 2'!$A$1:$F$46,MATCH('Data 1'!K$1,'Data 2'!$A$1:$F$1,0),0)</f>
        <v>122.08</v>
      </c>
      <c r="L303" s="40">
        <f>SUM('Data 1'!$J303*'Data 1'!$C303)</f>
        <v>672</v>
      </c>
      <c r="M303" s="40">
        <f>'Data 1'!$C303*'Data 1'!$K303</f>
        <v>732.48</v>
      </c>
      <c r="N303" s="40">
        <f>'Data 1'!$M303-'Data 1'!$L303</f>
        <v>60.480000000000018</v>
      </c>
      <c r="O303" s="37">
        <f>DAY('Data 1'!$A303)</f>
        <v>23</v>
      </c>
      <c r="P303" s="37" t="str">
        <f>TEXT('Data 1'!$A303,"mmm")</f>
        <v>Feb</v>
      </c>
      <c r="Q303" s="41">
        <f>YEAR('Data 1'!$A303)</f>
        <v>2022</v>
      </c>
    </row>
    <row r="304" spans="1:17" x14ac:dyDescent="0.3">
      <c r="A304" s="35">
        <v>44615</v>
      </c>
      <c r="B304" s="36" t="s">
        <v>40</v>
      </c>
      <c r="C304" s="37">
        <v>15</v>
      </c>
      <c r="D304" s="37" t="s">
        <v>17</v>
      </c>
      <c r="E304" s="37" t="s">
        <v>19</v>
      </c>
      <c r="F304" s="38">
        <v>0</v>
      </c>
      <c r="G304" s="39" t="str">
        <f>VLOOKUP('Data 1'!$B304,'Data 2'!$A$1:$F$46,MATCH('Data 1'!G$1,'Data 2'!$A$1:$F$1,0),0)</f>
        <v>Product16</v>
      </c>
      <c r="H304" s="39" t="str">
        <f>VLOOKUP('Data 1'!$B304,'Data 2'!$A$1:$F$46,MATCH('Data 1'!H$1,'Data 2'!$A$1:$F$1,0),0)</f>
        <v>Category02</v>
      </c>
      <c r="I304" s="39" t="str">
        <f>VLOOKUP('Data 1'!$B304,'Data 2'!$A$1:$F$46,MATCH('Data 1'!I$1,'Data 2'!$A$1:$F$1,0),0)</f>
        <v>No.</v>
      </c>
      <c r="J304" s="39">
        <f>VLOOKUP('Data 1'!$B304,'Data 2'!$A$1:$F$46,MATCH('Data 1'!J$1,'Data 2'!$A$1:$F$1,0),0)</f>
        <v>13</v>
      </c>
      <c r="K304" s="39">
        <f>VLOOKUP('Data 1'!$B304,'Data 2'!$A$1:$F$46,MATCH('Data 1'!K$1,'Data 2'!$A$1:$F$1,0),0)</f>
        <v>16.64</v>
      </c>
      <c r="L304" s="40">
        <f>SUM('Data 1'!$J304*'Data 1'!$C304)</f>
        <v>195</v>
      </c>
      <c r="M304" s="40">
        <f>'Data 1'!$C304*'Data 1'!$K304</f>
        <v>249.60000000000002</v>
      </c>
      <c r="N304" s="40">
        <f>'Data 1'!$M304-'Data 1'!$L304</f>
        <v>54.600000000000023</v>
      </c>
      <c r="O304" s="37">
        <f>DAY('Data 1'!$A304)</f>
        <v>23</v>
      </c>
      <c r="P304" s="37" t="str">
        <f>TEXT('Data 1'!$A304,"mmm")</f>
        <v>Feb</v>
      </c>
      <c r="Q304" s="41">
        <f>YEAR('Data 1'!$A304)</f>
        <v>2022</v>
      </c>
    </row>
    <row r="305" spans="1:17" x14ac:dyDescent="0.3">
      <c r="A305" s="35">
        <v>44615</v>
      </c>
      <c r="B305" s="36" t="s">
        <v>62</v>
      </c>
      <c r="C305" s="37">
        <v>8</v>
      </c>
      <c r="D305" s="37" t="s">
        <v>21</v>
      </c>
      <c r="E305" s="37" t="s">
        <v>17</v>
      </c>
      <c r="F305" s="38">
        <v>0</v>
      </c>
      <c r="G305" s="42" t="str">
        <f>VLOOKUP('Data 1'!$B305,'Data 2'!$A$1:$F$46,MATCH('Data 1'!G$1,'Data 2'!$A$1:$F$1,0),0)</f>
        <v>Product36</v>
      </c>
      <c r="H305" s="42" t="str">
        <f>VLOOKUP('Data 1'!$B305,'Data 2'!$A$1:$F$46,MATCH('Data 1'!H$1,'Data 2'!$A$1:$F$1,0),0)</f>
        <v>Category04</v>
      </c>
      <c r="I305" s="42" t="str">
        <f>VLOOKUP('Data 1'!$B305,'Data 2'!$A$1:$F$46,MATCH('Data 1'!I$1,'Data 2'!$A$1:$F$1,0),0)</f>
        <v>Kg</v>
      </c>
      <c r="J305" s="42">
        <f>VLOOKUP('Data 1'!$B305,'Data 2'!$A$1:$F$46,MATCH('Data 1'!J$1,'Data 2'!$A$1:$F$1,0),0)</f>
        <v>90</v>
      </c>
      <c r="K305" s="42">
        <f>VLOOKUP('Data 1'!$B305,'Data 2'!$A$1:$F$46,MATCH('Data 1'!K$1,'Data 2'!$A$1:$F$1,0),0)</f>
        <v>96.3</v>
      </c>
      <c r="L305" s="40">
        <f>SUM('Data 1'!$J305*'Data 1'!$C305)</f>
        <v>720</v>
      </c>
      <c r="M305" s="40">
        <f>'Data 1'!$C305*'Data 1'!$K305</f>
        <v>770.4</v>
      </c>
      <c r="N305" s="40">
        <f>'Data 1'!$M305-'Data 1'!$L305</f>
        <v>50.399999999999977</v>
      </c>
      <c r="O305" s="37">
        <f>DAY('Data 1'!$A305)</f>
        <v>23</v>
      </c>
      <c r="P305" s="37" t="str">
        <f>TEXT('Data 1'!$A305,"mmm")</f>
        <v>Feb</v>
      </c>
      <c r="Q305" s="41">
        <f>YEAR('Data 1'!$A305)</f>
        <v>2022</v>
      </c>
    </row>
    <row r="306" spans="1:17" x14ac:dyDescent="0.3">
      <c r="A306" s="35">
        <v>44619</v>
      </c>
      <c r="B306" s="36" t="s">
        <v>54</v>
      </c>
      <c r="C306" s="37">
        <v>7</v>
      </c>
      <c r="D306" s="37" t="s">
        <v>21</v>
      </c>
      <c r="E306" s="37" t="s">
        <v>19</v>
      </c>
      <c r="F306" s="38">
        <v>0</v>
      </c>
      <c r="G306" s="39" t="str">
        <f>VLOOKUP('Data 1'!$B306,'Data 2'!$A$1:$F$46,MATCH('Data 1'!G$1,'Data 2'!$A$1:$F$1,0),0)</f>
        <v>Product12</v>
      </c>
      <c r="H306" s="39" t="str">
        <f>VLOOKUP('Data 1'!$B306,'Data 2'!$A$1:$F$46,MATCH('Data 1'!H$1,'Data 2'!$A$1:$F$1,0),0)</f>
        <v>Category02</v>
      </c>
      <c r="I306" s="39" t="str">
        <f>VLOOKUP('Data 1'!$B306,'Data 2'!$A$1:$F$46,MATCH('Data 1'!I$1,'Data 2'!$A$1:$F$1,0),0)</f>
        <v>Kg</v>
      </c>
      <c r="J306" s="39">
        <f>VLOOKUP('Data 1'!$B306,'Data 2'!$A$1:$F$46,MATCH('Data 1'!J$1,'Data 2'!$A$1:$F$1,0),0)</f>
        <v>73</v>
      </c>
      <c r="K306" s="39">
        <f>VLOOKUP('Data 1'!$B306,'Data 2'!$A$1:$F$46,MATCH('Data 1'!K$1,'Data 2'!$A$1:$F$1,0),0)</f>
        <v>94.17</v>
      </c>
      <c r="L306" s="40">
        <f>SUM('Data 1'!$J306*'Data 1'!$C306)</f>
        <v>511</v>
      </c>
      <c r="M306" s="40">
        <f>'Data 1'!$C306*'Data 1'!$K306</f>
        <v>659.19</v>
      </c>
      <c r="N306" s="40">
        <f>'Data 1'!$M306-'Data 1'!$L306</f>
        <v>148.19000000000005</v>
      </c>
      <c r="O306" s="37">
        <f>DAY('Data 1'!$A306)</f>
        <v>27</v>
      </c>
      <c r="P306" s="37" t="str">
        <f>TEXT('Data 1'!$A306,"mmm")</f>
        <v>Feb</v>
      </c>
      <c r="Q306" s="41">
        <f>YEAR('Data 1'!$A306)</f>
        <v>2022</v>
      </c>
    </row>
    <row r="307" spans="1:17" x14ac:dyDescent="0.3">
      <c r="A307" s="35">
        <v>44619</v>
      </c>
      <c r="B307" s="36" t="s">
        <v>43</v>
      </c>
      <c r="C307" s="37">
        <v>15</v>
      </c>
      <c r="D307" s="37" t="s">
        <v>21</v>
      </c>
      <c r="E307" s="37" t="s">
        <v>17</v>
      </c>
      <c r="F307" s="38">
        <v>0</v>
      </c>
      <c r="G307" s="42" t="str">
        <f>VLOOKUP('Data 1'!$B307,'Data 2'!$A$1:$F$46,MATCH('Data 1'!G$1,'Data 2'!$A$1:$F$1,0),0)</f>
        <v>Product05</v>
      </c>
      <c r="H307" s="42" t="str">
        <f>VLOOKUP('Data 1'!$B307,'Data 2'!$A$1:$F$46,MATCH('Data 1'!H$1,'Data 2'!$A$1:$F$1,0),0)</f>
        <v>Category01</v>
      </c>
      <c r="I307" s="42" t="str">
        <f>VLOOKUP('Data 1'!$B307,'Data 2'!$A$1:$F$46,MATCH('Data 1'!I$1,'Data 2'!$A$1:$F$1,0),0)</f>
        <v>Ft</v>
      </c>
      <c r="J307" s="42">
        <f>VLOOKUP('Data 1'!$B307,'Data 2'!$A$1:$F$46,MATCH('Data 1'!J$1,'Data 2'!$A$1:$F$1,0),0)</f>
        <v>133</v>
      </c>
      <c r="K307" s="42">
        <f>VLOOKUP('Data 1'!$B307,'Data 2'!$A$1:$F$46,MATCH('Data 1'!K$1,'Data 2'!$A$1:$F$1,0),0)</f>
        <v>155.61000000000001</v>
      </c>
      <c r="L307" s="40">
        <f>SUM('Data 1'!$J307*'Data 1'!$C307)</f>
        <v>1995</v>
      </c>
      <c r="M307" s="40">
        <f>'Data 1'!$C307*'Data 1'!$K307</f>
        <v>2334.15</v>
      </c>
      <c r="N307" s="40">
        <f>'Data 1'!$M307-'Data 1'!$L307</f>
        <v>339.15000000000009</v>
      </c>
      <c r="O307" s="37">
        <f>DAY('Data 1'!$A307)</f>
        <v>27</v>
      </c>
      <c r="P307" s="37" t="str">
        <f>TEXT('Data 1'!$A307,"mmm")</f>
        <v>Feb</v>
      </c>
      <c r="Q307" s="41">
        <f>YEAR('Data 1'!$A307)</f>
        <v>2022</v>
      </c>
    </row>
    <row r="308" spans="1:17" x14ac:dyDescent="0.3">
      <c r="A308" s="35">
        <v>44620</v>
      </c>
      <c r="B308" s="36" t="s">
        <v>27</v>
      </c>
      <c r="C308" s="37">
        <v>15</v>
      </c>
      <c r="D308" s="37" t="s">
        <v>21</v>
      </c>
      <c r="E308" s="37" t="s">
        <v>19</v>
      </c>
      <c r="F308" s="38">
        <v>0</v>
      </c>
      <c r="G308" s="39" t="str">
        <f>VLOOKUP('Data 1'!$B308,'Data 2'!$A$1:$F$46,MATCH('Data 1'!G$1,'Data 2'!$A$1:$F$1,0),0)</f>
        <v>Product37</v>
      </c>
      <c r="H308" s="39" t="str">
        <f>VLOOKUP('Data 1'!$B308,'Data 2'!$A$1:$F$46,MATCH('Data 1'!H$1,'Data 2'!$A$1:$F$1,0),0)</f>
        <v>Category05</v>
      </c>
      <c r="I308" s="39" t="str">
        <f>VLOOKUP('Data 1'!$B308,'Data 2'!$A$1:$F$46,MATCH('Data 1'!I$1,'Data 2'!$A$1:$F$1,0),0)</f>
        <v>Kg</v>
      </c>
      <c r="J308" s="39">
        <f>VLOOKUP('Data 1'!$B308,'Data 2'!$A$1:$F$46,MATCH('Data 1'!J$1,'Data 2'!$A$1:$F$1,0),0)</f>
        <v>67</v>
      </c>
      <c r="K308" s="39">
        <f>VLOOKUP('Data 1'!$B308,'Data 2'!$A$1:$F$46,MATCH('Data 1'!K$1,'Data 2'!$A$1:$F$1,0),0)</f>
        <v>85.76</v>
      </c>
      <c r="L308" s="40">
        <f>SUM('Data 1'!$J308*'Data 1'!$C308)</f>
        <v>1005</v>
      </c>
      <c r="M308" s="40">
        <f>'Data 1'!$C308*'Data 1'!$K308</f>
        <v>1286.4000000000001</v>
      </c>
      <c r="N308" s="40">
        <f>'Data 1'!$M308-'Data 1'!$L308</f>
        <v>281.40000000000009</v>
      </c>
      <c r="O308" s="37">
        <f>DAY('Data 1'!$A308)</f>
        <v>28</v>
      </c>
      <c r="P308" s="37" t="str">
        <f>TEXT('Data 1'!$A308,"mmm")</f>
        <v>Feb</v>
      </c>
      <c r="Q308" s="41">
        <f>YEAR('Data 1'!$A308)</f>
        <v>2022</v>
      </c>
    </row>
    <row r="309" spans="1:17" x14ac:dyDescent="0.3">
      <c r="A309" s="35">
        <v>44624</v>
      </c>
      <c r="B309" s="36" t="s">
        <v>61</v>
      </c>
      <c r="C309" s="37">
        <v>13</v>
      </c>
      <c r="D309" s="37" t="s">
        <v>16</v>
      </c>
      <c r="E309" s="37" t="s">
        <v>17</v>
      </c>
      <c r="F309" s="38">
        <v>0</v>
      </c>
      <c r="G309" s="42" t="str">
        <f>VLOOKUP('Data 1'!$B309,'Data 2'!$A$1:$F$46,MATCH('Data 1'!G$1,'Data 2'!$A$1:$F$1,0),0)</f>
        <v>Product26</v>
      </c>
      <c r="H309" s="42" t="str">
        <f>VLOOKUP('Data 1'!$B309,'Data 2'!$A$1:$F$46,MATCH('Data 1'!H$1,'Data 2'!$A$1:$F$1,0),0)</f>
        <v>Category04</v>
      </c>
      <c r="I309" s="42" t="str">
        <f>VLOOKUP('Data 1'!$B309,'Data 2'!$A$1:$F$46,MATCH('Data 1'!I$1,'Data 2'!$A$1:$F$1,0),0)</f>
        <v>No.</v>
      </c>
      <c r="J309" s="42">
        <f>VLOOKUP('Data 1'!$B309,'Data 2'!$A$1:$F$46,MATCH('Data 1'!J$1,'Data 2'!$A$1:$F$1,0),0)</f>
        <v>18</v>
      </c>
      <c r="K309" s="42">
        <f>VLOOKUP('Data 1'!$B309,'Data 2'!$A$1:$F$46,MATCH('Data 1'!K$1,'Data 2'!$A$1:$F$1,0),0)</f>
        <v>24.66</v>
      </c>
      <c r="L309" s="40">
        <f>SUM('Data 1'!$J309*'Data 1'!$C309)</f>
        <v>234</v>
      </c>
      <c r="M309" s="40">
        <f>'Data 1'!$C309*'Data 1'!$K309</f>
        <v>320.58</v>
      </c>
      <c r="N309" s="40">
        <f>'Data 1'!$M309-'Data 1'!$L309</f>
        <v>86.579999999999984</v>
      </c>
      <c r="O309" s="37">
        <f>DAY('Data 1'!$A309)</f>
        <v>4</v>
      </c>
      <c r="P309" s="37" t="str">
        <f>TEXT('Data 1'!$A309,"mmm")</f>
        <v>Mar</v>
      </c>
      <c r="Q309" s="41">
        <f>YEAR('Data 1'!$A309)</f>
        <v>2022</v>
      </c>
    </row>
    <row r="310" spans="1:17" x14ac:dyDescent="0.3">
      <c r="A310" s="35">
        <v>44626</v>
      </c>
      <c r="B310" s="36" t="s">
        <v>22</v>
      </c>
      <c r="C310" s="37">
        <v>2</v>
      </c>
      <c r="D310" s="37" t="s">
        <v>21</v>
      </c>
      <c r="E310" s="37" t="s">
        <v>19</v>
      </c>
      <c r="F310" s="38">
        <v>0</v>
      </c>
      <c r="G310" s="39" t="str">
        <f>VLOOKUP('Data 1'!$B310,'Data 2'!$A$1:$F$46,MATCH('Data 1'!G$1,'Data 2'!$A$1:$F$1,0),0)</f>
        <v>Product04</v>
      </c>
      <c r="H310" s="39" t="str">
        <f>VLOOKUP('Data 1'!$B310,'Data 2'!$A$1:$F$46,MATCH('Data 1'!H$1,'Data 2'!$A$1:$F$1,0),0)</f>
        <v>Category01</v>
      </c>
      <c r="I310" s="39" t="str">
        <f>VLOOKUP('Data 1'!$B310,'Data 2'!$A$1:$F$46,MATCH('Data 1'!I$1,'Data 2'!$A$1:$F$1,0),0)</f>
        <v>Lt</v>
      </c>
      <c r="J310" s="39">
        <f>VLOOKUP('Data 1'!$B310,'Data 2'!$A$1:$F$46,MATCH('Data 1'!J$1,'Data 2'!$A$1:$F$1,0),0)</f>
        <v>44</v>
      </c>
      <c r="K310" s="39">
        <f>VLOOKUP('Data 1'!$B310,'Data 2'!$A$1:$F$46,MATCH('Data 1'!K$1,'Data 2'!$A$1:$F$1,0),0)</f>
        <v>48.84</v>
      </c>
      <c r="L310" s="40">
        <f>SUM('Data 1'!$J310*'Data 1'!$C310)</f>
        <v>88</v>
      </c>
      <c r="M310" s="40">
        <f>'Data 1'!$C310*'Data 1'!$K310</f>
        <v>97.68</v>
      </c>
      <c r="N310" s="40">
        <f>'Data 1'!$M310-'Data 1'!$L310</f>
        <v>9.6800000000000068</v>
      </c>
      <c r="O310" s="37">
        <f>DAY('Data 1'!$A310)</f>
        <v>6</v>
      </c>
      <c r="P310" s="37" t="str">
        <f>TEXT('Data 1'!$A310,"mmm")</f>
        <v>Mar</v>
      </c>
      <c r="Q310" s="41">
        <f>YEAR('Data 1'!$A310)</f>
        <v>2022</v>
      </c>
    </row>
    <row r="311" spans="1:17" x14ac:dyDescent="0.3">
      <c r="A311" s="35">
        <v>44627</v>
      </c>
      <c r="B311" s="36" t="s">
        <v>25</v>
      </c>
      <c r="C311" s="37">
        <v>1</v>
      </c>
      <c r="D311" s="37" t="s">
        <v>21</v>
      </c>
      <c r="E311" s="37" t="s">
        <v>19</v>
      </c>
      <c r="F311" s="38">
        <v>0</v>
      </c>
      <c r="G311" s="42" t="str">
        <f>VLOOKUP('Data 1'!$B311,'Data 2'!$A$1:$F$46,MATCH('Data 1'!G$1,'Data 2'!$A$1:$F$1,0),0)</f>
        <v>Product03</v>
      </c>
      <c r="H311" s="42" t="str">
        <f>VLOOKUP('Data 1'!$B311,'Data 2'!$A$1:$F$46,MATCH('Data 1'!H$1,'Data 2'!$A$1:$F$1,0),0)</f>
        <v>Category01</v>
      </c>
      <c r="I311" s="42" t="str">
        <f>VLOOKUP('Data 1'!$B311,'Data 2'!$A$1:$F$46,MATCH('Data 1'!I$1,'Data 2'!$A$1:$F$1,0),0)</f>
        <v>Kg</v>
      </c>
      <c r="J311" s="42">
        <f>VLOOKUP('Data 1'!$B311,'Data 2'!$A$1:$F$46,MATCH('Data 1'!J$1,'Data 2'!$A$1:$F$1,0),0)</f>
        <v>71</v>
      </c>
      <c r="K311" s="42">
        <f>VLOOKUP('Data 1'!$B311,'Data 2'!$A$1:$F$46,MATCH('Data 1'!K$1,'Data 2'!$A$1:$F$1,0),0)</f>
        <v>80.94</v>
      </c>
      <c r="L311" s="40">
        <f>SUM('Data 1'!$J311*'Data 1'!$C311)</f>
        <v>71</v>
      </c>
      <c r="M311" s="40">
        <f>'Data 1'!$C311*'Data 1'!$K311</f>
        <v>80.94</v>
      </c>
      <c r="N311" s="40">
        <f>'Data 1'!$M311-'Data 1'!$L311</f>
        <v>9.9399999999999977</v>
      </c>
      <c r="O311" s="37">
        <f>DAY('Data 1'!$A311)</f>
        <v>7</v>
      </c>
      <c r="P311" s="37" t="str">
        <f>TEXT('Data 1'!$A311,"mmm")</f>
        <v>Mar</v>
      </c>
      <c r="Q311" s="41">
        <f>YEAR('Data 1'!$A311)</f>
        <v>2022</v>
      </c>
    </row>
    <row r="312" spans="1:17" x14ac:dyDescent="0.3">
      <c r="A312" s="35">
        <v>44628</v>
      </c>
      <c r="B312" s="36" t="s">
        <v>30</v>
      </c>
      <c r="C312" s="37">
        <v>6</v>
      </c>
      <c r="D312" s="37" t="s">
        <v>21</v>
      </c>
      <c r="E312" s="37" t="s">
        <v>17</v>
      </c>
      <c r="F312" s="38">
        <v>0</v>
      </c>
      <c r="G312" s="39" t="str">
        <f>VLOOKUP('Data 1'!$B312,'Data 2'!$A$1:$F$46,MATCH('Data 1'!G$1,'Data 2'!$A$1:$F$1,0),0)</f>
        <v>Product44</v>
      </c>
      <c r="H312" s="39" t="str">
        <f>VLOOKUP('Data 1'!$B312,'Data 2'!$A$1:$F$46,MATCH('Data 1'!H$1,'Data 2'!$A$1:$F$1,0),0)</f>
        <v>Category05</v>
      </c>
      <c r="I312" s="39" t="str">
        <f>VLOOKUP('Data 1'!$B312,'Data 2'!$A$1:$F$46,MATCH('Data 1'!I$1,'Data 2'!$A$1:$F$1,0),0)</f>
        <v>Kg</v>
      </c>
      <c r="J312" s="39">
        <f>VLOOKUP('Data 1'!$B312,'Data 2'!$A$1:$F$46,MATCH('Data 1'!J$1,'Data 2'!$A$1:$F$1,0),0)</f>
        <v>76</v>
      </c>
      <c r="K312" s="39">
        <f>VLOOKUP('Data 1'!$B312,'Data 2'!$A$1:$F$46,MATCH('Data 1'!K$1,'Data 2'!$A$1:$F$1,0),0)</f>
        <v>82.08</v>
      </c>
      <c r="L312" s="40">
        <f>SUM('Data 1'!$J312*'Data 1'!$C312)</f>
        <v>456</v>
      </c>
      <c r="M312" s="40">
        <f>'Data 1'!$C312*'Data 1'!$K312</f>
        <v>492.48</v>
      </c>
      <c r="N312" s="40">
        <f>'Data 1'!$M312-'Data 1'!$L312</f>
        <v>36.480000000000018</v>
      </c>
      <c r="O312" s="37">
        <f>DAY('Data 1'!$A312)</f>
        <v>8</v>
      </c>
      <c r="P312" s="37" t="str">
        <f>TEXT('Data 1'!$A312,"mmm")</f>
        <v>Mar</v>
      </c>
      <c r="Q312" s="41">
        <f>YEAR('Data 1'!$A312)</f>
        <v>2022</v>
      </c>
    </row>
    <row r="313" spans="1:17" x14ac:dyDescent="0.3">
      <c r="A313" s="35">
        <v>44629</v>
      </c>
      <c r="B313" s="36" t="s">
        <v>47</v>
      </c>
      <c r="C313" s="37">
        <v>3</v>
      </c>
      <c r="D313" s="37" t="s">
        <v>21</v>
      </c>
      <c r="E313" s="37" t="s">
        <v>17</v>
      </c>
      <c r="F313" s="38">
        <v>0</v>
      </c>
      <c r="G313" s="42" t="str">
        <f>VLOOKUP('Data 1'!$B313,'Data 2'!$A$1:$F$46,MATCH('Data 1'!G$1,'Data 2'!$A$1:$F$1,0),0)</f>
        <v>Product30</v>
      </c>
      <c r="H313" s="42" t="str">
        <f>VLOOKUP('Data 1'!$B313,'Data 2'!$A$1:$F$46,MATCH('Data 1'!H$1,'Data 2'!$A$1:$F$1,0),0)</f>
        <v>Category04</v>
      </c>
      <c r="I313" s="42" t="str">
        <f>VLOOKUP('Data 1'!$B313,'Data 2'!$A$1:$F$46,MATCH('Data 1'!I$1,'Data 2'!$A$1:$F$1,0),0)</f>
        <v>Ft</v>
      </c>
      <c r="J313" s="42">
        <f>VLOOKUP('Data 1'!$B313,'Data 2'!$A$1:$F$46,MATCH('Data 1'!J$1,'Data 2'!$A$1:$F$1,0),0)</f>
        <v>148</v>
      </c>
      <c r="K313" s="42">
        <f>VLOOKUP('Data 1'!$B313,'Data 2'!$A$1:$F$46,MATCH('Data 1'!K$1,'Data 2'!$A$1:$F$1,0),0)</f>
        <v>201.28</v>
      </c>
      <c r="L313" s="40">
        <f>SUM('Data 1'!$J313*'Data 1'!$C313)</f>
        <v>444</v>
      </c>
      <c r="M313" s="40">
        <f>'Data 1'!$C313*'Data 1'!$K313</f>
        <v>603.84</v>
      </c>
      <c r="N313" s="40">
        <f>'Data 1'!$M313-'Data 1'!$L313</f>
        <v>159.84000000000003</v>
      </c>
      <c r="O313" s="37">
        <f>DAY('Data 1'!$A313)</f>
        <v>9</v>
      </c>
      <c r="P313" s="37" t="str">
        <f>TEXT('Data 1'!$A313,"mmm")</f>
        <v>Mar</v>
      </c>
      <c r="Q313" s="41">
        <f>YEAR('Data 1'!$A313)</f>
        <v>2022</v>
      </c>
    </row>
    <row r="314" spans="1:17" x14ac:dyDescent="0.3">
      <c r="A314" s="35">
        <v>44629</v>
      </c>
      <c r="B314" s="36" t="s">
        <v>22</v>
      </c>
      <c r="C314" s="37">
        <v>11</v>
      </c>
      <c r="D314" s="37" t="s">
        <v>17</v>
      </c>
      <c r="E314" s="37" t="s">
        <v>19</v>
      </c>
      <c r="F314" s="38">
        <v>0</v>
      </c>
      <c r="G314" s="39" t="str">
        <f>VLOOKUP('Data 1'!$B314,'Data 2'!$A$1:$F$46,MATCH('Data 1'!G$1,'Data 2'!$A$1:$F$1,0),0)</f>
        <v>Product04</v>
      </c>
      <c r="H314" s="39" t="str">
        <f>VLOOKUP('Data 1'!$B314,'Data 2'!$A$1:$F$46,MATCH('Data 1'!H$1,'Data 2'!$A$1:$F$1,0),0)</f>
        <v>Category01</v>
      </c>
      <c r="I314" s="39" t="str">
        <f>VLOOKUP('Data 1'!$B314,'Data 2'!$A$1:$F$46,MATCH('Data 1'!I$1,'Data 2'!$A$1:$F$1,0),0)</f>
        <v>Lt</v>
      </c>
      <c r="J314" s="39">
        <f>VLOOKUP('Data 1'!$B314,'Data 2'!$A$1:$F$46,MATCH('Data 1'!J$1,'Data 2'!$A$1:$F$1,0),0)</f>
        <v>44</v>
      </c>
      <c r="K314" s="39">
        <f>VLOOKUP('Data 1'!$B314,'Data 2'!$A$1:$F$46,MATCH('Data 1'!K$1,'Data 2'!$A$1:$F$1,0),0)</f>
        <v>48.84</v>
      </c>
      <c r="L314" s="40">
        <f>SUM('Data 1'!$J314*'Data 1'!$C314)</f>
        <v>484</v>
      </c>
      <c r="M314" s="40">
        <f>'Data 1'!$C314*'Data 1'!$K314</f>
        <v>537.24</v>
      </c>
      <c r="N314" s="40">
        <f>'Data 1'!$M314-'Data 1'!$L314</f>
        <v>53.240000000000009</v>
      </c>
      <c r="O314" s="37">
        <f>DAY('Data 1'!$A314)</f>
        <v>9</v>
      </c>
      <c r="P314" s="37" t="str">
        <f>TEXT('Data 1'!$A314,"mmm")</f>
        <v>Mar</v>
      </c>
      <c r="Q314" s="41">
        <f>YEAR('Data 1'!$A314)</f>
        <v>2022</v>
      </c>
    </row>
    <row r="315" spans="1:17" x14ac:dyDescent="0.3">
      <c r="A315" s="35">
        <v>44630</v>
      </c>
      <c r="B315" s="36" t="s">
        <v>57</v>
      </c>
      <c r="C315" s="37">
        <v>12</v>
      </c>
      <c r="D315" s="37" t="s">
        <v>16</v>
      </c>
      <c r="E315" s="37" t="s">
        <v>17</v>
      </c>
      <c r="F315" s="38">
        <v>0</v>
      </c>
      <c r="G315" s="42" t="str">
        <f>VLOOKUP('Data 1'!$B315,'Data 2'!$A$1:$F$46,MATCH('Data 1'!G$1,'Data 2'!$A$1:$F$1,0),0)</f>
        <v>Product33</v>
      </c>
      <c r="H315" s="42" t="str">
        <f>VLOOKUP('Data 1'!$B315,'Data 2'!$A$1:$F$46,MATCH('Data 1'!H$1,'Data 2'!$A$1:$F$1,0),0)</f>
        <v>Category04</v>
      </c>
      <c r="I315" s="42" t="str">
        <f>VLOOKUP('Data 1'!$B315,'Data 2'!$A$1:$F$46,MATCH('Data 1'!I$1,'Data 2'!$A$1:$F$1,0),0)</f>
        <v>Kg</v>
      </c>
      <c r="J315" s="42">
        <f>VLOOKUP('Data 1'!$B315,'Data 2'!$A$1:$F$46,MATCH('Data 1'!J$1,'Data 2'!$A$1:$F$1,0),0)</f>
        <v>95</v>
      </c>
      <c r="K315" s="42">
        <f>VLOOKUP('Data 1'!$B315,'Data 2'!$A$1:$F$46,MATCH('Data 1'!K$1,'Data 2'!$A$1:$F$1,0),0)</f>
        <v>119.7</v>
      </c>
      <c r="L315" s="40">
        <f>SUM('Data 1'!$J315*'Data 1'!$C315)</f>
        <v>1140</v>
      </c>
      <c r="M315" s="40">
        <f>'Data 1'!$C315*'Data 1'!$K315</f>
        <v>1436.4</v>
      </c>
      <c r="N315" s="40">
        <f>'Data 1'!$M315-'Data 1'!$L315</f>
        <v>296.40000000000009</v>
      </c>
      <c r="O315" s="37">
        <f>DAY('Data 1'!$A315)</f>
        <v>10</v>
      </c>
      <c r="P315" s="37" t="str">
        <f>TEXT('Data 1'!$A315,"mmm")</f>
        <v>Mar</v>
      </c>
      <c r="Q315" s="41">
        <f>YEAR('Data 1'!$A315)</f>
        <v>2022</v>
      </c>
    </row>
    <row r="316" spans="1:17" x14ac:dyDescent="0.3">
      <c r="A316" s="35">
        <v>44634</v>
      </c>
      <c r="B316" s="36" t="s">
        <v>40</v>
      </c>
      <c r="C316" s="37">
        <v>2</v>
      </c>
      <c r="D316" s="37" t="s">
        <v>21</v>
      </c>
      <c r="E316" s="37" t="s">
        <v>19</v>
      </c>
      <c r="F316" s="38">
        <v>0</v>
      </c>
      <c r="G316" s="39" t="str">
        <f>VLOOKUP('Data 1'!$B316,'Data 2'!$A$1:$F$46,MATCH('Data 1'!G$1,'Data 2'!$A$1:$F$1,0),0)</f>
        <v>Product16</v>
      </c>
      <c r="H316" s="39" t="str">
        <f>VLOOKUP('Data 1'!$B316,'Data 2'!$A$1:$F$46,MATCH('Data 1'!H$1,'Data 2'!$A$1:$F$1,0),0)</f>
        <v>Category02</v>
      </c>
      <c r="I316" s="39" t="str">
        <f>VLOOKUP('Data 1'!$B316,'Data 2'!$A$1:$F$46,MATCH('Data 1'!I$1,'Data 2'!$A$1:$F$1,0),0)</f>
        <v>No.</v>
      </c>
      <c r="J316" s="39">
        <f>VLOOKUP('Data 1'!$B316,'Data 2'!$A$1:$F$46,MATCH('Data 1'!J$1,'Data 2'!$A$1:$F$1,0),0)</f>
        <v>13</v>
      </c>
      <c r="K316" s="39">
        <f>VLOOKUP('Data 1'!$B316,'Data 2'!$A$1:$F$46,MATCH('Data 1'!K$1,'Data 2'!$A$1:$F$1,0),0)</f>
        <v>16.64</v>
      </c>
      <c r="L316" s="40">
        <f>SUM('Data 1'!$J316*'Data 1'!$C316)</f>
        <v>26</v>
      </c>
      <c r="M316" s="40">
        <f>'Data 1'!$C316*'Data 1'!$K316</f>
        <v>33.28</v>
      </c>
      <c r="N316" s="40">
        <f>'Data 1'!$M316-'Data 1'!$L316</f>
        <v>7.2800000000000011</v>
      </c>
      <c r="O316" s="37">
        <f>DAY('Data 1'!$A316)</f>
        <v>14</v>
      </c>
      <c r="P316" s="37" t="str">
        <f>TEXT('Data 1'!$A316,"mmm")</f>
        <v>Mar</v>
      </c>
      <c r="Q316" s="41">
        <f>YEAR('Data 1'!$A316)</f>
        <v>2022</v>
      </c>
    </row>
    <row r="317" spans="1:17" x14ac:dyDescent="0.3">
      <c r="A317" s="35">
        <v>44634</v>
      </c>
      <c r="B317" s="36" t="s">
        <v>61</v>
      </c>
      <c r="C317" s="37">
        <v>13</v>
      </c>
      <c r="D317" s="37" t="s">
        <v>21</v>
      </c>
      <c r="E317" s="37" t="s">
        <v>17</v>
      </c>
      <c r="F317" s="38">
        <v>0</v>
      </c>
      <c r="G317" s="42" t="str">
        <f>VLOOKUP('Data 1'!$B317,'Data 2'!$A$1:$F$46,MATCH('Data 1'!G$1,'Data 2'!$A$1:$F$1,0),0)</f>
        <v>Product26</v>
      </c>
      <c r="H317" s="42" t="str">
        <f>VLOOKUP('Data 1'!$B317,'Data 2'!$A$1:$F$46,MATCH('Data 1'!H$1,'Data 2'!$A$1:$F$1,0),0)</f>
        <v>Category04</v>
      </c>
      <c r="I317" s="42" t="str">
        <f>VLOOKUP('Data 1'!$B317,'Data 2'!$A$1:$F$46,MATCH('Data 1'!I$1,'Data 2'!$A$1:$F$1,0),0)</f>
        <v>No.</v>
      </c>
      <c r="J317" s="42">
        <f>VLOOKUP('Data 1'!$B317,'Data 2'!$A$1:$F$46,MATCH('Data 1'!J$1,'Data 2'!$A$1:$F$1,0),0)</f>
        <v>18</v>
      </c>
      <c r="K317" s="42">
        <f>VLOOKUP('Data 1'!$B317,'Data 2'!$A$1:$F$46,MATCH('Data 1'!K$1,'Data 2'!$A$1:$F$1,0),0)</f>
        <v>24.66</v>
      </c>
      <c r="L317" s="40">
        <f>SUM('Data 1'!$J317*'Data 1'!$C317)</f>
        <v>234</v>
      </c>
      <c r="M317" s="40">
        <f>'Data 1'!$C317*'Data 1'!$K317</f>
        <v>320.58</v>
      </c>
      <c r="N317" s="40">
        <f>'Data 1'!$M317-'Data 1'!$L317</f>
        <v>86.579999999999984</v>
      </c>
      <c r="O317" s="37">
        <f>DAY('Data 1'!$A317)</f>
        <v>14</v>
      </c>
      <c r="P317" s="37" t="str">
        <f>TEXT('Data 1'!$A317,"mmm")</f>
        <v>Mar</v>
      </c>
      <c r="Q317" s="41">
        <f>YEAR('Data 1'!$A317)</f>
        <v>2022</v>
      </c>
    </row>
    <row r="318" spans="1:17" x14ac:dyDescent="0.3">
      <c r="A318" s="35">
        <v>44638</v>
      </c>
      <c r="B318" s="36" t="s">
        <v>59</v>
      </c>
      <c r="C318" s="37">
        <v>2</v>
      </c>
      <c r="D318" s="37" t="s">
        <v>17</v>
      </c>
      <c r="E318" s="37" t="s">
        <v>19</v>
      </c>
      <c r="F318" s="38">
        <v>0</v>
      </c>
      <c r="G318" s="39" t="str">
        <f>VLOOKUP('Data 1'!$B318,'Data 2'!$A$1:$F$46,MATCH('Data 1'!G$1,'Data 2'!$A$1:$F$1,0),0)</f>
        <v>Product19</v>
      </c>
      <c r="H318" s="39" t="str">
        <f>VLOOKUP('Data 1'!$B318,'Data 2'!$A$1:$F$46,MATCH('Data 1'!H$1,'Data 2'!$A$1:$F$1,0),0)</f>
        <v>Category02</v>
      </c>
      <c r="I318" s="39" t="str">
        <f>VLOOKUP('Data 1'!$B318,'Data 2'!$A$1:$F$46,MATCH('Data 1'!I$1,'Data 2'!$A$1:$F$1,0),0)</f>
        <v>Ft</v>
      </c>
      <c r="J318" s="39">
        <f>VLOOKUP('Data 1'!$B318,'Data 2'!$A$1:$F$46,MATCH('Data 1'!J$1,'Data 2'!$A$1:$F$1,0),0)</f>
        <v>150</v>
      </c>
      <c r="K318" s="39">
        <f>VLOOKUP('Data 1'!$B318,'Data 2'!$A$1:$F$46,MATCH('Data 1'!K$1,'Data 2'!$A$1:$F$1,0),0)</f>
        <v>210</v>
      </c>
      <c r="L318" s="40">
        <f>SUM('Data 1'!$J318*'Data 1'!$C318)</f>
        <v>300</v>
      </c>
      <c r="M318" s="40">
        <f>'Data 1'!$C318*'Data 1'!$K318</f>
        <v>420</v>
      </c>
      <c r="N318" s="40">
        <f>'Data 1'!$M318-'Data 1'!$L318</f>
        <v>120</v>
      </c>
      <c r="O318" s="37">
        <f>DAY('Data 1'!$A318)</f>
        <v>18</v>
      </c>
      <c r="P318" s="37" t="str">
        <f>TEXT('Data 1'!$A318,"mmm")</f>
        <v>Mar</v>
      </c>
      <c r="Q318" s="41">
        <f>YEAR('Data 1'!$A318)</f>
        <v>2022</v>
      </c>
    </row>
    <row r="319" spans="1:17" x14ac:dyDescent="0.3">
      <c r="A319" s="35">
        <v>44638</v>
      </c>
      <c r="B319" s="36" t="s">
        <v>45</v>
      </c>
      <c r="C319" s="37">
        <v>10</v>
      </c>
      <c r="D319" s="37" t="s">
        <v>21</v>
      </c>
      <c r="E319" s="37" t="s">
        <v>19</v>
      </c>
      <c r="F319" s="38">
        <v>0</v>
      </c>
      <c r="G319" s="42" t="str">
        <f>VLOOKUP('Data 1'!$B319,'Data 2'!$A$1:$F$46,MATCH('Data 1'!G$1,'Data 2'!$A$1:$F$1,0),0)</f>
        <v>Product27</v>
      </c>
      <c r="H319" s="42" t="str">
        <f>VLOOKUP('Data 1'!$B319,'Data 2'!$A$1:$F$46,MATCH('Data 1'!H$1,'Data 2'!$A$1:$F$1,0),0)</f>
        <v>Category04</v>
      </c>
      <c r="I319" s="42" t="str">
        <f>VLOOKUP('Data 1'!$B319,'Data 2'!$A$1:$F$46,MATCH('Data 1'!I$1,'Data 2'!$A$1:$F$1,0),0)</f>
        <v>Lt</v>
      </c>
      <c r="J319" s="42">
        <f>VLOOKUP('Data 1'!$B319,'Data 2'!$A$1:$F$46,MATCH('Data 1'!J$1,'Data 2'!$A$1:$F$1,0),0)</f>
        <v>48</v>
      </c>
      <c r="K319" s="42">
        <f>VLOOKUP('Data 1'!$B319,'Data 2'!$A$1:$F$46,MATCH('Data 1'!K$1,'Data 2'!$A$1:$F$1,0),0)</f>
        <v>57.120000000000005</v>
      </c>
      <c r="L319" s="40">
        <f>SUM('Data 1'!$J319*'Data 1'!$C319)</f>
        <v>480</v>
      </c>
      <c r="M319" s="40">
        <f>'Data 1'!$C319*'Data 1'!$K319</f>
        <v>571.20000000000005</v>
      </c>
      <c r="N319" s="40">
        <f>'Data 1'!$M319-'Data 1'!$L319</f>
        <v>91.200000000000045</v>
      </c>
      <c r="O319" s="37">
        <f>DAY('Data 1'!$A319)</f>
        <v>18</v>
      </c>
      <c r="P319" s="37" t="str">
        <f>TEXT('Data 1'!$A319,"mmm")</f>
        <v>Mar</v>
      </c>
      <c r="Q319" s="41">
        <f>YEAR('Data 1'!$A319)</f>
        <v>2022</v>
      </c>
    </row>
    <row r="320" spans="1:17" x14ac:dyDescent="0.3">
      <c r="A320" s="35">
        <v>44639</v>
      </c>
      <c r="B320" s="36" t="s">
        <v>60</v>
      </c>
      <c r="C320" s="37">
        <v>6</v>
      </c>
      <c r="D320" s="37" t="s">
        <v>16</v>
      </c>
      <c r="E320" s="37" t="s">
        <v>19</v>
      </c>
      <c r="F320" s="38">
        <v>0</v>
      </c>
      <c r="G320" s="39" t="str">
        <f>VLOOKUP('Data 1'!$B320,'Data 2'!$A$1:$F$46,MATCH('Data 1'!G$1,'Data 2'!$A$1:$F$1,0),0)</f>
        <v>Product41</v>
      </c>
      <c r="H320" s="39" t="str">
        <f>VLOOKUP('Data 1'!$B320,'Data 2'!$A$1:$F$46,MATCH('Data 1'!H$1,'Data 2'!$A$1:$F$1,0),0)</f>
        <v>Category05</v>
      </c>
      <c r="I320" s="39" t="str">
        <f>VLOOKUP('Data 1'!$B320,'Data 2'!$A$1:$F$46,MATCH('Data 1'!I$1,'Data 2'!$A$1:$F$1,0),0)</f>
        <v>Ft</v>
      </c>
      <c r="J320" s="39">
        <f>VLOOKUP('Data 1'!$B320,'Data 2'!$A$1:$F$46,MATCH('Data 1'!J$1,'Data 2'!$A$1:$F$1,0),0)</f>
        <v>138</v>
      </c>
      <c r="K320" s="39">
        <f>VLOOKUP('Data 1'!$B320,'Data 2'!$A$1:$F$46,MATCH('Data 1'!K$1,'Data 2'!$A$1:$F$1,0),0)</f>
        <v>173.88</v>
      </c>
      <c r="L320" s="40">
        <f>SUM('Data 1'!$J320*'Data 1'!$C320)</f>
        <v>828</v>
      </c>
      <c r="M320" s="40">
        <f>'Data 1'!$C320*'Data 1'!$K320</f>
        <v>1043.28</v>
      </c>
      <c r="N320" s="40">
        <f>'Data 1'!$M320-'Data 1'!$L320</f>
        <v>215.27999999999997</v>
      </c>
      <c r="O320" s="37">
        <f>DAY('Data 1'!$A320)</f>
        <v>19</v>
      </c>
      <c r="P320" s="37" t="str">
        <f>TEXT('Data 1'!$A320,"mmm")</f>
        <v>Mar</v>
      </c>
      <c r="Q320" s="41">
        <f>YEAR('Data 1'!$A320)</f>
        <v>2022</v>
      </c>
    </row>
    <row r="321" spans="1:17" x14ac:dyDescent="0.3">
      <c r="A321" s="35">
        <v>44643</v>
      </c>
      <c r="B321" s="36" t="s">
        <v>37</v>
      </c>
      <c r="C321" s="37">
        <v>9</v>
      </c>
      <c r="D321" s="37" t="s">
        <v>21</v>
      </c>
      <c r="E321" s="37" t="s">
        <v>19</v>
      </c>
      <c r="F321" s="38">
        <v>0</v>
      </c>
      <c r="G321" s="42" t="str">
        <f>VLOOKUP('Data 1'!$B321,'Data 2'!$A$1:$F$46,MATCH('Data 1'!G$1,'Data 2'!$A$1:$F$1,0),0)</f>
        <v>Product32</v>
      </c>
      <c r="H321" s="42" t="str">
        <f>VLOOKUP('Data 1'!$B321,'Data 2'!$A$1:$F$46,MATCH('Data 1'!H$1,'Data 2'!$A$1:$F$1,0),0)</f>
        <v>Category04</v>
      </c>
      <c r="I321" s="42" t="str">
        <f>VLOOKUP('Data 1'!$B321,'Data 2'!$A$1:$F$46,MATCH('Data 1'!I$1,'Data 2'!$A$1:$F$1,0),0)</f>
        <v>Kg</v>
      </c>
      <c r="J321" s="42">
        <f>VLOOKUP('Data 1'!$B321,'Data 2'!$A$1:$F$46,MATCH('Data 1'!J$1,'Data 2'!$A$1:$F$1,0),0)</f>
        <v>89</v>
      </c>
      <c r="K321" s="42">
        <f>VLOOKUP('Data 1'!$B321,'Data 2'!$A$1:$F$46,MATCH('Data 1'!K$1,'Data 2'!$A$1:$F$1,0),0)</f>
        <v>117.48</v>
      </c>
      <c r="L321" s="40">
        <f>SUM('Data 1'!$J321*'Data 1'!$C321)</f>
        <v>801</v>
      </c>
      <c r="M321" s="40">
        <f>'Data 1'!$C321*'Data 1'!$K321</f>
        <v>1057.32</v>
      </c>
      <c r="N321" s="40">
        <f>'Data 1'!$M321-'Data 1'!$L321</f>
        <v>256.31999999999994</v>
      </c>
      <c r="O321" s="37">
        <f>DAY('Data 1'!$A321)</f>
        <v>23</v>
      </c>
      <c r="P321" s="37" t="str">
        <f>TEXT('Data 1'!$A321,"mmm")</f>
        <v>Mar</v>
      </c>
      <c r="Q321" s="41">
        <f>YEAR('Data 1'!$A321)</f>
        <v>2022</v>
      </c>
    </row>
    <row r="322" spans="1:17" x14ac:dyDescent="0.3">
      <c r="A322" s="35">
        <v>44645</v>
      </c>
      <c r="B322" s="36" t="s">
        <v>35</v>
      </c>
      <c r="C322" s="37">
        <v>2</v>
      </c>
      <c r="D322" s="37" t="s">
        <v>16</v>
      </c>
      <c r="E322" s="37" t="s">
        <v>17</v>
      </c>
      <c r="F322" s="38">
        <v>0</v>
      </c>
      <c r="G322" s="39" t="str">
        <f>VLOOKUP('Data 1'!$B322,'Data 2'!$A$1:$F$46,MATCH('Data 1'!G$1,'Data 2'!$A$1:$F$1,0),0)</f>
        <v>Product01</v>
      </c>
      <c r="H322" s="39" t="str">
        <f>VLOOKUP('Data 1'!$B322,'Data 2'!$A$1:$F$46,MATCH('Data 1'!H$1,'Data 2'!$A$1:$F$1,0),0)</f>
        <v>Category01</v>
      </c>
      <c r="I322" s="39" t="str">
        <f>VLOOKUP('Data 1'!$B322,'Data 2'!$A$1:$F$46,MATCH('Data 1'!I$1,'Data 2'!$A$1:$F$1,0),0)</f>
        <v>Kg</v>
      </c>
      <c r="J322" s="39">
        <f>VLOOKUP('Data 1'!$B322,'Data 2'!$A$1:$F$46,MATCH('Data 1'!J$1,'Data 2'!$A$1:$F$1,0),0)</f>
        <v>98</v>
      </c>
      <c r="K322" s="39">
        <f>VLOOKUP('Data 1'!$B322,'Data 2'!$A$1:$F$46,MATCH('Data 1'!K$1,'Data 2'!$A$1:$F$1,0),0)</f>
        <v>103.88</v>
      </c>
      <c r="L322" s="40">
        <f>SUM('Data 1'!$J322*'Data 1'!$C322)</f>
        <v>196</v>
      </c>
      <c r="M322" s="40">
        <f>'Data 1'!$C322*'Data 1'!$K322</f>
        <v>207.76</v>
      </c>
      <c r="N322" s="40">
        <f>'Data 1'!$M322-'Data 1'!$L322</f>
        <v>11.759999999999991</v>
      </c>
      <c r="O322" s="37">
        <f>DAY('Data 1'!$A322)</f>
        <v>25</v>
      </c>
      <c r="P322" s="37" t="str">
        <f>TEXT('Data 1'!$A322,"mmm")</f>
        <v>Mar</v>
      </c>
      <c r="Q322" s="41">
        <f>YEAR('Data 1'!$A322)</f>
        <v>2022</v>
      </c>
    </row>
    <row r="323" spans="1:17" x14ac:dyDescent="0.3">
      <c r="A323" s="35">
        <v>44645</v>
      </c>
      <c r="B323" s="36" t="s">
        <v>47</v>
      </c>
      <c r="C323" s="37">
        <v>11</v>
      </c>
      <c r="D323" s="37" t="s">
        <v>21</v>
      </c>
      <c r="E323" s="37" t="s">
        <v>17</v>
      </c>
      <c r="F323" s="38">
        <v>0</v>
      </c>
      <c r="G323" s="42" t="str">
        <f>VLOOKUP('Data 1'!$B323,'Data 2'!$A$1:$F$46,MATCH('Data 1'!G$1,'Data 2'!$A$1:$F$1,0),0)</f>
        <v>Product30</v>
      </c>
      <c r="H323" s="42" t="str">
        <f>VLOOKUP('Data 1'!$B323,'Data 2'!$A$1:$F$46,MATCH('Data 1'!H$1,'Data 2'!$A$1:$F$1,0),0)</f>
        <v>Category04</v>
      </c>
      <c r="I323" s="42" t="str">
        <f>VLOOKUP('Data 1'!$B323,'Data 2'!$A$1:$F$46,MATCH('Data 1'!I$1,'Data 2'!$A$1:$F$1,0),0)</f>
        <v>Ft</v>
      </c>
      <c r="J323" s="42">
        <f>VLOOKUP('Data 1'!$B323,'Data 2'!$A$1:$F$46,MATCH('Data 1'!J$1,'Data 2'!$A$1:$F$1,0),0)</f>
        <v>148</v>
      </c>
      <c r="K323" s="42">
        <f>VLOOKUP('Data 1'!$B323,'Data 2'!$A$1:$F$46,MATCH('Data 1'!K$1,'Data 2'!$A$1:$F$1,0),0)</f>
        <v>201.28</v>
      </c>
      <c r="L323" s="40">
        <f>SUM('Data 1'!$J323*'Data 1'!$C323)</f>
        <v>1628</v>
      </c>
      <c r="M323" s="40">
        <f>'Data 1'!$C323*'Data 1'!$K323</f>
        <v>2214.08</v>
      </c>
      <c r="N323" s="40">
        <f>'Data 1'!$M323-'Data 1'!$L323</f>
        <v>586.07999999999993</v>
      </c>
      <c r="O323" s="37">
        <f>DAY('Data 1'!$A323)</f>
        <v>25</v>
      </c>
      <c r="P323" s="37" t="str">
        <f>TEXT('Data 1'!$A323,"mmm")</f>
        <v>Mar</v>
      </c>
      <c r="Q323" s="41">
        <f>YEAR('Data 1'!$A323)</f>
        <v>2022</v>
      </c>
    </row>
    <row r="324" spans="1:17" x14ac:dyDescent="0.3">
      <c r="A324" s="35">
        <v>44649</v>
      </c>
      <c r="B324" s="36" t="s">
        <v>37</v>
      </c>
      <c r="C324" s="37">
        <v>12</v>
      </c>
      <c r="D324" s="37" t="s">
        <v>17</v>
      </c>
      <c r="E324" s="37" t="s">
        <v>17</v>
      </c>
      <c r="F324" s="38">
        <v>0</v>
      </c>
      <c r="G324" s="39" t="str">
        <f>VLOOKUP('Data 1'!$B324,'Data 2'!$A$1:$F$46,MATCH('Data 1'!G$1,'Data 2'!$A$1:$F$1,0),0)</f>
        <v>Product32</v>
      </c>
      <c r="H324" s="39" t="str">
        <f>VLOOKUP('Data 1'!$B324,'Data 2'!$A$1:$F$46,MATCH('Data 1'!H$1,'Data 2'!$A$1:$F$1,0),0)</f>
        <v>Category04</v>
      </c>
      <c r="I324" s="39" t="str">
        <f>VLOOKUP('Data 1'!$B324,'Data 2'!$A$1:$F$46,MATCH('Data 1'!I$1,'Data 2'!$A$1:$F$1,0),0)</f>
        <v>Kg</v>
      </c>
      <c r="J324" s="39">
        <f>VLOOKUP('Data 1'!$B324,'Data 2'!$A$1:$F$46,MATCH('Data 1'!J$1,'Data 2'!$A$1:$F$1,0),0)</f>
        <v>89</v>
      </c>
      <c r="K324" s="39">
        <f>VLOOKUP('Data 1'!$B324,'Data 2'!$A$1:$F$46,MATCH('Data 1'!K$1,'Data 2'!$A$1:$F$1,0),0)</f>
        <v>117.48</v>
      </c>
      <c r="L324" s="40">
        <f>SUM('Data 1'!$J324*'Data 1'!$C324)</f>
        <v>1068</v>
      </c>
      <c r="M324" s="40">
        <f>'Data 1'!$C324*'Data 1'!$K324</f>
        <v>1409.76</v>
      </c>
      <c r="N324" s="40">
        <f>'Data 1'!$M324-'Data 1'!$L324</f>
        <v>341.76</v>
      </c>
      <c r="O324" s="37">
        <f>DAY('Data 1'!$A324)</f>
        <v>29</v>
      </c>
      <c r="P324" s="37" t="str">
        <f>TEXT('Data 1'!$A324,"mmm")</f>
        <v>Mar</v>
      </c>
      <c r="Q324" s="41">
        <f>YEAR('Data 1'!$A324)</f>
        <v>2022</v>
      </c>
    </row>
    <row r="325" spans="1:17" x14ac:dyDescent="0.3">
      <c r="A325" s="35">
        <v>44650</v>
      </c>
      <c r="B325" s="36" t="s">
        <v>35</v>
      </c>
      <c r="C325" s="37">
        <v>13</v>
      </c>
      <c r="D325" s="37" t="s">
        <v>17</v>
      </c>
      <c r="E325" s="37" t="s">
        <v>19</v>
      </c>
      <c r="F325" s="38">
        <v>0</v>
      </c>
      <c r="G325" s="42" t="str">
        <f>VLOOKUP('Data 1'!$B325,'Data 2'!$A$1:$F$46,MATCH('Data 1'!G$1,'Data 2'!$A$1:$F$1,0),0)</f>
        <v>Product01</v>
      </c>
      <c r="H325" s="42" t="str">
        <f>VLOOKUP('Data 1'!$B325,'Data 2'!$A$1:$F$46,MATCH('Data 1'!H$1,'Data 2'!$A$1:$F$1,0),0)</f>
        <v>Category01</v>
      </c>
      <c r="I325" s="42" t="str">
        <f>VLOOKUP('Data 1'!$B325,'Data 2'!$A$1:$F$46,MATCH('Data 1'!I$1,'Data 2'!$A$1:$F$1,0),0)</f>
        <v>Kg</v>
      </c>
      <c r="J325" s="42">
        <f>VLOOKUP('Data 1'!$B325,'Data 2'!$A$1:$F$46,MATCH('Data 1'!J$1,'Data 2'!$A$1:$F$1,0),0)</f>
        <v>98</v>
      </c>
      <c r="K325" s="42">
        <f>VLOOKUP('Data 1'!$B325,'Data 2'!$A$1:$F$46,MATCH('Data 1'!K$1,'Data 2'!$A$1:$F$1,0),0)</f>
        <v>103.88</v>
      </c>
      <c r="L325" s="40">
        <f>SUM('Data 1'!$J325*'Data 1'!$C325)</f>
        <v>1274</v>
      </c>
      <c r="M325" s="40">
        <f>'Data 1'!$C325*'Data 1'!$K325</f>
        <v>1350.44</v>
      </c>
      <c r="N325" s="40">
        <f>'Data 1'!$M325-'Data 1'!$L325</f>
        <v>76.440000000000055</v>
      </c>
      <c r="O325" s="37">
        <f>DAY('Data 1'!$A325)</f>
        <v>30</v>
      </c>
      <c r="P325" s="37" t="str">
        <f>TEXT('Data 1'!$A325,"mmm")</f>
        <v>Mar</v>
      </c>
      <c r="Q325" s="41">
        <f>YEAR('Data 1'!$A325)</f>
        <v>2022</v>
      </c>
    </row>
    <row r="326" spans="1:17" x14ac:dyDescent="0.3">
      <c r="A326" s="35">
        <v>44652</v>
      </c>
      <c r="B326" s="36" t="s">
        <v>48</v>
      </c>
      <c r="C326" s="37">
        <v>2</v>
      </c>
      <c r="D326" s="37" t="s">
        <v>17</v>
      </c>
      <c r="E326" s="37" t="s">
        <v>19</v>
      </c>
      <c r="F326" s="38">
        <v>0</v>
      </c>
      <c r="G326" s="39" t="str">
        <f>VLOOKUP('Data 1'!$B326,'Data 2'!$A$1:$F$46,MATCH('Data 1'!G$1,'Data 2'!$A$1:$F$1,0),0)</f>
        <v>Product02</v>
      </c>
      <c r="H326" s="39" t="str">
        <f>VLOOKUP('Data 1'!$B326,'Data 2'!$A$1:$F$46,MATCH('Data 1'!H$1,'Data 2'!$A$1:$F$1,0),0)</f>
        <v>Category01</v>
      </c>
      <c r="I326" s="39" t="str">
        <f>VLOOKUP('Data 1'!$B326,'Data 2'!$A$1:$F$46,MATCH('Data 1'!I$1,'Data 2'!$A$1:$F$1,0),0)</f>
        <v>Kg</v>
      </c>
      <c r="J326" s="39">
        <f>VLOOKUP('Data 1'!$B326,'Data 2'!$A$1:$F$46,MATCH('Data 1'!J$1,'Data 2'!$A$1:$F$1,0),0)</f>
        <v>105</v>
      </c>
      <c r="K326" s="39">
        <f>VLOOKUP('Data 1'!$B326,'Data 2'!$A$1:$F$46,MATCH('Data 1'!K$1,'Data 2'!$A$1:$F$1,0),0)</f>
        <v>142.80000000000001</v>
      </c>
      <c r="L326" s="40">
        <f>SUM('Data 1'!$J326*'Data 1'!$C326)</f>
        <v>210</v>
      </c>
      <c r="M326" s="40">
        <f>'Data 1'!$C326*'Data 1'!$K326</f>
        <v>285.60000000000002</v>
      </c>
      <c r="N326" s="40">
        <f>'Data 1'!$M326-'Data 1'!$L326</f>
        <v>75.600000000000023</v>
      </c>
      <c r="O326" s="37">
        <f>DAY('Data 1'!$A326)</f>
        <v>1</v>
      </c>
      <c r="P326" s="37" t="str">
        <f>TEXT('Data 1'!$A326,"mmm")</f>
        <v>Apr</v>
      </c>
      <c r="Q326" s="41">
        <f>YEAR('Data 1'!$A326)</f>
        <v>2022</v>
      </c>
    </row>
    <row r="327" spans="1:17" x14ac:dyDescent="0.3">
      <c r="A327" s="35">
        <v>44653</v>
      </c>
      <c r="B327" s="36" t="s">
        <v>48</v>
      </c>
      <c r="C327" s="37">
        <v>3</v>
      </c>
      <c r="D327" s="37" t="s">
        <v>21</v>
      </c>
      <c r="E327" s="37" t="s">
        <v>19</v>
      </c>
      <c r="F327" s="38">
        <v>0</v>
      </c>
      <c r="G327" s="42" t="str">
        <f>VLOOKUP('Data 1'!$B327,'Data 2'!$A$1:$F$46,MATCH('Data 1'!G$1,'Data 2'!$A$1:$F$1,0),0)</f>
        <v>Product02</v>
      </c>
      <c r="H327" s="42" t="str">
        <f>VLOOKUP('Data 1'!$B327,'Data 2'!$A$1:$F$46,MATCH('Data 1'!H$1,'Data 2'!$A$1:$F$1,0),0)</f>
        <v>Category01</v>
      </c>
      <c r="I327" s="42" t="str">
        <f>VLOOKUP('Data 1'!$B327,'Data 2'!$A$1:$F$46,MATCH('Data 1'!I$1,'Data 2'!$A$1:$F$1,0),0)</f>
        <v>Kg</v>
      </c>
      <c r="J327" s="42">
        <f>VLOOKUP('Data 1'!$B327,'Data 2'!$A$1:$F$46,MATCH('Data 1'!J$1,'Data 2'!$A$1:$F$1,0),0)</f>
        <v>105</v>
      </c>
      <c r="K327" s="42">
        <f>VLOOKUP('Data 1'!$B327,'Data 2'!$A$1:$F$46,MATCH('Data 1'!K$1,'Data 2'!$A$1:$F$1,0),0)</f>
        <v>142.80000000000001</v>
      </c>
      <c r="L327" s="40">
        <f>SUM('Data 1'!$J327*'Data 1'!$C327)</f>
        <v>315</v>
      </c>
      <c r="M327" s="40">
        <f>'Data 1'!$C327*'Data 1'!$K327</f>
        <v>428.40000000000003</v>
      </c>
      <c r="N327" s="40">
        <f>'Data 1'!$M327-'Data 1'!$L327</f>
        <v>113.40000000000003</v>
      </c>
      <c r="O327" s="37">
        <f>DAY('Data 1'!$A327)</f>
        <v>2</v>
      </c>
      <c r="P327" s="37" t="str">
        <f>TEXT('Data 1'!$A327,"mmm")</f>
        <v>Apr</v>
      </c>
      <c r="Q327" s="41">
        <f>YEAR('Data 1'!$A327)</f>
        <v>2022</v>
      </c>
    </row>
    <row r="328" spans="1:17" x14ac:dyDescent="0.3">
      <c r="A328" s="35">
        <v>44657</v>
      </c>
      <c r="B328" s="36" t="s">
        <v>36</v>
      </c>
      <c r="C328" s="37">
        <v>2</v>
      </c>
      <c r="D328" s="37" t="s">
        <v>16</v>
      </c>
      <c r="E328" s="37" t="s">
        <v>19</v>
      </c>
      <c r="F328" s="38">
        <v>0</v>
      </c>
      <c r="G328" s="39" t="str">
        <f>VLOOKUP('Data 1'!$B328,'Data 2'!$A$1:$F$46,MATCH('Data 1'!G$1,'Data 2'!$A$1:$F$1,0),0)</f>
        <v>Product40</v>
      </c>
      <c r="H328" s="39" t="str">
        <f>VLOOKUP('Data 1'!$B328,'Data 2'!$A$1:$F$46,MATCH('Data 1'!H$1,'Data 2'!$A$1:$F$1,0),0)</f>
        <v>Category05</v>
      </c>
      <c r="I328" s="39" t="str">
        <f>VLOOKUP('Data 1'!$B328,'Data 2'!$A$1:$F$46,MATCH('Data 1'!I$1,'Data 2'!$A$1:$F$1,0),0)</f>
        <v>Kg</v>
      </c>
      <c r="J328" s="39">
        <f>VLOOKUP('Data 1'!$B328,'Data 2'!$A$1:$F$46,MATCH('Data 1'!J$1,'Data 2'!$A$1:$F$1,0),0)</f>
        <v>90</v>
      </c>
      <c r="K328" s="39">
        <f>VLOOKUP('Data 1'!$B328,'Data 2'!$A$1:$F$46,MATCH('Data 1'!K$1,'Data 2'!$A$1:$F$1,0),0)</f>
        <v>115.2</v>
      </c>
      <c r="L328" s="40">
        <f>SUM('Data 1'!$J328*'Data 1'!$C328)</f>
        <v>180</v>
      </c>
      <c r="M328" s="40">
        <f>'Data 1'!$C328*'Data 1'!$K328</f>
        <v>230.4</v>
      </c>
      <c r="N328" s="40">
        <f>'Data 1'!$M328-'Data 1'!$L328</f>
        <v>50.400000000000006</v>
      </c>
      <c r="O328" s="37">
        <f>DAY('Data 1'!$A328)</f>
        <v>6</v>
      </c>
      <c r="P328" s="37" t="str">
        <f>TEXT('Data 1'!$A328,"mmm")</f>
        <v>Apr</v>
      </c>
      <c r="Q328" s="41">
        <f>YEAR('Data 1'!$A328)</f>
        <v>2022</v>
      </c>
    </row>
    <row r="329" spans="1:17" x14ac:dyDescent="0.3">
      <c r="A329" s="35">
        <v>44658</v>
      </c>
      <c r="B329" s="36" t="s">
        <v>61</v>
      </c>
      <c r="C329" s="37">
        <v>7</v>
      </c>
      <c r="D329" s="37" t="s">
        <v>21</v>
      </c>
      <c r="E329" s="37" t="s">
        <v>17</v>
      </c>
      <c r="F329" s="38">
        <v>0</v>
      </c>
      <c r="G329" s="42" t="str">
        <f>VLOOKUP('Data 1'!$B329,'Data 2'!$A$1:$F$46,MATCH('Data 1'!G$1,'Data 2'!$A$1:$F$1,0),0)</f>
        <v>Product26</v>
      </c>
      <c r="H329" s="42" t="str">
        <f>VLOOKUP('Data 1'!$B329,'Data 2'!$A$1:$F$46,MATCH('Data 1'!H$1,'Data 2'!$A$1:$F$1,0),0)</f>
        <v>Category04</v>
      </c>
      <c r="I329" s="42" t="str">
        <f>VLOOKUP('Data 1'!$B329,'Data 2'!$A$1:$F$46,MATCH('Data 1'!I$1,'Data 2'!$A$1:$F$1,0),0)</f>
        <v>No.</v>
      </c>
      <c r="J329" s="42">
        <f>VLOOKUP('Data 1'!$B329,'Data 2'!$A$1:$F$46,MATCH('Data 1'!J$1,'Data 2'!$A$1:$F$1,0),0)</f>
        <v>18</v>
      </c>
      <c r="K329" s="42">
        <f>VLOOKUP('Data 1'!$B329,'Data 2'!$A$1:$F$46,MATCH('Data 1'!K$1,'Data 2'!$A$1:$F$1,0),0)</f>
        <v>24.66</v>
      </c>
      <c r="L329" s="40">
        <f>SUM('Data 1'!$J329*'Data 1'!$C329)</f>
        <v>126</v>
      </c>
      <c r="M329" s="40">
        <f>'Data 1'!$C329*'Data 1'!$K329</f>
        <v>172.62</v>
      </c>
      <c r="N329" s="40">
        <f>'Data 1'!$M329-'Data 1'!$L329</f>
        <v>46.620000000000005</v>
      </c>
      <c r="O329" s="37">
        <f>DAY('Data 1'!$A329)</f>
        <v>7</v>
      </c>
      <c r="P329" s="37" t="str">
        <f>TEXT('Data 1'!$A329,"mmm")</f>
        <v>Apr</v>
      </c>
      <c r="Q329" s="41">
        <f>YEAR('Data 1'!$A329)</f>
        <v>2022</v>
      </c>
    </row>
    <row r="330" spans="1:17" x14ac:dyDescent="0.3">
      <c r="A330" s="35">
        <v>44660</v>
      </c>
      <c r="B330" s="36" t="s">
        <v>53</v>
      </c>
      <c r="C330" s="37">
        <v>12</v>
      </c>
      <c r="D330" s="37" t="s">
        <v>16</v>
      </c>
      <c r="E330" s="37" t="s">
        <v>19</v>
      </c>
      <c r="F330" s="38">
        <v>0</v>
      </c>
      <c r="G330" s="39" t="str">
        <f>VLOOKUP('Data 1'!$B330,'Data 2'!$A$1:$F$46,MATCH('Data 1'!G$1,'Data 2'!$A$1:$F$1,0),0)</f>
        <v>Product39</v>
      </c>
      <c r="H330" s="39" t="str">
        <f>VLOOKUP('Data 1'!$B330,'Data 2'!$A$1:$F$46,MATCH('Data 1'!H$1,'Data 2'!$A$1:$F$1,0),0)</f>
        <v>Category05</v>
      </c>
      <c r="I330" s="39" t="str">
        <f>VLOOKUP('Data 1'!$B330,'Data 2'!$A$1:$F$46,MATCH('Data 1'!I$1,'Data 2'!$A$1:$F$1,0),0)</f>
        <v>No.</v>
      </c>
      <c r="J330" s="39">
        <f>VLOOKUP('Data 1'!$B330,'Data 2'!$A$1:$F$46,MATCH('Data 1'!J$1,'Data 2'!$A$1:$F$1,0),0)</f>
        <v>37</v>
      </c>
      <c r="K330" s="39">
        <f>VLOOKUP('Data 1'!$B330,'Data 2'!$A$1:$F$46,MATCH('Data 1'!K$1,'Data 2'!$A$1:$F$1,0),0)</f>
        <v>42.55</v>
      </c>
      <c r="L330" s="40">
        <f>SUM('Data 1'!$J330*'Data 1'!$C330)</f>
        <v>444</v>
      </c>
      <c r="M330" s="40">
        <f>'Data 1'!$C330*'Data 1'!$K330</f>
        <v>510.59999999999997</v>
      </c>
      <c r="N330" s="40">
        <f>'Data 1'!$M330-'Data 1'!$L330</f>
        <v>66.599999999999966</v>
      </c>
      <c r="O330" s="37">
        <f>DAY('Data 1'!$A330)</f>
        <v>9</v>
      </c>
      <c r="P330" s="37" t="str">
        <f>TEXT('Data 1'!$A330,"mmm")</f>
        <v>Apr</v>
      </c>
      <c r="Q330" s="41">
        <f>YEAR('Data 1'!$A330)</f>
        <v>2022</v>
      </c>
    </row>
    <row r="331" spans="1:17" x14ac:dyDescent="0.3">
      <c r="A331" s="35">
        <v>44660</v>
      </c>
      <c r="B331" s="36" t="s">
        <v>48</v>
      </c>
      <c r="C331" s="37">
        <v>9</v>
      </c>
      <c r="D331" s="37" t="s">
        <v>17</v>
      </c>
      <c r="E331" s="37" t="s">
        <v>17</v>
      </c>
      <c r="F331" s="38">
        <v>0</v>
      </c>
      <c r="G331" s="42" t="str">
        <f>VLOOKUP('Data 1'!$B331,'Data 2'!$A$1:$F$46,MATCH('Data 1'!G$1,'Data 2'!$A$1:$F$1,0),0)</f>
        <v>Product02</v>
      </c>
      <c r="H331" s="42" t="str">
        <f>VLOOKUP('Data 1'!$B331,'Data 2'!$A$1:$F$46,MATCH('Data 1'!H$1,'Data 2'!$A$1:$F$1,0),0)</f>
        <v>Category01</v>
      </c>
      <c r="I331" s="42" t="str">
        <f>VLOOKUP('Data 1'!$B331,'Data 2'!$A$1:$F$46,MATCH('Data 1'!I$1,'Data 2'!$A$1:$F$1,0),0)</f>
        <v>Kg</v>
      </c>
      <c r="J331" s="42">
        <f>VLOOKUP('Data 1'!$B331,'Data 2'!$A$1:$F$46,MATCH('Data 1'!J$1,'Data 2'!$A$1:$F$1,0),0)</f>
        <v>105</v>
      </c>
      <c r="K331" s="42">
        <f>VLOOKUP('Data 1'!$B331,'Data 2'!$A$1:$F$46,MATCH('Data 1'!K$1,'Data 2'!$A$1:$F$1,0),0)</f>
        <v>142.80000000000001</v>
      </c>
      <c r="L331" s="40">
        <f>SUM('Data 1'!$J331*'Data 1'!$C331)</f>
        <v>945</v>
      </c>
      <c r="M331" s="40">
        <f>'Data 1'!$C331*'Data 1'!$K331</f>
        <v>1285.2</v>
      </c>
      <c r="N331" s="40">
        <f>'Data 1'!$M331-'Data 1'!$L331</f>
        <v>340.20000000000005</v>
      </c>
      <c r="O331" s="37">
        <f>DAY('Data 1'!$A331)</f>
        <v>9</v>
      </c>
      <c r="P331" s="37" t="str">
        <f>TEXT('Data 1'!$A331,"mmm")</f>
        <v>Apr</v>
      </c>
      <c r="Q331" s="41">
        <f>YEAR('Data 1'!$A331)</f>
        <v>2022</v>
      </c>
    </row>
    <row r="332" spans="1:17" x14ac:dyDescent="0.3">
      <c r="A332" s="35">
        <v>44664</v>
      </c>
      <c r="B332" s="36" t="s">
        <v>40</v>
      </c>
      <c r="C332" s="37">
        <v>14</v>
      </c>
      <c r="D332" s="37" t="s">
        <v>16</v>
      </c>
      <c r="E332" s="37" t="s">
        <v>17</v>
      </c>
      <c r="F332" s="38">
        <v>0</v>
      </c>
      <c r="G332" s="39" t="str">
        <f>VLOOKUP('Data 1'!$B332,'Data 2'!$A$1:$F$46,MATCH('Data 1'!G$1,'Data 2'!$A$1:$F$1,0),0)</f>
        <v>Product16</v>
      </c>
      <c r="H332" s="39" t="str">
        <f>VLOOKUP('Data 1'!$B332,'Data 2'!$A$1:$F$46,MATCH('Data 1'!H$1,'Data 2'!$A$1:$F$1,0),0)</f>
        <v>Category02</v>
      </c>
      <c r="I332" s="39" t="str">
        <f>VLOOKUP('Data 1'!$B332,'Data 2'!$A$1:$F$46,MATCH('Data 1'!I$1,'Data 2'!$A$1:$F$1,0),0)</f>
        <v>No.</v>
      </c>
      <c r="J332" s="39">
        <f>VLOOKUP('Data 1'!$B332,'Data 2'!$A$1:$F$46,MATCH('Data 1'!J$1,'Data 2'!$A$1:$F$1,0),0)</f>
        <v>13</v>
      </c>
      <c r="K332" s="39">
        <f>VLOOKUP('Data 1'!$B332,'Data 2'!$A$1:$F$46,MATCH('Data 1'!K$1,'Data 2'!$A$1:$F$1,0),0)</f>
        <v>16.64</v>
      </c>
      <c r="L332" s="40">
        <f>SUM('Data 1'!$J332*'Data 1'!$C332)</f>
        <v>182</v>
      </c>
      <c r="M332" s="40">
        <f>'Data 1'!$C332*'Data 1'!$K332</f>
        <v>232.96</v>
      </c>
      <c r="N332" s="40">
        <f>'Data 1'!$M332-'Data 1'!$L332</f>
        <v>50.960000000000008</v>
      </c>
      <c r="O332" s="37">
        <f>DAY('Data 1'!$A332)</f>
        <v>13</v>
      </c>
      <c r="P332" s="37" t="str">
        <f>TEXT('Data 1'!$A332,"mmm")</f>
        <v>Apr</v>
      </c>
      <c r="Q332" s="41">
        <f>YEAR('Data 1'!$A332)</f>
        <v>2022</v>
      </c>
    </row>
    <row r="333" spans="1:17" x14ac:dyDescent="0.3">
      <c r="A333" s="35">
        <v>44669</v>
      </c>
      <c r="B333" s="36" t="s">
        <v>60</v>
      </c>
      <c r="C333" s="37">
        <v>9</v>
      </c>
      <c r="D333" s="37" t="s">
        <v>21</v>
      </c>
      <c r="E333" s="37" t="s">
        <v>19</v>
      </c>
      <c r="F333" s="38">
        <v>0</v>
      </c>
      <c r="G333" s="42" t="str">
        <f>VLOOKUP('Data 1'!$B333,'Data 2'!$A$1:$F$46,MATCH('Data 1'!G$1,'Data 2'!$A$1:$F$1,0),0)</f>
        <v>Product41</v>
      </c>
      <c r="H333" s="42" t="str">
        <f>VLOOKUP('Data 1'!$B333,'Data 2'!$A$1:$F$46,MATCH('Data 1'!H$1,'Data 2'!$A$1:$F$1,0),0)</f>
        <v>Category05</v>
      </c>
      <c r="I333" s="42" t="str">
        <f>VLOOKUP('Data 1'!$B333,'Data 2'!$A$1:$F$46,MATCH('Data 1'!I$1,'Data 2'!$A$1:$F$1,0),0)</f>
        <v>Ft</v>
      </c>
      <c r="J333" s="42">
        <f>VLOOKUP('Data 1'!$B333,'Data 2'!$A$1:$F$46,MATCH('Data 1'!J$1,'Data 2'!$A$1:$F$1,0),0)</f>
        <v>138</v>
      </c>
      <c r="K333" s="42">
        <f>VLOOKUP('Data 1'!$B333,'Data 2'!$A$1:$F$46,MATCH('Data 1'!K$1,'Data 2'!$A$1:$F$1,0),0)</f>
        <v>173.88</v>
      </c>
      <c r="L333" s="40">
        <f>SUM('Data 1'!$J333*'Data 1'!$C333)</f>
        <v>1242</v>
      </c>
      <c r="M333" s="40">
        <f>'Data 1'!$C333*'Data 1'!$K333</f>
        <v>1564.92</v>
      </c>
      <c r="N333" s="40">
        <f>'Data 1'!$M333-'Data 1'!$L333</f>
        <v>322.92000000000007</v>
      </c>
      <c r="O333" s="37">
        <f>DAY('Data 1'!$A333)</f>
        <v>18</v>
      </c>
      <c r="P333" s="37" t="str">
        <f>TEXT('Data 1'!$A333,"mmm")</f>
        <v>Apr</v>
      </c>
      <c r="Q333" s="41">
        <f>YEAR('Data 1'!$A333)</f>
        <v>2022</v>
      </c>
    </row>
    <row r="334" spans="1:17" x14ac:dyDescent="0.3">
      <c r="A334" s="35">
        <v>44671</v>
      </c>
      <c r="B334" s="36" t="s">
        <v>49</v>
      </c>
      <c r="C334" s="37">
        <v>2</v>
      </c>
      <c r="D334" s="37" t="s">
        <v>16</v>
      </c>
      <c r="E334" s="37" t="s">
        <v>17</v>
      </c>
      <c r="F334" s="38">
        <v>0</v>
      </c>
      <c r="G334" s="39" t="str">
        <f>VLOOKUP('Data 1'!$B334,'Data 2'!$A$1:$F$46,MATCH('Data 1'!G$1,'Data 2'!$A$1:$F$1,0),0)</f>
        <v>Product18</v>
      </c>
      <c r="H334" s="39" t="str">
        <f>VLOOKUP('Data 1'!$B334,'Data 2'!$A$1:$F$46,MATCH('Data 1'!H$1,'Data 2'!$A$1:$F$1,0),0)</f>
        <v>Category02</v>
      </c>
      <c r="I334" s="39" t="str">
        <f>VLOOKUP('Data 1'!$B334,'Data 2'!$A$1:$F$46,MATCH('Data 1'!I$1,'Data 2'!$A$1:$F$1,0),0)</f>
        <v>No.</v>
      </c>
      <c r="J334" s="39">
        <f>VLOOKUP('Data 1'!$B334,'Data 2'!$A$1:$F$46,MATCH('Data 1'!J$1,'Data 2'!$A$1:$F$1,0),0)</f>
        <v>37</v>
      </c>
      <c r="K334" s="39">
        <f>VLOOKUP('Data 1'!$B334,'Data 2'!$A$1:$F$46,MATCH('Data 1'!K$1,'Data 2'!$A$1:$F$1,0),0)</f>
        <v>49.21</v>
      </c>
      <c r="L334" s="40">
        <f>SUM('Data 1'!$J334*'Data 1'!$C334)</f>
        <v>74</v>
      </c>
      <c r="M334" s="40">
        <f>'Data 1'!$C334*'Data 1'!$K334</f>
        <v>98.42</v>
      </c>
      <c r="N334" s="40">
        <f>'Data 1'!$M334-'Data 1'!$L334</f>
        <v>24.42</v>
      </c>
      <c r="O334" s="37">
        <f>DAY('Data 1'!$A334)</f>
        <v>20</v>
      </c>
      <c r="P334" s="37" t="str">
        <f>TEXT('Data 1'!$A334,"mmm")</f>
        <v>Apr</v>
      </c>
      <c r="Q334" s="41">
        <f>YEAR('Data 1'!$A334)</f>
        <v>2022</v>
      </c>
    </row>
    <row r="335" spans="1:17" x14ac:dyDescent="0.3">
      <c r="A335" s="35">
        <v>44671</v>
      </c>
      <c r="B335" s="36" t="s">
        <v>54</v>
      </c>
      <c r="C335" s="37">
        <v>4</v>
      </c>
      <c r="D335" s="37" t="s">
        <v>21</v>
      </c>
      <c r="E335" s="37" t="s">
        <v>17</v>
      </c>
      <c r="F335" s="38">
        <v>0</v>
      </c>
      <c r="G335" s="42" t="str">
        <f>VLOOKUP('Data 1'!$B335,'Data 2'!$A$1:$F$46,MATCH('Data 1'!G$1,'Data 2'!$A$1:$F$1,0),0)</f>
        <v>Product12</v>
      </c>
      <c r="H335" s="42" t="str">
        <f>VLOOKUP('Data 1'!$B335,'Data 2'!$A$1:$F$46,MATCH('Data 1'!H$1,'Data 2'!$A$1:$F$1,0),0)</f>
        <v>Category02</v>
      </c>
      <c r="I335" s="42" t="str">
        <f>VLOOKUP('Data 1'!$B335,'Data 2'!$A$1:$F$46,MATCH('Data 1'!I$1,'Data 2'!$A$1:$F$1,0),0)</f>
        <v>Kg</v>
      </c>
      <c r="J335" s="42">
        <f>VLOOKUP('Data 1'!$B335,'Data 2'!$A$1:$F$46,MATCH('Data 1'!J$1,'Data 2'!$A$1:$F$1,0),0)</f>
        <v>73</v>
      </c>
      <c r="K335" s="42">
        <f>VLOOKUP('Data 1'!$B335,'Data 2'!$A$1:$F$46,MATCH('Data 1'!K$1,'Data 2'!$A$1:$F$1,0),0)</f>
        <v>94.17</v>
      </c>
      <c r="L335" s="40">
        <f>SUM('Data 1'!$J335*'Data 1'!$C335)</f>
        <v>292</v>
      </c>
      <c r="M335" s="40">
        <f>'Data 1'!$C335*'Data 1'!$K335</f>
        <v>376.68</v>
      </c>
      <c r="N335" s="40">
        <f>'Data 1'!$M335-'Data 1'!$L335</f>
        <v>84.68</v>
      </c>
      <c r="O335" s="37">
        <f>DAY('Data 1'!$A335)</f>
        <v>20</v>
      </c>
      <c r="P335" s="37" t="str">
        <f>TEXT('Data 1'!$A335,"mmm")</f>
        <v>Apr</v>
      </c>
      <c r="Q335" s="41">
        <f>YEAR('Data 1'!$A335)</f>
        <v>2022</v>
      </c>
    </row>
    <row r="336" spans="1:17" x14ac:dyDescent="0.3">
      <c r="A336" s="35">
        <v>44672</v>
      </c>
      <c r="B336" s="36" t="s">
        <v>47</v>
      </c>
      <c r="C336" s="37">
        <v>2</v>
      </c>
      <c r="D336" s="37" t="s">
        <v>21</v>
      </c>
      <c r="E336" s="37" t="s">
        <v>19</v>
      </c>
      <c r="F336" s="38">
        <v>0</v>
      </c>
      <c r="G336" s="39" t="str">
        <f>VLOOKUP('Data 1'!$B336,'Data 2'!$A$1:$F$46,MATCH('Data 1'!G$1,'Data 2'!$A$1:$F$1,0),0)</f>
        <v>Product30</v>
      </c>
      <c r="H336" s="39" t="str">
        <f>VLOOKUP('Data 1'!$B336,'Data 2'!$A$1:$F$46,MATCH('Data 1'!H$1,'Data 2'!$A$1:$F$1,0),0)</f>
        <v>Category04</v>
      </c>
      <c r="I336" s="39" t="str">
        <f>VLOOKUP('Data 1'!$B336,'Data 2'!$A$1:$F$46,MATCH('Data 1'!I$1,'Data 2'!$A$1:$F$1,0),0)</f>
        <v>Ft</v>
      </c>
      <c r="J336" s="39">
        <f>VLOOKUP('Data 1'!$B336,'Data 2'!$A$1:$F$46,MATCH('Data 1'!J$1,'Data 2'!$A$1:$F$1,0),0)</f>
        <v>148</v>
      </c>
      <c r="K336" s="39">
        <f>VLOOKUP('Data 1'!$B336,'Data 2'!$A$1:$F$46,MATCH('Data 1'!K$1,'Data 2'!$A$1:$F$1,0),0)</f>
        <v>201.28</v>
      </c>
      <c r="L336" s="40">
        <f>SUM('Data 1'!$J336*'Data 1'!$C336)</f>
        <v>296</v>
      </c>
      <c r="M336" s="40">
        <f>'Data 1'!$C336*'Data 1'!$K336</f>
        <v>402.56</v>
      </c>
      <c r="N336" s="40">
        <f>'Data 1'!$M336-'Data 1'!$L336</f>
        <v>106.56</v>
      </c>
      <c r="O336" s="37">
        <f>DAY('Data 1'!$A336)</f>
        <v>21</v>
      </c>
      <c r="P336" s="37" t="str">
        <f>TEXT('Data 1'!$A336,"mmm")</f>
        <v>Apr</v>
      </c>
      <c r="Q336" s="41">
        <f>YEAR('Data 1'!$A336)</f>
        <v>2022</v>
      </c>
    </row>
    <row r="337" spans="1:17" x14ac:dyDescent="0.3">
      <c r="A337" s="35">
        <v>44672</v>
      </c>
      <c r="B337" s="36" t="s">
        <v>61</v>
      </c>
      <c r="C337" s="37">
        <v>14</v>
      </c>
      <c r="D337" s="37" t="s">
        <v>17</v>
      </c>
      <c r="E337" s="37" t="s">
        <v>17</v>
      </c>
      <c r="F337" s="38">
        <v>0</v>
      </c>
      <c r="G337" s="42" t="str">
        <f>VLOOKUP('Data 1'!$B337,'Data 2'!$A$1:$F$46,MATCH('Data 1'!G$1,'Data 2'!$A$1:$F$1,0),0)</f>
        <v>Product26</v>
      </c>
      <c r="H337" s="42" t="str">
        <f>VLOOKUP('Data 1'!$B337,'Data 2'!$A$1:$F$46,MATCH('Data 1'!H$1,'Data 2'!$A$1:$F$1,0),0)</f>
        <v>Category04</v>
      </c>
      <c r="I337" s="42" t="str">
        <f>VLOOKUP('Data 1'!$B337,'Data 2'!$A$1:$F$46,MATCH('Data 1'!I$1,'Data 2'!$A$1:$F$1,0),0)</f>
        <v>No.</v>
      </c>
      <c r="J337" s="42">
        <f>VLOOKUP('Data 1'!$B337,'Data 2'!$A$1:$F$46,MATCH('Data 1'!J$1,'Data 2'!$A$1:$F$1,0),0)</f>
        <v>18</v>
      </c>
      <c r="K337" s="42">
        <f>VLOOKUP('Data 1'!$B337,'Data 2'!$A$1:$F$46,MATCH('Data 1'!K$1,'Data 2'!$A$1:$F$1,0),0)</f>
        <v>24.66</v>
      </c>
      <c r="L337" s="40">
        <f>SUM('Data 1'!$J337*'Data 1'!$C337)</f>
        <v>252</v>
      </c>
      <c r="M337" s="40">
        <f>'Data 1'!$C337*'Data 1'!$K337</f>
        <v>345.24</v>
      </c>
      <c r="N337" s="40">
        <f>'Data 1'!$M337-'Data 1'!$L337</f>
        <v>93.240000000000009</v>
      </c>
      <c r="O337" s="37">
        <f>DAY('Data 1'!$A337)</f>
        <v>21</v>
      </c>
      <c r="P337" s="37" t="str">
        <f>TEXT('Data 1'!$A337,"mmm")</f>
        <v>Apr</v>
      </c>
      <c r="Q337" s="41">
        <f>YEAR('Data 1'!$A337)</f>
        <v>2022</v>
      </c>
    </row>
    <row r="338" spans="1:17" x14ac:dyDescent="0.3">
      <c r="A338" s="35">
        <v>44674</v>
      </c>
      <c r="B338" s="36" t="s">
        <v>30</v>
      </c>
      <c r="C338" s="37">
        <v>15</v>
      </c>
      <c r="D338" s="37" t="s">
        <v>17</v>
      </c>
      <c r="E338" s="37" t="s">
        <v>17</v>
      </c>
      <c r="F338" s="38">
        <v>0</v>
      </c>
      <c r="G338" s="39" t="str">
        <f>VLOOKUP('Data 1'!$B338,'Data 2'!$A$1:$F$46,MATCH('Data 1'!G$1,'Data 2'!$A$1:$F$1,0),0)</f>
        <v>Product44</v>
      </c>
      <c r="H338" s="39" t="str">
        <f>VLOOKUP('Data 1'!$B338,'Data 2'!$A$1:$F$46,MATCH('Data 1'!H$1,'Data 2'!$A$1:$F$1,0),0)</f>
        <v>Category05</v>
      </c>
      <c r="I338" s="39" t="str">
        <f>VLOOKUP('Data 1'!$B338,'Data 2'!$A$1:$F$46,MATCH('Data 1'!I$1,'Data 2'!$A$1:$F$1,0),0)</f>
        <v>Kg</v>
      </c>
      <c r="J338" s="39">
        <f>VLOOKUP('Data 1'!$B338,'Data 2'!$A$1:$F$46,MATCH('Data 1'!J$1,'Data 2'!$A$1:$F$1,0),0)</f>
        <v>76</v>
      </c>
      <c r="K338" s="39">
        <f>VLOOKUP('Data 1'!$B338,'Data 2'!$A$1:$F$46,MATCH('Data 1'!K$1,'Data 2'!$A$1:$F$1,0),0)</f>
        <v>82.08</v>
      </c>
      <c r="L338" s="40">
        <f>SUM('Data 1'!$J338*'Data 1'!$C338)</f>
        <v>1140</v>
      </c>
      <c r="M338" s="40">
        <f>'Data 1'!$C338*'Data 1'!$K338</f>
        <v>1231.2</v>
      </c>
      <c r="N338" s="40">
        <f>'Data 1'!$M338-'Data 1'!$L338</f>
        <v>91.200000000000045</v>
      </c>
      <c r="O338" s="37">
        <f>DAY('Data 1'!$A338)</f>
        <v>23</v>
      </c>
      <c r="P338" s="37" t="str">
        <f>TEXT('Data 1'!$A338,"mmm")</f>
        <v>Apr</v>
      </c>
      <c r="Q338" s="41">
        <f>YEAR('Data 1'!$A338)</f>
        <v>2022</v>
      </c>
    </row>
    <row r="339" spans="1:17" x14ac:dyDescent="0.3">
      <c r="A339" s="35">
        <v>44675</v>
      </c>
      <c r="B339" s="36" t="s">
        <v>32</v>
      </c>
      <c r="C339" s="37">
        <v>4</v>
      </c>
      <c r="D339" s="37" t="s">
        <v>21</v>
      </c>
      <c r="E339" s="37" t="s">
        <v>17</v>
      </c>
      <c r="F339" s="38">
        <v>0</v>
      </c>
      <c r="G339" s="42" t="str">
        <f>VLOOKUP('Data 1'!$B339,'Data 2'!$A$1:$F$46,MATCH('Data 1'!G$1,'Data 2'!$A$1:$F$1,0),0)</f>
        <v>Product34</v>
      </c>
      <c r="H339" s="42" t="str">
        <f>VLOOKUP('Data 1'!$B339,'Data 2'!$A$1:$F$46,MATCH('Data 1'!H$1,'Data 2'!$A$1:$F$1,0),0)</f>
        <v>Category04</v>
      </c>
      <c r="I339" s="42" t="str">
        <f>VLOOKUP('Data 1'!$B339,'Data 2'!$A$1:$F$46,MATCH('Data 1'!I$1,'Data 2'!$A$1:$F$1,0),0)</f>
        <v>Lt</v>
      </c>
      <c r="J339" s="42">
        <f>VLOOKUP('Data 1'!$B339,'Data 2'!$A$1:$F$46,MATCH('Data 1'!J$1,'Data 2'!$A$1:$F$1,0),0)</f>
        <v>55</v>
      </c>
      <c r="K339" s="42">
        <f>VLOOKUP('Data 1'!$B339,'Data 2'!$A$1:$F$46,MATCH('Data 1'!K$1,'Data 2'!$A$1:$F$1,0),0)</f>
        <v>58.3</v>
      </c>
      <c r="L339" s="40">
        <f>SUM('Data 1'!$J339*'Data 1'!$C339)</f>
        <v>220</v>
      </c>
      <c r="M339" s="40">
        <f>'Data 1'!$C339*'Data 1'!$K339</f>
        <v>233.2</v>
      </c>
      <c r="N339" s="40">
        <f>'Data 1'!$M339-'Data 1'!$L339</f>
        <v>13.199999999999989</v>
      </c>
      <c r="O339" s="37">
        <f>DAY('Data 1'!$A339)</f>
        <v>24</v>
      </c>
      <c r="P339" s="37" t="str">
        <f>TEXT('Data 1'!$A339,"mmm")</f>
        <v>Apr</v>
      </c>
      <c r="Q339" s="41">
        <f>YEAR('Data 1'!$A339)</f>
        <v>2022</v>
      </c>
    </row>
    <row r="340" spans="1:17" x14ac:dyDescent="0.3">
      <c r="A340" s="35">
        <v>44676</v>
      </c>
      <c r="B340" s="36" t="s">
        <v>22</v>
      </c>
      <c r="C340" s="37">
        <v>9</v>
      </c>
      <c r="D340" s="37" t="s">
        <v>21</v>
      </c>
      <c r="E340" s="37" t="s">
        <v>19</v>
      </c>
      <c r="F340" s="38">
        <v>0</v>
      </c>
      <c r="G340" s="39" t="str">
        <f>VLOOKUP('Data 1'!$B340,'Data 2'!$A$1:$F$46,MATCH('Data 1'!G$1,'Data 2'!$A$1:$F$1,0),0)</f>
        <v>Product04</v>
      </c>
      <c r="H340" s="39" t="str">
        <f>VLOOKUP('Data 1'!$B340,'Data 2'!$A$1:$F$46,MATCH('Data 1'!H$1,'Data 2'!$A$1:$F$1,0),0)</f>
        <v>Category01</v>
      </c>
      <c r="I340" s="39" t="str">
        <f>VLOOKUP('Data 1'!$B340,'Data 2'!$A$1:$F$46,MATCH('Data 1'!I$1,'Data 2'!$A$1:$F$1,0),0)</f>
        <v>Lt</v>
      </c>
      <c r="J340" s="39">
        <f>VLOOKUP('Data 1'!$B340,'Data 2'!$A$1:$F$46,MATCH('Data 1'!J$1,'Data 2'!$A$1:$F$1,0),0)</f>
        <v>44</v>
      </c>
      <c r="K340" s="39">
        <f>VLOOKUP('Data 1'!$B340,'Data 2'!$A$1:$F$46,MATCH('Data 1'!K$1,'Data 2'!$A$1:$F$1,0),0)</f>
        <v>48.84</v>
      </c>
      <c r="L340" s="40">
        <f>SUM('Data 1'!$J340*'Data 1'!$C340)</f>
        <v>396</v>
      </c>
      <c r="M340" s="40">
        <f>'Data 1'!$C340*'Data 1'!$K340</f>
        <v>439.56000000000006</v>
      </c>
      <c r="N340" s="40">
        <f>'Data 1'!$M340-'Data 1'!$L340</f>
        <v>43.560000000000059</v>
      </c>
      <c r="O340" s="37">
        <f>DAY('Data 1'!$A340)</f>
        <v>25</v>
      </c>
      <c r="P340" s="37" t="str">
        <f>TEXT('Data 1'!$A340,"mmm")</f>
        <v>Apr</v>
      </c>
      <c r="Q340" s="41">
        <f>YEAR('Data 1'!$A340)</f>
        <v>2022</v>
      </c>
    </row>
    <row r="341" spans="1:17" x14ac:dyDescent="0.3">
      <c r="A341" s="35">
        <v>44676</v>
      </c>
      <c r="B341" s="36" t="s">
        <v>25</v>
      </c>
      <c r="C341" s="37">
        <v>8</v>
      </c>
      <c r="D341" s="37" t="s">
        <v>17</v>
      </c>
      <c r="E341" s="37" t="s">
        <v>17</v>
      </c>
      <c r="F341" s="38">
        <v>0</v>
      </c>
      <c r="G341" s="42" t="str">
        <f>VLOOKUP('Data 1'!$B341,'Data 2'!$A$1:$F$46,MATCH('Data 1'!G$1,'Data 2'!$A$1:$F$1,0),0)</f>
        <v>Product03</v>
      </c>
      <c r="H341" s="42" t="str">
        <f>VLOOKUP('Data 1'!$B341,'Data 2'!$A$1:$F$46,MATCH('Data 1'!H$1,'Data 2'!$A$1:$F$1,0),0)</f>
        <v>Category01</v>
      </c>
      <c r="I341" s="42" t="str">
        <f>VLOOKUP('Data 1'!$B341,'Data 2'!$A$1:$F$46,MATCH('Data 1'!I$1,'Data 2'!$A$1:$F$1,0),0)</f>
        <v>Kg</v>
      </c>
      <c r="J341" s="42">
        <f>VLOOKUP('Data 1'!$B341,'Data 2'!$A$1:$F$46,MATCH('Data 1'!J$1,'Data 2'!$A$1:$F$1,0),0)</f>
        <v>71</v>
      </c>
      <c r="K341" s="42">
        <f>VLOOKUP('Data 1'!$B341,'Data 2'!$A$1:$F$46,MATCH('Data 1'!K$1,'Data 2'!$A$1:$F$1,0),0)</f>
        <v>80.94</v>
      </c>
      <c r="L341" s="40">
        <f>SUM('Data 1'!$J341*'Data 1'!$C341)</f>
        <v>568</v>
      </c>
      <c r="M341" s="40">
        <f>'Data 1'!$C341*'Data 1'!$K341</f>
        <v>647.52</v>
      </c>
      <c r="N341" s="40">
        <f>'Data 1'!$M341-'Data 1'!$L341</f>
        <v>79.519999999999982</v>
      </c>
      <c r="O341" s="37">
        <f>DAY('Data 1'!$A341)</f>
        <v>25</v>
      </c>
      <c r="P341" s="37" t="str">
        <f>TEXT('Data 1'!$A341,"mmm")</f>
        <v>Apr</v>
      </c>
      <c r="Q341" s="41">
        <f>YEAR('Data 1'!$A341)</f>
        <v>2022</v>
      </c>
    </row>
    <row r="342" spans="1:17" x14ac:dyDescent="0.3">
      <c r="A342" s="35">
        <v>44677</v>
      </c>
      <c r="B342" s="36" t="s">
        <v>45</v>
      </c>
      <c r="C342" s="37">
        <v>2</v>
      </c>
      <c r="D342" s="37" t="s">
        <v>21</v>
      </c>
      <c r="E342" s="37" t="s">
        <v>19</v>
      </c>
      <c r="F342" s="38">
        <v>0</v>
      </c>
      <c r="G342" s="39" t="str">
        <f>VLOOKUP('Data 1'!$B342,'Data 2'!$A$1:$F$46,MATCH('Data 1'!G$1,'Data 2'!$A$1:$F$1,0),0)</f>
        <v>Product27</v>
      </c>
      <c r="H342" s="39" t="str">
        <f>VLOOKUP('Data 1'!$B342,'Data 2'!$A$1:$F$46,MATCH('Data 1'!H$1,'Data 2'!$A$1:$F$1,0),0)</f>
        <v>Category04</v>
      </c>
      <c r="I342" s="39" t="str">
        <f>VLOOKUP('Data 1'!$B342,'Data 2'!$A$1:$F$46,MATCH('Data 1'!I$1,'Data 2'!$A$1:$F$1,0),0)</f>
        <v>Lt</v>
      </c>
      <c r="J342" s="39">
        <f>VLOOKUP('Data 1'!$B342,'Data 2'!$A$1:$F$46,MATCH('Data 1'!J$1,'Data 2'!$A$1:$F$1,0),0)</f>
        <v>48</v>
      </c>
      <c r="K342" s="39">
        <f>VLOOKUP('Data 1'!$B342,'Data 2'!$A$1:$F$46,MATCH('Data 1'!K$1,'Data 2'!$A$1:$F$1,0),0)</f>
        <v>57.120000000000005</v>
      </c>
      <c r="L342" s="40">
        <f>SUM('Data 1'!$J342*'Data 1'!$C342)</f>
        <v>96</v>
      </c>
      <c r="M342" s="40">
        <f>'Data 1'!$C342*'Data 1'!$K342</f>
        <v>114.24000000000001</v>
      </c>
      <c r="N342" s="40">
        <f>'Data 1'!$M342-'Data 1'!$L342</f>
        <v>18.240000000000009</v>
      </c>
      <c r="O342" s="37">
        <f>DAY('Data 1'!$A342)</f>
        <v>26</v>
      </c>
      <c r="P342" s="37" t="str">
        <f>TEXT('Data 1'!$A342,"mmm")</f>
        <v>Apr</v>
      </c>
      <c r="Q342" s="41">
        <f>YEAR('Data 1'!$A342)</f>
        <v>2022</v>
      </c>
    </row>
    <row r="343" spans="1:17" x14ac:dyDescent="0.3">
      <c r="A343" s="35">
        <v>44679</v>
      </c>
      <c r="B343" s="36" t="s">
        <v>28</v>
      </c>
      <c r="C343" s="37">
        <v>14</v>
      </c>
      <c r="D343" s="37" t="s">
        <v>21</v>
      </c>
      <c r="E343" s="37" t="s">
        <v>19</v>
      </c>
      <c r="F343" s="38">
        <v>0</v>
      </c>
      <c r="G343" s="42" t="str">
        <f>VLOOKUP('Data 1'!$B343,'Data 2'!$A$1:$F$46,MATCH('Data 1'!G$1,'Data 2'!$A$1:$F$1,0),0)</f>
        <v>Product14</v>
      </c>
      <c r="H343" s="42" t="str">
        <f>VLOOKUP('Data 1'!$B343,'Data 2'!$A$1:$F$46,MATCH('Data 1'!H$1,'Data 2'!$A$1:$F$1,0),0)</f>
        <v>Category02</v>
      </c>
      <c r="I343" s="42" t="str">
        <f>VLOOKUP('Data 1'!$B343,'Data 2'!$A$1:$F$46,MATCH('Data 1'!I$1,'Data 2'!$A$1:$F$1,0),0)</f>
        <v>Kg</v>
      </c>
      <c r="J343" s="42">
        <f>VLOOKUP('Data 1'!$B343,'Data 2'!$A$1:$F$46,MATCH('Data 1'!J$1,'Data 2'!$A$1:$F$1,0),0)</f>
        <v>112</v>
      </c>
      <c r="K343" s="42">
        <f>VLOOKUP('Data 1'!$B343,'Data 2'!$A$1:$F$46,MATCH('Data 1'!K$1,'Data 2'!$A$1:$F$1,0),0)</f>
        <v>146.72</v>
      </c>
      <c r="L343" s="40">
        <f>SUM('Data 1'!$J343*'Data 1'!$C343)</f>
        <v>1568</v>
      </c>
      <c r="M343" s="40">
        <f>'Data 1'!$C343*'Data 1'!$K343</f>
        <v>2054.08</v>
      </c>
      <c r="N343" s="40">
        <f>'Data 1'!$M343-'Data 1'!$L343</f>
        <v>486.07999999999993</v>
      </c>
      <c r="O343" s="37">
        <f>DAY('Data 1'!$A343)</f>
        <v>28</v>
      </c>
      <c r="P343" s="37" t="str">
        <f>TEXT('Data 1'!$A343,"mmm")</f>
        <v>Apr</v>
      </c>
      <c r="Q343" s="41">
        <f>YEAR('Data 1'!$A343)</f>
        <v>2022</v>
      </c>
    </row>
    <row r="344" spans="1:17" x14ac:dyDescent="0.3">
      <c r="A344" s="35">
        <v>44681</v>
      </c>
      <c r="B344" s="36" t="s">
        <v>40</v>
      </c>
      <c r="C344" s="37">
        <v>13</v>
      </c>
      <c r="D344" s="37" t="s">
        <v>17</v>
      </c>
      <c r="E344" s="37" t="s">
        <v>17</v>
      </c>
      <c r="F344" s="38">
        <v>0</v>
      </c>
      <c r="G344" s="39" t="str">
        <f>VLOOKUP('Data 1'!$B344,'Data 2'!$A$1:$F$46,MATCH('Data 1'!G$1,'Data 2'!$A$1:$F$1,0),0)</f>
        <v>Product16</v>
      </c>
      <c r="H344" s="39" t="str">
        <f>VLOOKUP('Data 1'!$B344,'Data 2'!$A$1:$F$46,MATCH('Data 1'!H$1,'Data 2'!$A$1:$F$1,0),0)</f>
        <v>Category02</v>
      </c>
      <c r="I344" s="39" t="str">
        <f>VLOOKUP('Data 1'!$B344,'Data 2'!$A$1:$F$46,MATCH('Data 1'!I$1,'Data 2'!$A$1:$F$1,0),0)</f>
        <v>No.</v>
      </c>
      <c r="J344" s="39">
        <f>VLOOKUP('Data 1'!$B344,'Data 2'!$A$1:$F$46,MATCH('Data 1'!J$1,'Data 2'!$A$1:$F$1,0),0)</f>
        <v>13</v>
      </c>
      <c r="K344" s="39">
        <f>VLOOKUP('Data 1'!$B344,'Data 2'!$A$1:$F$46,MATCH('Data 1'!K$1,'Data 2'!$A$1:$F$1,0),0)</f>
        <v>16.64</v>
      </c>
      <c r="L344" s="40">
        <f>SUM('Data 1'!$J344*'Data 1'!$C344)</f>
        <v>169</v>
      </c>
      <c r="M344" s="40">
        <f>'Data 1'!$C344*'Data 1'!$K344</f>
        <v>216.32</v>
      </c>
      <c r="N344" s="40">
        <f>'Data 1'!$M344-'Data 1'!$L344</f>
        <v>47.319999999999993</v>
      </c>
      <c r="O344" s="37">
        <f>DAY('Data 1'!$A344)</f>
        <v>30</v>
      </c>
      <c r="P344" s="37" t="str">
        <f>TEXT('Data 1'!$A344,"mmm")</f>
        <v>Apr</v>
      </c>
      <c r="Q344" s="41">
        <f>YEAR('Data 1'!$A344)</f>
        <v>2022</v>
      </c>
    </row>
    <row r="345" spans="1:17" x14ac:dyDescent="0.3">
      <c r="A345" s="35">
        <v>44681</v>
      </c>
      <c r="B345" s="36" t="s">
        <v>45</v>
      </c>
      <c r="C345" s="37">
        <v>8</v>
      </c>
      <c r="D345" s="37" t="s">
        <v>21</v>
      </c>
      <c r="E345" s="37" t="s">
        <v>17</v>
      </c>
      <c r="F345" s="38">
        <v>0</v>
      </c>
      <c r="G345" s="42" t="str">
        <f>VLOOKUP('Data 1'!$B345,'Data 2'!$A$1:$F$46,MATCH('Data 1'!G$1,'Data 2'!$A$1:$F$1,0),0)</f>
        <v>Product27</v>
      </c>
      <c r="H345" s="42" t="str">
        <f>VLOOKUP('Data 1'!$B345,'Data 2'!$A$1:$F$46,MATCH('Data 1'!H$1,'Data 2'!$A$1:$F$1,0),0)</f>
        <v>Category04</v>
      </c>
      <c r="I345" s="42" t="str">
        <f>VLOOKUP('Data 1'!$B345,'Data 2'!$A$1:$F$46,MATCH('Data 1'!I$1,'Data 2'!$A$1:$F$1,0),0)</f>
        <v>Lt</v>
      </c>
      <c r="J345" s="42">
        <f>VLOOKUP('Data 1'!$B345,'Data 2'!$A$1:$F$46,MATCH('Data 1'!J$1,'Data 2'!$A$1:$F$1,0),0)</f>
        <v>48</v>
      </c>
      <c r="K345" s="42">
        <f>VLOOKUP('Data 1'!$B345,'Data 2'!$A$1:$F$46,MATCH('Data 1'!K$1,'Data 2'!$A$1:$F$1,0),0)</f>
        <v>57.120000000000005</v>
      </c>
      <c r="L345" s="40">
        <f>SUM('Data 1'!$J345*'Data 1'!$C345)</f>
        <v>384</v>
      </c>
      <c r="M345" s="40">
        <f>'Data 1'!$C345*'Data 1'!$K345</f>
        <v>456.96000000000004</v>
      </c>
      <c r="N345" s="40">
        <f>'Data 1'!$M345-'Data 1'!$L345</f>
        <v>72.960000000000036</v>
      </c>
      <c r="O345" s="37">
        <f>DAY('Data 1'!$A345)</f>
        <v>30</v>
      </c>
      <c r="P345" s="37" t="str">
        <f>TEXT('Data 1'!$A345,"mmm")</f>
        <v>Apr</v>
      </c>
      <c r="Q345" s="41">
        <f>YEAR('Data 1'!$A345)</f>
        <v>2022</v>
      </c>
    </row>
    <row r="346" spans="1:17" x14ac:dyDescent="0.3">
      <c r="A346" s="35">
        <v>44682</v>
      </c>
      <c r="B346" s="36" t="s">
        <v>32</v>
      </c>
      <c r="C346" s="37">
        <v>9</v>
      </c>
      <c r="D346" s="37" t="s">
        <v>16</v>
      </c>
      <c r="E346" s="37" t="s">
        <v>17</v>
      </c>
      <c r="F346" s="38">
        <v>0</v>
      </c>
      <c r="G346" s="39" t="str">
        <f>VLOOKUP('Data 1'!$B346,'Data 2'!$A$1:$F$46,MATCH('Data 1'!G$1,'Data 2'!$A$1:$F$1,0),0)</f>
        <v>Product34</v>
      </c>
      <c r="H346" s="39" t="str">
        <f>VLOOKUP('Data 1'!$B346,'Data 2'!$A$1:$F$46,MATCH('Data 1'!H$1,'Data 2'!$A$1:$F$1,0),0)</f>
        <v>Category04</v>
      </c>
      <c r="I346" s="39" t="str">
        <f>VLOOKUP('Data 1'!$B346,'Data 2'!$A$1:$F$46,MATCH('Data 1'!I$1,'Data 2'!$A$1:$F$1,0),0)</f>
        <v>Lt</v>
      </c>
      <c r="J346" s="39">
        <f>VLOOKUP('Data 1'!$B346,'Data 2'!$A$1:$F$46,MATCH('Data 1'!J$1,'Data 2'!$A$1:$F$1,0),0)</f>
        <v>55</v>
      </c>
      <c r="K346" s="39">
        <f>VLOOKUP('Data 1'!$B346,'Data 2'!$A$1:$F$46,MATCH('Data 1'!K$1,'Data 2'!$A$1:$F$1,0),0)</f>
        <v>58.3</v>
      </c>
      <c r="L346" s="40">
        <f>SUM('Data 1'!$J346*'Data 1'!$C346)</f>
        <v>495</v>
      </c>
      <c r="M346" s="40">
        <f>'Data 1'!$C346*'Data 1'!$K346</f>
        <v>524.69999999999993</v>
      </c>
      <c r="N346" s="40">
        <f>'Data 1'!$M346-'Data 1'!$L346</f>
        <v>29.699999999999932</v>
      </c>
      <c r="O346" s="37">
        <f>DAY('Data 1'!$A346)</f>
        <v>1</v>
      </c>
      <c r="P346" s="37" t="str">
        <f>TEXT('Data 1'!$A346,"mmm")</f>
        <v>May</v>
      </c>
      <c r="Q346" s="41">
        <f>YEAR('Data 1'!$A346)</f>
        <v>2022</v>
      </c>
    </row>
    <row r="347" spans="1:17" x14ac:dyDescent="0.3">
      <c r="A347" s="35">
        <v>44682</v>
      </c>
      <c r="B347" s="36" t="s">
        <v>57</v>
      </c>
      <c r="C347" s="37">
        <v>6</v>
      </c>
      <c r="D347" s="37" t="s">
        <v>17</v>
      </c>
      <c r="E347" s="37" t="s">
        <v>17</v>
      </c>
      <c r="F347" s="38">
        <v>0</v>
      </c>
      <c r="G347" s="42" t="str">
        <f>VLOOKUP('Data 1'!$B347,'Data 2'!$A$1:$F$46,MATCH('Data 1'!G$1,'Data 2'!$A$1:$F$1,0),0)</f>
        <v>Product33</v>
      </c>
      <c r="H347" s="42" t="str">
        <f>VLOOKUP('Data 1'!$B347,'Data 2'!$A$1:$F$46,MATCH('Data 1'!H$1,'Data 2'!$A$1:$F$1,0),0)</f>
        <v>Category04</v>
      </c>
      <c r="I347" s="42" t="str">
        <f>VLOOKUP('Data 1'!$B347,'Data 2'!$A$1:$F$46,MATCH('Data 1'!I$1,'Data 2'!$A$1:$F$1,0),0)</f>
        <v>Kg</v>
      </c>
      <c r="J347" s="42">
        <f>VLOOKUP('Data 1'!$B347,'Data 2'!$A$1:$F$46,MATCH('Data 1'!J$1,'Data 2'!$A$1:$F$1,0),0)</f>
        <v>95</v>
      </c>
      <c r="K347" s="42">
        <f>VLOOKUP('Data 1'!$B347,'Data 2'!$A$1:$F$46,MATCH('Data 1'!K$1,'Data 2'!$A$1:$F$1,0),0)</f>
        <v>119.7</v>
      </c>
      <c r="L347" s="40">
        <f>SUM('Data 1'!$J347*'Data 1'!$C347)</f>
        <v>570</v>
      </c>
      <c r="M347" s="40">
        <f>'Data 1'!$C347*'Data 1'!$K347</f>
        <v>718.2</v>
      </c>
      <c r="N347" s="40">
        <f>'Data 1'!$M347-'Data 1'!$L347</f>
        <v>148.20000000000005</v>
      </c>
      <c r="O347" s="37">
        <f>DAY('Data 1'!$A347)</f>
        <v>1</v>
      </c>
      <c r="P347" s="37" t="str">
        <f>TEXT('Data 1'!$A347,"mmm")</f>
        <v>May</v>
      </c>
      <c r="Q347" s="41">
        <f>YEAR('Data 1'!$A347)</f>
        <v>2022</v>
      </c>
    </row>
    <row r="348" spans="1:17" x14ac:dyDescent="0.3">
      <c r="A348" s="35">
        <v>44683</v>
      </c>
      <c r="B348" s="36" t="s">
        <v>20</v>
      </c>
      <c r="C348" s="37">
        <v>4</v>
      </c>
      <c r="D348" s="37" t="s">
        <v>17</v>
      </c>
      <c r="E348" s="37" t="s">
        <v>19</v>
      </c>
      <c r="F348" s="38">
        <v>0</v>
      </c>
      <c r="G348" s="39" t="str">
        <f>VLOOKUP('Data 1'!$B348,'Data 2'!$A$1:$F$46,MATCH('Data 1'!G$1,'Data 2'!$A$1:$F$1,0),0)</f>
        <v>Product13</v>
      </c>
      <c r="H348" s="39" t="str">
        <f>VLOOKUP('Data 1'!$B348,'Data 2'!$A$1:$F$46,MATCH('Data 1'!H$1,'Data 2'!$A$1:$F$1,0),0)</f>
        <v>Category02</v>
      </c>
      <c r="I348" s="39" t="str">
        <f>VLOOKUP('Data 1'!$B348,'Data 2'!$A$1:$F$46,MATCH('Data 1'!I$1,'Data 2'!$A$1:$F$1,0),0)</f>
        <v>Kg</v>
      </c>
      <c r="J348" s="39">
        <f>VLOOKUP('Data 1'!$B348,'Data 2'!$A$1:$F$46,MATCH('Data 1'!J$1,'Data 2'!$A$1:$F$1,0),0)</f>
        <v>112</v>
      </c>
      <c r="K348" s="39">
        <f>VLOOKUP('Data 1'!$B348,'Data 2'!$A$1:$F$46,MATCH('Data 1'!K$1,'Data 2'!$A$1:$F$1,0),0)</f>
        <v>122.08</v>
      </c>
      <c r="L348" s="40">
        <f>SUM('Data 1'!$J348*'Data 1'!$C348)</f>
        <v>448</v>
      </c>
      <c r="M348" s="40">
        <f>'Data 1'!$C348*'Data 1'!$K348</f>
        <v>488.32</v>
      </c>
      <c r="N348" s="40">
        <f>'Data 1'!$M348-'Data 1'!$L348</f>
        <v>40.319999999999993</v>
      </c>
      <c r="O348" s="37">
        <f>DAY('Data 1'!$A348)</f>
        <v>2</v>
      </c>
      <c r="P348" s="37" t="str">
        <f>TEXT('Data 1'!$A348,"mmm")</f>
        <v>May</v>
      </c>
      <c r="Q348" s="41">
        <f>YEAR('Data 1'!$A348)</f>
        <v>2022</v>
      </c>
    </row>
    <row r="349" spans="1:17" x14ac:dyDescent="0.3">
      <c r="A349" s="35">
        <v>44685</v>
      </c>
      <c r="B349" s="36" t="s">
        <v>33</v>
      </c>
      <c r="C349" s="37">
        <v>10</v>
      </c>
      <c r="D349" s="37" t="s">
        <v>21</v>
      </c>
      <c r="E349" s="37" t="s">
        <v>17</v>
      </c>
      <c r="F349" s="38">
        <v>0</v>
      </c>
      <c r="G349" s="42" t="str">
        <f>VLOOKUP('Data 1'!$B349,'Data 2'!$A$1:$F$46,MATCH('Data 1'!G$1,'Data 2'!$A$1:$F$1,0),0)</f>
        <v>Product20</v>
      </c>
      <c r="H349" s="42" t="str">
        <f>VLOOKUP('Data 1'!$B349,'Data 2'!$A$1:$F$46,MATCH('Data 1'!H$1,'Data 2'!$A$1:$F$1,0),0)</f>
        <v>Category03</v>
      </c>
      <c r="I349" s="42" t="str">
        <f>VLOOKUP('Data 1'!$B349,'Data 2'!$A$1:$F$46,MATCH('Data 1'!I$1,'Data 2'!$A$1:$F$1,0),0)</f>
        <v>Lt</v>
      </c>
      <c r="J349" s="42">
        <f>VLOOKUP('Data 1'!$B349,'Data 2'!$A$1:$F$46,MATCH('Data 1'!J$1,'Data 2'!$A$1:$F$1,0),0)</f>
        <v>61</v>
      </c>
      <c r="K349" s="42">
        <f>VLOOKUP('Data 1'!$B349,'Data 2'!$A$1:$F$46,MATCH('Data 1'!K$1,'Data 2'!$A$1:$F$1,0),0)</f>
        <v>76.25</v>
      </c>
      <c r="L349" s="40">
        <f>SUM('Data 1'!$J349*'Data 1'!$C349)</f>
        <v>610</v>
      </c>
      <c r="M349" s="40">
        <f>'Data 1'!$C349*'Data 1'!$K349</f>
        <v>762.5</v>
      </c>
      <c r="N349" s="40">
        <f>'Data 1'!$M349-'Data 1'!$L349</f>
        <v>152.5</v>
      </c>
      <c r="O349" s="37">
        <f>DAY('Data 1'!$A349)</f>
        <v>4</v>
      </c>
      <c r="P349" s="37" t="str">
        <f>TEXT('Data 1'!$A349,"mmm")</f>
        <v>May</v>
      </c>
      <c r="Q349" s="41">
        <f>YEAR('Data 1'!$A349)</f>
        <v>2022</v>
      </c>
    </row>
    <row r="350" spans="1:17" x14ac:dyDescent="0.3">
      <c r="A350" s="35">
        <v>44687</v>
      </c>
      <c r="B350" s="36" t="s">
        <v>32</v>
      </c>
      <c r="C350" s="37">
        <v>7</v>
      </c>
      <c r="D350" s="37" t="s">
        <v>21</v>
      </c>
      <c r="E350" s="37" t="s">
        <v>17</v>
      </c>
      <c r="F350" s="38">
        <v>0</v>
      </c>
      <c r="G350" s="39" t="str">
        <f>VLOOKUP('Data 1'!$B350,'Data 2'!$A$1:$F$46,MATCH('Data 1'!G$1,'Data 2'!$A$1:$F$1,0),0)</f>
        <v>Product34</v>
      </c>
      <c r="H350" s="39" t="str">
        <f>VLOOKUP('Data 1'!$B350,'Data 2'!$A$1:$F$46,MATCH('Data 1'!H$1,'Data 2'!$A$1:$F$1,0),0)</f>
        <v>Category04</v>
      </c>
      <c r="I350" s="39" t="str">
        <f>VLOOKUP('Data 1'!$B350,'Data 2'!$A$1:$F$46,MATCH('Data 1'!I$1,'Data 2'!$A$1:$F$1,0),0)</f>
        <v>Lt</v>
      </c>
      <c r="J350" s="39">
        <f>VLOOKUP('Data 1'!$B350,'Data 2'!$A$1:$F$46,MATCH('Data 1'!J$1,'Data 2'!$A$1:$F$1,0),0)</f>
        <v>55</v>
      </c>
      <c r="K350" s="39">
        <f>VLOOKUP('Data 1'!$B350,'Data 2'!$A$1:$F$46,MATCH('Data 1'!K$1,'Data 2'!$A$1:$F$1,0),0)</f>
        <v>58.3</v>
      </c>
      <c r="L350" s="40">
        <f>SUM('Data 1'!$J350*'Data 1'!$C350)</f>
        <v>385</v>
      </c>
      <c r="M350" s="40">
        <f>'Data 1'!$C350*'Data 1'!$K350</f>
        <v>408.09999999999997</v>
      </c>
      <c r="N350" s="40">
        <f>'Data 1'!$M350-'Data 1'!$L350</f>
        <v>23.099999999999966</v>
      </c>
      <c r="O350" s="37">
        <f>DAY('Data 1'!$A350)</f>
        <v>6</v>
      </c>
      <c r="P350" s="37" t="str">
        <f>TEXT('Data 1'!$A350,"mmm")</f>
        <v>May</v>
      </c>
      <c r="Q350" s="41">
        <f>YEAR('Data 1'!$A350)</f>
        <v>2022</v>
      </c>
    </row>
    <row r="351" spans="1:17" x14ac:dyDescent="0.3">
      <c r="A351" s="35">
        <v>44688</v>
      </c>
      <c r="B351" s="36" t="s">
        <v>46</v>
      </c>
      <c r="C351" s="37">
        <v>4</v>
      </c>
      <c r="D351" s="37" t="s">
        <v>17</v>
      </c>
      <c r="E351" s="37" t="s">
        <v>19</v>
      </c>
      <c r="F351" s="38">
        <v>0</v>
      </c>
      <c r="G351" s="42" t="str">
        <f>VLOOKUP('Data 1'!$B351,'Data 2'!$A$1:$F$46,MATCH('Data 1'!G$1,'Data 2'!$A$1:$F$1,0),0)</f>
        <v>Product15</v>
      </c>
      <c r="H351" s="42" t="str">
        <f>VLOOKUP('Data 1'!$B351,'Data 2'!$A$1:$F$46,MATCH('Data 1'!H$1,'Data 2'!$A$1:$F$1,0),0)</f>
        <v>Category02</v>
      </c>
      <c r="I351" s="42" t="str">
        <f>VLOOKUP('Data 1'!$B351,'Data 2'!$A$1:$F$46,MATCH('Data 1'!I$1,'Data 2'!$A$1:$F$1,0),0)</f>
        <v>No.</v>
      </c>
      <c r="J351" s="42">
        <f>VLOOKUP('Data 1'!$B351,'Data 2'!$A$1:$F$46,MATCH('Data 1'!J$1,'Data 2'!$A$1:$F$1,0),0)</f>
        <v>12</v>
      </c>
      <c r="K351" s="42">
        <f>VLOOKUP('Data 1'!$B351,'Data 2'!$A$1:$F$46,MATCH('Data 1'!K$1,'Data 2'!$A$1:$F$1,0),0)</f>
        <v>15.719999999999999</v>
      </c>
      <c r="L351" s="40">
        <f>SUM('Data 1'!$J351*'Data 1'!$C351)</f>
        <v>48</v>
      </c>
      <c r="M351" s="40">
        <f>'Data 1'!$C351*'Data 1'!$K351</f>
        <v>62.879999999999995</v>
      </c>
      <c r="N351" s="40">
        <f>'Data 1'!$M351-'Data 1'!$L351</f>
        <v>14.879999999999995</v>
      </c>
      <c r="O351" s="37">
        <f>DAY('Data 1'!$A351)</f>
        <v>7</v>
      </c>
      <c r="P351" s="37" t="str">
        <f>TEXT('Data 1'!$A351,"mmm")</f>
        <v>May</v>
      </c>
      <c r="Q351" s="41">
        <f>YEAR('Data 1'!$A351)</f>
        <v>2022</v>
      </c>
    </row>
    <row r="352" spans="1:17" x14ac:dyDescent="0.3">
      <c r="A352" s="35">
        <v>44688</v>
      </c>
      <c r="B352" s="36" t="s">
        <v>45</v>
      </c>
      <c r="C352" s="37">
        <v>1</v>
      </c>
      <c r="D352" s="37" t="s">
        <v>17</v>
      </c>
      <c r="E352" s="37" t="s">
        <v>17</v>
      </c>
      <c r="F352" s="38">
        <v>0</v>
      </c>
      <c r="G352" s="39" t="str">
        <f>VLOOKUP('Data 1'!$B352,'Data 2'!$A$1:$F$46,MATCH('Data 1'!G$1,'Data 2'!$A$1:$F$1,0),0)</f>
        <v>Product27</v>
      </c>
      <c r="H352" s="39" t="str">
        <f>VLOOKUP('Data 1'!$B352,'Data 2'!$A$1:$F$46,MATCH('Data 1'!H$1,'Data 2'!$A$1:$F$1,0),0)</f>
        <v>Category04</v>
      </c>
      <c r="I352" s="39" t="str">
        <f>VLOOKUP('Data 1'!$B352,'Data 2'!$A$1:$F$46,MATCH('Data 1'!I$1,'Data 2'!$A$1:$F$1,0),0)</f>
        <v>Lt</v>
      </c>
      <c r="J352" s="39">
        <f>VLOOKUP('Data 1'!$B352,'Data 2'!$A$1:$F$46,MATCH('Data 1'!J$1,'Data 2'!$A$1:$F$1,0),0)</f>
        <v>48</v>
      </c>
      <c r="K352" s="39">
        <f>VLOOKUP('Data 1'!$B352,'Data 2'!$A$1:$F$46,MATCH('Data 1'!K$1,'Data 2'!$A$1:$F$1,0),0)</f>
        <v>57.120000000000005</v>
      </c>
      <c r="L352" s="40">
        <f>SUM('Data 1'!$J352*'Data 1'!$C352)</f>
        <v>48</v>
      </c>
      <c r="M352" s="40">
        <f>'Data 1'!$C352*'Data 1'!$K352</f>
        <v>57.120000000000005</v>
      </c>
      <c r="N352" s="40">
        <f>'Data 1'!$M352-'Data 1'!$L352</f>
        <v>9.1200000000000045</v>
      </c>
      <c r="O352" s="37">
        <f>DAY('Data 1'!$A352)</f>
        <v>7</v>
      </c>
      <c r="P352" s="37" t="str">
        <f>TEXT('Data 1'!$A352,"mmm")</f>
        <v>May</v>
      </c>
      <c r="Q352" s="41">
        <f>YEAR('Data 1'!$A352)</f>
        <v>2022</v>
      </c>
    </row>
    <row r="353" spans="1:17" x14ac:dyDescent="0.3">
      <c r="A353" s="35">
        <v>44689</v>
      </c>
      <c r="B353" s="36" t="s">
        <v>41</v>
      </c>
      <c r="C353" s="37">
        <v>7</v>
      </c>
      <c r="D353" s="37" t="s">
        <v>17</v>
      </c>
      <c r="E353" s="37" t="s">
        <v>17</v>
      </c>
      <c r="F353" s="38">
        <v>0</v>
      </c>
      <c r="G353" s="42" t="str">
        <f>VLOOKUP('Data 1'!$B353,'Data 2'!$A$1:$F$46,MATCH('Data 1'!G$1,'Data 2'!$A$1:$F$1,0),0)</f>
        <v>Product22</v>
      </c>
      <c r="H353" s="42" t="str">
        <f>VLOOKUP('Data 1'!$B353,'Data 2'!$A$1:$F$46,MATCH('Data 1'!H$1,'Data 2'!$A$1:$F$1,0),0)</f>
        <v>Category03</v>
      </c>
      <c r="I353" s="42" t="str">
        <f>VLOOKUP('Data 1'!$B353,'Data 2'!$A$1:$F$46,MATCH('Data 1'!I$1,'Data 2'!$A$1:$F$1,0),0)</f>
        <v>Ft</v>
      </c>
      <c r="J353" s="42">
        <f>VLOOKUP('Data 1'!$B353,'Data 2'!$A$1:$F$46,MATCH('Data 1'!J$1,'Data 2'!$A$1:$F$1,0),0)</f>
        <v>121</v>
      </c>
      <c r="K353" s="42">
        <f>VLOOKUP('Data 1'!$B353,'Data 2'!$A$1:$F$46,MATCH('Data 1'!K$1,'Data 2'!$A$1:$F$1,0),0)</f>
        <v>141.57</v>
      </c>
      <c r="L353" s="40">
        <f>SUM('Data 1'!$J353*'Data 1'!$C353)</f>
        <v>847</v>
      </c>
      <c r="M353" s="40">
        <f>'Data 1'!$C353*'Data 1'!$K353</f>
        <v>990.99</v>
      </c>
      <c r="N353" s="40">
        <f>'Data 1'!$M353-'Data 1'!$L353</f>
        <v>143.99</v>
      </c>
      <c r="O353" s="37">
        <f>DAY('Data 1'!$A353)</f>
        <v>8</v>
      </c>
      <c r="P353" s="37" t="str">
        <f>TEXT('Data 1'!$A353,"mmm")</f>
        <v>May</v>
      </c>
      <c r="Q353" s="41">
        <f>YEAR('Data 1'!$A353)</f>
        <v>2022</v>
      </c>
    </row>
    <row r="354" spans="1:17" x14ac:dyDescent="0.3">
      <c r="A354" s="35">
        <v>44690</v>
      </c>
      <c r="B354" s="36" t="s">
        <v>58</v>
      </c>
      <c r="C354" s="37">
        <v>12</v>
      </c>
      <c r="D354" s="37" t="s">
        <v>16</v>
      </c>
      <c r="E354" s="37" t="s">
        <v>19</v>
      </c>
      <c r="F354" s="38">
        <v>0</v>
      </c>
      <c r="G354" s="39" t="str">
        <f>VLOOKUP('Data 1'!$B354,'Data 2'!$A$1:$F$46,MATCH('Data 1'!G$1,'Data 2'!$A$1:$F$1,0),0)</f>
        <v>Product17</v>
      </c>
      <c r="H354" s="39" t="str">
        <f>VLOOKUP('Data 1'!$B354,'Data 2'!$A$1:$F$46,MATCH('Data 1'!H$1,'Data 2'!$A$1:$F$1,0),0)</f>
        <v>Category02</v>
      </c>
      <c r="I354" s="39" t="str">
        <f>VLOOKUP('Data 1'!$B354,'Data 2'!$A$1:$F$46,MATCH('Data 1'!I$1,'Data 2'!$A$1:$F$1,0),0)</f>
        <v>Ft</v>
      </c>
      <c r="J354" s="39">
        <f>VLOOKUP('Data 1'!$B354,'Data 2'!$A$1:$F$46,MATCH('Data 1'!J$1,'Data 2'!$A$1:$F$1,0),0)</f>
        <v>134</v>
      </c>
      <c r="K354" s="39">
        <f>VLOOKUP('Data 1'!$B354,'Data 2'!$A$1:$F$46,MATCH('Data 1'!K$1,'Data 2'!$A$1:$F$1,0),0)</f>
        <v>156.78</v>
      </c>
      <c r="L354" s="40">
        <f>SUM('Data 1'!$J354*'Data 1'!$C354)</f>
        <v>1608</v>
      </c>
      <c r="M354" s="40">
        <f>'Data 1'!$C354*'Data 1'!$K354</f>
        <v>1881.3600000000001</v>
      </c>
      <c r="N354" s="40">
        <f>'Data 1'!$M354-'Data 1'!$L354</f>
        <v>273.36000000000013</v>
      </c>
      <c r="O354" s="37">
        <f>DAY('Data 1'!$A354)</f>
        <v>9</v>
      </c>
      <c r="P354" s="37" t="str">
        <f>TEXT('Data 1'!$A354,"mmm")</f>
        <v>May</v>
      </c>
      <c r="Q354" s="41">
        <f>YEAR('Data 1'!$A354)</f>
        <v>2022</v>
      </c>
    </row>
    <row r="355" spans="1:17" x14ac:dyDescent="0.3">
      <c r="A355" s="35">
        <v>44691</v>
      </c>
      <c r="B355" s="36" t="s">
        <v>56</v>
      </c>
      <c r="C355" s="37">
        <v>6</v>
      </c>
      <c r="D355" s="37" t="s">
        <v>21</v>
      </c>
      <c r="E355" s="37" t="s">
        <v>17</v>
      </c>
      <c r="F355" s="38">
        <v>0</v>
      </c>
      <c r="G355" s="42" t="str">
        <f>VLOOKUP('Data 1'!$B355,'Data 2'!$A$1:$F$46,MATCH('Data 1'!G$1,'Data 2'!$A$1:$F$1,0),0)</f>
        <v>Product09</v>
      </c>
      <c r="H355" s="42" t="str">
        <f>VLOOKUP('Data 1'!$B355,'Data 2'!$A$1:$F$46,MATCH('Data 1'!H$1,'Data 2'!$A$1:$F$1,0),0)</f>
        <v>Category03</v>
      </c>
      <c r="I355" s="42" t="str">
        <f>VLOOKUP('Data 1'!$B355,'Data 2'!$A$1:$F$46,MATCH('Data 1'!I$1,'Data 2'!$A$1:$F$1,0),0)</f>
        <v>No.</v>
      </c>
      <c r="J355" s="42">
        <f>VLOOKUP('Data 1'!$B355,'Data 2'!$A$1:$F$46,MATCH('Data 1'!J$1,'Data 2'!$A$1:$F$1,0),0)</f>
        <v>6</v>
      </c>
      <c r="K355" s="42">
        <f>VLOOKUP('Data 1'!$B355,'Data 2'!$A$1:$F$46,MATCH('Data 1'!K$1,'Data 2'!$A$1:$F$1,0),0)</f>
        <v>7.8599999999999994</v>
      </c>
      <c r="L355" s="40">
        <f>SUM('Data 1'!$J355*'Data 1'!$C355)</f>
        <v>36</v>
      </c>
      <c r="M355" s="40">
        <f>'Data 1'!$C355*'Data 1'!$K355</f>
        <v>47.16</v>
      </c>
      <c r="N355" s="40">
        <f>'Data 1'!$M355-'Data 1'!$L355</f>
        <v>11.159999999999997</v>
      </c>
      <c r="O355" s="37">
        <f>DAY('Data 1'!$A355)</f>
        <v>10</v>
      </c>
      <c r="P355" s="37" t="str">
        <f>TEXT('Data 1'!$A355,"mmm")</f>
        <v>May</v>
      </c>
      <c r="Q355" s="41">
        <f>YEAR('Data 1'!$A355)</f>
        <v>2022</v>
      </c>
    </row>
    <row r="356" spans="1:17" x14ac:dyDescent="0.3">
      <c r="A356" s="35">
        <v>44693</v>
      </c>
      <c r="B356" s="36" t="s">
        <v>50</v>
      </c>
      <c r="C356" s="37">
        <v>7</v>
      </c>
      <c r="D356" s="37" t="s">
        <v>17</v>
      </c>
      <c r="E356" s="37" t="s">
        <v>19</v>
      </c>
      <c r="F356" s="38">
        <v>0</v>
      </c>
      <c r="G356" s="39" t="str">
        <f>VLOOKUP('Data 1'!$B356,'Data 2'!$A$1:$F$46,MATCH('Data 1'!G$1,'Data 2'!$A$1:$F$1,0),0)</f>
        <v>Product11</v>
      </c>
      <c r="H356" s="39" t="str">
        <f>VLOOKUP('Data 1'!$B356,'Data 2'!$A$1:$F$46,MATCH('Data 1'!H$1,'Data 2'!$A$1:$F$1,0),0)</f>
        <v>Category02</v>
      </c>
      <c r="I356" s="39" t="str">
        <f>VLOOKUP('Data 1'!$B356,'Data 2'!$A$1:$F$46,MATCH('Data 1'!I$1,'Data 2'!$A$1:$F$1,0),0)</f>
        <v>Lt</v>
      </c>
      <c r="J356" s="39">
        <f>VLOOKUP('Data 1'!$B356,'Data 2'!$A$1:$F$46,MATCH('Data 1'!J$1,'Data 2'!$A$1:$F$1,0),0)</f>
        <v>44</v>
      </c>
      <c r="K356" s="39">
        <f>VLOOKUP('Data 1'!$B356,'Data 2'!$A$1:$F$46,MATCH('Data 1'!K$1,'Data 2'!$A$1:$F$1,0),0)</f>
        <v>48.4</v>
      </c>
      <c r="L356" s="40">
        <f>SUM('Data 1'!$J356*'Data 1'!$C356)</f>
        <v>308</v>
      </c>
      <c r="M356" s="40">
        <f>'Data 1'!$C356*'Data 1'!$K356</f>
        <v>338.8</v>
      </c>
      <c r="N356" s="40">
        <f>'Data 1'!$M356-'Data 1'!$L356</f>
        <v>30.800000000000011</v>
      </c>
      <c r="O356" s="37">
        <f>DAY('Data 1'!$A356)</f>
        <v>12</v>
      </c>
      <c r="P356" s="37" t="str">
        <f>TEXT('Data 1'!$A356,"mmm")</f>
        <v>May</v>
      </c>
      <c r="Q356" s="41">
        <f>YEAR('Data 1'!$A356)</f>
        <v>2022</v>
      </c>
    </row>
    <row r="357" spans="1:17" x14ac:dyDescent="0.3">
      <c r="A357" s="35">
        <v>44694</v>
      </c>
      <c r="B357" s="36" t="s">
        <v>54</v>
      </c>
      <c r="C357" s="37">
        <v>5</v>
      </c>
      <c r="D357" s="37" t="s">
        <v>21</v>
      </c>
      <c r="E357" s="37" t="s">
        <v>17</v>
      </c>
      <c r="F357" s="38">
        <v>0</v>
      </c>
      <c r="G357" s="42" t="str">
        <f>VLOOKUP('Data 1'!$B357,'Data 2'!$A$1:$F$46,MATCH('Data 1'!G$1,'Data 2'!$A$1:$F$1,0),0)</f>
        <v>Product12</v>
      </c>
      <c r="H357" s="42" t="str">
        <f>VLOOKUP('Data 1'!$B357,'Data 2'!$A$1:$F$46,MATCH('Data 1'!H$1,'Data 2'!$A$1:$F$1,0),0)</f>
        <v>Category02</v>
      </c>
      <c r="I357" s="42" t="str">
        <f>VLOOKUP('Data 1'!$B357,'Data 2'!$A$1:$F$46,MATCH('Data 1'!I$1,'Data 2'!$A$1:$F$1,0),0)</f>
        <v>Kg</v>
      </c>
      <c r="J357" s="42">
        <f>VLOOKUP('Data 1'!$B357,'Data 2'!$A$1:$F$46,MATCH('Data 1'!J$1,'Data 2'!$A$1:$F$1,0),0)</f>
        <v>73</v>
      </c>
      <c r="K357" s="42">
        <f>VLOOKUP('Data 1'!$B357,'Data 2'!$A$1:$F$46,MATCH('Data 1'!K$1,'Data 2'!$A$1:$F$1,0),0)</f>
        <v>94.17</v>
      </c>
      <c r="L357" s="40">
        <f>SUM('Data 1'!$J357*'Data 1'!$C357)</f>
        <v>365</v>
      </c>
      <c r="M357" s="40">
        <f>'Data 1'!$C357*'Data 1'!$K357</f>
        <v>470.85</v>
      </c>
      <c r="N357" s="40">
        <f>'Data 1'!$M357-'Data 1'!$L357</f>
        <v>105.85000000000002</v>
      </c>
      <c r="O357" s="37">
        <f>DAY('Data 1'!$A357)</f>
        <v>13</v>
      </c>
      <c r="P357" s="37" t="str">
        <f>TEXT('Data 1'!$A357,"mmm")</f>
        <v>May</v>
      </c>
      <c r="Q357" s="41">
        <f>YEAR('Data 1'!$A357)</f>
        <v>2022</v>
      </c>
    </row>
    <row r="358" spans="1:17" x14ac:dyDescent="0.3">
      <c r="A358" s="35">
        <v>44695</v>
      </c>
      <c r="B358" s="36" t="s">
        <v>44</v>
      </c>
      <c r="C358" s="37">
        <v>14</v>
      </c>
      <c r="D358" s="37" t="s">
        <v>21</v>
      </c>
      <c r="E358" s="37" t="s">
        <v>19</v>
      </c>
      <c r="F358" s="38">
        <v>0</v>
      </c>
      <c r="G358" s="39" t="str">
        <f>VLOOKUP('Data 1'!$B358,'Data 2'!$A$1:$F$46,MATCH('Data 1'!G$1,'Data 2'!$A$1:$F$1,0),0)</f>
        <v>Product08</v>
      </c>
      <c r="H358" s="39" t="str">
        <f>VLOOKUP('Data 1'!$B358,'Data 2'!$A$1:$F$46,MATCH('Data 1'!H$1,'Data 2'!$A$1:$F$1,0),0)</f>
        <v>Category01</v>
      </c>
      <c r="I358" s="39" t="str">
        <f>VLOOKUP('Data 1'!$B358,'Data 2'!$A$1:$F$46,MATCH('Data 1'!I$1,'Data 2'!$A$1:$F$1,0),0)</f>
        <v>Kg</v>
      </c>
      <c r="J358" s="39">
        <f>VLOOKUP('Data 1'!$B358,'Data 2'!$A$1:$F$46,MATCH('Data 1'!J$1,'Data 2'!$A$1:$F$1,0),0)</f>
        <v>83</v>
      </c>
      <c r="K358" s="39">
        <f>VLOOKUP('Data 1'!$B358,'Data 2'!$A$1:$F$46,MATCH('Data 1'!K$1,'Data 2'!$A$1:$F$1,0),0)</f>
        <v>94.62</v>
      </c>
      <c r="L358" s="40">
        <f>SUM('Data 1'!$J358*'Data 1'!$C358)</f>
        <v>1162</v>
      </c>
      <c r="M358" s="40">
        <f>'Data 1'!$C358*'Data 1'!$K358</f>
        <v>1324.68</v>
      </c>
      <c r="N358" s="40">
        <f>'Data 1'!$M358-'Data 1'!$L358</f>
        <v>162.68000000000006</v>
      </c>
      <c r="O358" s="37">
        <f>DAY('Data 1'!$A358)</f>
        <v>14</v>
      </c>
      <c r="P358" s="37" t="str">
        <f>TEXT('Data 1'!$A358,"mmm")</f>
        <v>May</v>
      </c>
      <c r="Q358" s="41">
        <f>YEAR('Data 1'!$A358)</f>
        <v>2022</v>
      </c>
    </row>
    <row r="359" spans="1:17" x14ac:dyDescent="0.3">
      <c r="A359" s="35">
        <v>44696</v>
      </c>
      <c r="B359" s="36" t="s">
        <v>33</v>
      </c>
      <c r="C359" s="37">
        <v>5</v>
      </c>
      <c r="D359" s="37" t="s">
        <v>17</v>
      </c>
      <c r="E359" s="37" t="s">
        <v>17</v>
      </c>
      <c r="F359" s="38">
        <v>0</v>
      </c>
      <c r="G359" s="42" t="str">
        <f>VLOOKUP('Data 1'!$B359,'Data 2'!$A$1:$F$46,MATCH('Data 1'!G$1,'Data 2'!$A$1:$F$1,0),0)</f>
        <v>Product20</v>
      </c>
      <c r="H359" s="42" t="str">
        <f>VLOOKUP('Data 1'!$B359,'Data 2'!$A$1:$F$46,MATCH('Data 1'!H$1,'Data 2'!$A$1:$F$1,0),0)</f>
        <v>Category03</v>
      </c>
      <c r="I359" s="42" t="str">
        <f>VLOOKUP('Data 1'!$B359,'Data 2'!$A$1:$F$46,MATCH('Data 1'!I$1,'Data 2'!$A$1:$F$1,0),0)</f>
        <v>Lt</v>
      </c>
      <c r="J359" s="42">
        <f>VLOOKUP('Data 1'!$B359,'Data 2'!$A$1:$F$46,MATCH('Data 1'!J$1,'Data 2'!$A$1:$F$1,0),0)</f>
        <v>61</v>
      </c>
      <c r="K359" s="42">
        <f>VLOOKUP('Data 1'!$B359,'Data 2'!$A$1:$F$46,MATCH('Data 1'!K$1,'Data 2'!$A$1:$F$1,0),0)</f>
        <v>76.25</v>
      </c>
      <c r="L359" s="40">
        <f>SUM('Data 1'!$J359*'Data 1'!$C359)</f>
        <v>305</v>
      </c>
      <c r="M359" s="40">
        <f>'Data 1'!$C359*'Data 1'!$K359</f>
        <v>381.25</v>
      </c>
      <c r="N359" s="40">
        <f>'Data 1'!$M359-'Data 1'!$L359</f>
        <v>76.25</v>
      </c>
      <c r="O359" s="37">
        <f>DAY('Data 1'!$A359)</f>
        <v>15</v>
      </c>
      <c r="P359" s="37" t="str">
        <f>TEXT('Data 1'!$A359,"mmm")</f>
        <v>May</v>
      </c>
      <c r="Q359" s="41">
        <f>YEAR('Data 1'!$A359)</f>
        <v>2022</v>
      </c>
    </row>
    <row r="360" spans="1:17" x14ac:dyDescent="0.3">
      <c r="A360" s="35">
        <v>44697</v>
      </c>
      <c r="B360" s="36" t="s">
        <v>39</v>
      </c>
      <c r="C360" s="37">
        <v>13</v>
      </c>
      <c r="D360" s="37" t="s">
        <v>21</v>
      </c>
      <c r="E360" s="37" t="s">
        <v>19</v>
      </c>
      <c r="F360" s="38">
        <v>0</v>
      </c>
      <c r="G360" s="39" t="str">
        <f>VLOOKUP('Data 1'!$B360,'Data 2'!$A$1:$F$46,MATCH('Data 1'!G$1,'Data 2'!$A$1:$F$1,0),0)</f>
        <v>Product10</v>
      </c>
      <c r="H360" s="39" t="str">
        <f>VLOOKUP('Data 1'!$B360,'Data 2'!$A$1:$F$46,MATCH('Data 1'!H$1,'Data 2'!$A$1:$F$1,0),0)</f>
        <v>Category02</v>
      </c>
      <c r="I360" s="39" t="str">
        <f>VLOOKUP('Data 1'!$B360,'Data 2'!$A$1:$F$46,MATCH('Data 1'!I$1,'Data 2'!$A$1:$F$1,0),0)</f>
        <v>Ft</v>
      </c>
      <c r="J360" s="39">
        <f>VLOOKUP('Data 1'!$B360,'Data 2'!$A$1:$F$46,MATCH('Data 1'!J$1,'Data 2'!$A$1:$F$1,0),0)</f>
        <v>148</v>
      </c>
      <c r="K360" s="39">
        <f>VLOOKUP('Data 1'!$B360,'Data 2'!$A$1:$F$46,MATCH('Data 1'!K$1,'Data 2'!$A$1:$F$1,0),0)</f>
        <v>164.28</v>
      </c>
      <c r="L360" s="40">
        <f>SUM('Data 1'!$J360*'Data 1'!$C360)</f>
        <v>1924</v>
      </c>
      <c r="M360" s="40">
        <f>'Data 1'!$C360*'Data 1'!$K360</f>
        <v>2135.64</v>
      </c>
      <c r="N360" s="40">
        <f>'Data 1'!$M360-'Data 1'!$L360</f>
        <v>211.63999999999987</v>
      </c>
      <c r="O360" s="37">
        <f>DAY('Data 1'!$A360)</f>
        <v>16</v>
      </c>
      <c r="P360" s="37" t="str">
        <f>TEXT('Data 1'!$A360,"mmm")</f>
        <v>May</v>
      </c>
      <c r="Q360" s="41">
        <f>YEAR('Data 1'!$A360)</f>
        <v>2022</v>
      </c>
    </row>
    <row r="361" spans="1:17" x14ac:dyDescent="0.3">
      <c r="A361" s="35">
        <v>44697</v>
      </c>
      <c r="B361" s="36" t="s">
        <v>24</v>
      </c>
      <c r="C361" s="37">
        <v>13</v>
      </c>
      <c r="D361" s="37" t="s">
        <v>17</v>
      </c>
      <c r="E361" s="37" t="s">
        <v>17</v>
      </c>
      <c r="F361" s="38">
        <v>0</v>
      </c>
      <c r="G361" s="42" t="str">
        <f>VLOOKUP('Data 1'!$B361,'Data 2'!$A$1:$F$46,MATCH('Data 1'!G$1,'Data 2'!$A$1:$F$1,0),0)</f>
        <v>Product31</v>
      </c>
      <c r="H361" s="42" t="str">
        <f>VLOOKUP('Data 1'!$B361,'Data 2'!$A$1:$F$46,MATCH('Data 1'!H$1,'Data 2'!$A$1:$F$1,0),0)</f>
        <v>Category04</v>
      </c>
      <c r="I361" s="42" t="str">
        <f>VLOOKUP('Data 1'!$B361,'Data 2'!$A$1:$F$46,MATCH('Data 1'!I$1,'Data 2'!$A$1:$F$1,0),0)</f>
        <v>Kg</v>
      </c>
      <c r="J361" s="42">
        <f>VLOOKUP('Data 1'!$B361,'Data 2'!$A$1:$F$46,MATCH('Data 1'!J$1,'Data 2'!$A$1:$F$1,0),0)</f>
        <v>93</v>
      </c>
      <c r="K361" s="42">
        <f>VLOOKUP('Data 1'!$B361,'Data 2'!$A$1:$F$46,MATCH('Data 1'!K$1,'Data 2'!$A$1:$F$1,0),0)</f>
        <v>104.16</v>
      </c>
      <c r="L361" s="40">
        <f>SUM('Data 1'!$J361*'Data 1'!$C361)</f>
        <v>1209</v>
      </c>
      <c r="M361" s="40">
        <f>'Data 1'!$C361*'Data 1'!$K361</f>
        <v>1354.08</v>
      </c>
      <c r="N361" s="40">
        <f>'Data 1'!$M361-'Data 1'!$L361</f>
        <v>145.07999999999993</v>
      </c>
      <c r="O361" s="37">
        <f>DAY('Data 1'!$A361)</f>
        <v>16</v>
      </c>
      <c r="P361" s="37" t="str">
        <f>TEXT('Data 1'!$A361,"mmm")</f>
        <v>May</v>
      </c>
      <c r="Q361" s="41">
        <f>YEAR('Data 1'!$A361)</f>
        <v>2022</v>
      </c>
    </row>
    <row r="362" spans="1:17" x14ac:dyDescent="0.3">
      <c r="A362" s="35">
        <v>44698</v>
      </c>
      <c r="B362" s="36" t="s">
        <v>45</v>
      </c>
      <c r="C362" s="37">
        <v>8</v>
      </c>
      <c r="D362" s="37" t="s">
        <v>21</v>
      </c>
      <c r="E362" s="37" t="s">
        <v>19</v>
      </c>
      <c r="F362" s="38">
        <v>0</v>
      </c>
      <c r="G362" s="39" t="str">
        <f>VLOOKUP('Data 1'!$B362,'Data 2'!$A$1:$F$46,MATCH('Data 1'!G$1,'Data 2'!$A$1:$F$1,0),0)</f>
        <v>Product27</v>
      </c>
      <c r="H362" s="39" t="str">
        <f>VLOOKUP('Data 1'!$B362,'Data 2'!$A$1:$F$46,MATCH('Data 1'!H$1,'Data 2'!$A$1:$F$1,0),0)</f>
        <v>Category04</v>
      </c>
      <c r="I362" s="39" t="str">
        <f>VLOOKUP('Data 1'!$B362,'Data 2'!$A$1:$F$46,MATCH('Data 1'!I$1,'Data 2'!$A$1:$F$1,0),0)</f>
        <v>Lt</v>
      </c>
      <c r="J362" s="39">
        <f>VLOOKUP('Data 1'!$B362,'Data 2'!$A$1:$F$46,MATCH('Data 1'!J$1,'Data 2'!$A$1:$F$1,0),0)</f>
        <v>48</v>
      </c>
      <c r="K362" s="39">
        <f>VLOOKUP('Data 1'!$B362,'Data 2'!$A$1:$F$46,MATCH('Data 1'!K$1,'Data 2'!$A$1:$F$1,0),0)</f>
        <v>57.120000000000005</v>
      </c>
      <c r="L362" s="40">
        <f>SUM('Data 1'!$J362*'Data 1'!$C362)</f>
        <v>384</v>
      </c>
      <c r="M362" s="40">
        <f>'Data 1'!$C362*'Data 1'!$K362</f>
        <v>456.96000000000004</v>
      </c>
      <c r="N362" s="40">
        <f>'Data 1'!$M362-'Data 1'!$L362</f>
        <v>72.960000000000036</v>
      </c>
      <c r="O362" s="37">
        <f>DAY('Data 1'!$A362)</f>
        <v>17</v>
      </c>
      <c r="P362" s="37" t="str">
        <f>TEXT('Data 1'!$A362,"mmm")</f>
        <v>May</v>
      </c>
      <c r="Q362" s="41">
        <f>YEAR('Data 1'!$A362)</f>
        <v>2022</v>
      </c>
    </row>
    <row r="363" spans="1:17" x14ac:dyDescent="0.3">
      <c r="A363" s="35">
        <v>44699</v>
      </c>
      <c r="B363" s="36" t="s">
        <v>45</v>
      </c>
      <c r="C363" s="37">
        <v>4</v>
      </c>
      <c r="D363" s="37" t="s">
        <v>16</v>
      </c>
      <c r="E363" s="37" t="s">
        <v>17</v>
      </c>
      <c r="F363" s="38">
        <v>0</v>
      </c>
      <c r="G363" s="42" t="str">
        <f>VLOOKUP('Data 1'!$B363,'Data 2'!$A$1:$F$46,MATCH('Data 1'!G$1,'Data 2'!$A$1:$F$1,0),0)</f>
        <v>Product27</v>
      </c>
      <c r="H363" s="42" t="str">
        <f>VLOOKUP('Data 1'!$B363,'Data 2'!$A$1:$F$46,MATCH('Data 1'!H$1,'Data 2'!$A$1:$F$1,0),0)</f>
        <v>Category04</v>
      </c>
      <c r="I363" s="42" t="str">
        <f>VLOOKUP('Data 1'!$B363,'Data 2'!$A$1:$F$46,MATCH('Data 1'!I$1,'Data 2'!$A$1:$F$1,0),0)</f>
        <v>Lt</v>
      </c>
      <c r="J363" s="42">
        <f>VLOOKUP('Data 1'!$B363,'Data 2'!$A$1:$F$46,MATCH('Data 1'!J$1,'Data 2'!$A$1:$F$1,0),0)</f>
        <v>48</v>
      </c>
      <c r="K363" s="42">
        <f>VLOOKUP('Data 1'!$B363,'Data 2'!$A$1:$F$46,MATCH('Data 1'!K$1,'Data 2'!$A$1:$F$1,0),0)</f>
        <v>57.120000000000005</v>
      </c>
      <c r="L363" s="40">
        <f>SUM('Data 1'!$J363*'Data 1'!$C363)</f>
        <v>192</v>
      </c>
      <c r="M363" s="40">
        <f>'Data 1'!$C363*'Data 1'!$K363</f>
        <v>228.48000000000002</v>
      </c>
      <c r="N363" s="40">
        <f>'Data 1'!$M363-'Data 1'!$L363</f>
        <v>36.480000000000018</v>
      </c>
      <c r="O363" s="37">
        <f>DAY('Data 1'!$A363)</f>
        <v>18</v>
      </c>
      <c r="P363" s="37" t="str">
        <f>TEXT('Data 1'!$A363,"mmm")</f>
        <v>May</v>
      </c>
      <c r="Q363" s="41">
        <f>YEAR('Data 1'!$A363)</f>
        <v>2022</v>
      </c>
    </row>
    <row r="364" spans="1:17" x14ac:dyDescent="0.3">
      <c r="A364" s="35">
        <v>44699</v>
      </c>
      <c r="B364" s="36" t="s">
        <v>18</v>
      </c>
      <c r="C364" s="37">
        <v>8</v>
      </c>
      <c r="D364" s="37" t="s">
        <v>16</v>
      </c>
      <c r="E364" s="37" t="s">
        <v>17</v>
      </c>
      <c r="F364" s="38">
        <v>0</v>
      </c>
      <c r="G364" s="39" t="str">
        <f>VLOOKUP('Data 1'!$B364,'Data 2'!$A$1:$F$46,MATCH('Data 1'!G$1,'Data 2'!$A$1:$F$1,0),0)</f>
        <v>Product38</v>
      </c>
      <c r="H364" s="39" t="str">
        <f>VLOOKUP('Data 1'!$B364,'Data 2'!$A$1:$F$46,MATCH('Data 1'!H$1,'Data 2'!$A$1:$F$1,0),0)</f>
        <v>Category05</v>
      </c>
      <c r="I364" s="39" t="str">
        <f>VLOOKUP('Data 1'!$B364,'Data 2'!$A$1:$F$46,MATCH('Data 1'!I$1,'Data 2'!$A$1:$F$1,0),0)</f>
        <v>Kg</v>
      </c>
      <c r="J364" s="39">
        <f>VLOOKUP('Data 1'!$B364,'Data 2'!$A$1:$F$46,MATCH('Data 1'!J$1,'Data 2'!$A$1:$F$1,0),0)</f>
        <v>72</v>
      </c>
      <c r="K364" s="39">
        <f>VLOOKUP('Data 1'!$B364,'Data 2'!$A$1:$F$46,MATCH('Data 1'!K$1,'Data 2'!$A$1:$F$1,0),0)</f>
        <v>79.92</v>
      </c>
      <c r="L364" s="40">
        <f>SUM('Data 1'!$J364*'Data 1'!$C364)</f>
        <v>576</v>
      </c>
      <c r="M364" s="40">
        <f>'Data 1'!$C364*'Data 1'!$K364</f>
        <v>639.36</v>
      </c>
      <c r="N364" s="40">
        <f>'Data 1'!$M364-'Data 1'!$L364</f>
        <v>63.360000000000014</v>
      </c>
      <c r="O364" s="37">
        <f>DAY('Data 1'!$A364)</f>
        <v>18</v>
      </c>
      <c r="P364" s="37" t="str">
        <f>TEXT('Data 1'!$A364,"mmm")</f>
        <v>May</v>
      </c>
      <c r="Q364" s="41">
        <f>YEAR('Data 1'!$A364)</f>
        <v>2022</v>
      </c>
    </row>
    <row r="365" spans="1:17" x14ac:dyDescent="0.3">
      <c r="A365" s="35">
        <v>44701</v>
      </c>
      <c r="B365" s="36" t="s">
        <v>30</v>
      </c>
      <c r="C365" s="37">
        <v>15</v>
      </c>
      <c r="D365" s="37" t="s">
        <v>17</v>
      </c>
      <c r="E365" s="37" t="s">
        <v>19</v>
      </c>
      <c r="F365" s="38">
        <v>0</v>
      </c>
      <c r="G365" s="42" t="str">
        <f>VLOOKUP('Data 1'!$B365,'Data 2'!$A$1:$F$46,MATCH('Data 1'!G$1,'Data 2'!$A$1:$F$1,0),0)</f>
        <v>Product44</v>
      </c>
      <c r="H365" s="42" t="str">
        <f>VLOOKUP('Data 1'!$B365,'Data 2'!$A$1:$F$46,MATCH('Data 1'!H$1,'Data 2'!$A$1:$F$1,0),0)</f>
        <v>Category05</v>
      </c>
      <c r="I365" s="42" t="str">
        <f>VLOOKUP('Data 1'!$B365,'Data 2'!$A$1:$F$46,MATCH('Data 1'!I$1,'Data 2'!$A$1:$F$1,0),0)</f>
        <v>Kg</v>
      </c>
      <c r="J365" s="42">
        <f>VLOOKUP('Data 1'!$B365,'Data 2'!$A$1:$F$46,MATCH('Data 1'!J$1,'Data 2'!$A$1:$F$1,0),0)</f>
        <v>76</v>
      </c>
      <c r="K365" s="42">
        <f>VLOOKUP('Data 1'!$B365,'Data 2'!$A$1:$F$46,MATCH('Data 1'!K$1,'Data 2'!$A$1:$F$1,0),0)</f>
        <v>82.08</v>
      </c>
      <c r="L365" s="40">
        <f>SUM('Data 1'!$J365*'Data 1'!$C365)</f>
        <v>1140</v>
      </c>
      <c r="M365" s="40">
        <f>'Data 1'!$C365*'Data 1'!$K365</f>
        <v>1231.2</v>
      </c>
      <c r="N365" s="40">
        <f>'Data 1'!$M365-'Data 1'!$L365</f>
        <v>91.200000000000045</v>
      </c>
      <c r="O365" s="37">
        <f>DAY('Data 1'!$A365)</f>
        <v>20</v>
      </c>
      <c r="P365" s="37" t="str">
        <f>TEXT('Data 1'!$A365,"mmm")</f>
        <v>May</v>
      </c>
      <c r="Q365" s="41">
        <f>YEAR('Data 1'!$A365)</f>
        <v>2022</v>
      </c>
    </row>
    <row r="366" spans="1:17" x14ac:dyDescent="0.3">
      <c r="A366" s="35">
        <v>44703</v>
      </c>
      <c r="B366" s="36" t="s">
        <v>46</v>
      </c>
      <c r="C366" s="37">
        <v>12</v>
      </c>
      <c r="D366" s="37" t="s">
        <v>21</v>
      </c>
      <c r="E366" s="37" t="s">
        <v>17</v>
      </c>
      <c r="F366" s="38">
        <v>0</v>
      </c>
      <c r="G366" s="39" t="str">
        <f>VLOOKUP('Data 1'!$B366,'Data 2'!$A$1:$F$46,MATCH('Data 1'!G$1,'Data 2'!$A$1:$F$1,0),0)</f>
        <v>Product15</v>
      </c>
      <c r="H366" s="39" t="str">
        <f>VLOOKUP('Data 1'!$B366,'Data 2'!$A$1:$F$46,MATCH('Data 1'!H$1,'Data 2'!$A$1:$F$1,0),0)</f>
        <v>Category02</v>
      </c>
      <c r="I366" s="39" t="str">
        <f>VLOOKUP('Data 1'!$B366,'Data 2'!$A$1:$F$46,MATCH('Data 1'!I$1,'Data 2'!$A$1:$F$1,0),0)</f>
        <v>No.</v>
      </c>
      <c r="J366" s="39">
        <f>VLOOKUP('Data 1'!$B366,'Data 2'!$A$1:$F$46,MATCH('Data 1'!J$1,'Data 2'!$A$1:$F$1,0),0)</f>
        <v>12</v>
      </c>
      <c r="K366" s="39">
        <f>VLOOKUP('Data 1'!$B366,'Data 2'!$A$1:$F$46,MATCH('Data 1'!K$1,'Data 2'!$A$1:$F$1,0),0)</f>
        <v>15.719999999999999</v>
      </c>
      <c r="L366" s="40">
        <f>SUM('Data 1'!$J366*'Data 1'!$C366)</f>
        <v>144</v>
      </c>
      <c r="M366" s="40">
        <f>'Data 1'!$C366*'Data 1'!$K366</f>
        <v>188.64</v>
      </c>
      <c r="N366" s="40">
        <f>'Data 1'!$M366-'Data 1'!$L366</f>
        <v>44.639999999999986</v>
      </c>
      <c r="O366" s="37">
        <f>DAY('Data 1'!$A366)</f>
        <v>22</v>
      </c>
      <c r="P366" s="37" t="str">
        <f>TEXT('Data 1'!$A366,"mmm")</f>
        <v>May</v>
      </c>
      <c r="Q366" s="41">
        <f>YEAR('Data 1'!$A366)</f>
        <v>2022</v>
      </c>
    </row>
    <row r="367" spans="1:17" x14ac:dyDescent="0.3">
      <c r="A367" s="35">
        <v>44706</v>
      </c>
      <c r="B367" s="36" t="s">
        <v>48</v>
      </c>
      <c r="C367" s="37">
        <v>7</v>
      </c>
      <c r="D367" s="37" t="s">
        <v>17</v>
      </c>
      <c r="E367" s="37" t="s">
        <v>17</v>
      </c>
      <c r="F367" s="38">
        <v>0</v>
      </c>
      <c r="G367" s="42" t="str">
        <f>VLOOKUP('Data 1'!$B367,'Data 2'!$A$1:$F$46,MATCH('Data 1'!G$1,'Data 2'!$A$1:$F$1,0),0)</f>
        <v>Product02</v>
      </c>
      <c r="H367" s="42" t="str">
        <f>VLOOKUP('Data 1'!$B367,'Data 2'!$A$1:$F$46,MATCH('Data 1'!H$1,'Data 2'!$A$1:$F$1,0),0)</f>
        <v>Category01</v>
      </c>
      <c r="I367" s="42" t="str">
        <f>VLOOKUP('Data 1'!$B367,'Data 2'!$A$1:$F$46,MATCH('Data 1'!I$1,'Data 2'!$A$1:$F$1,0),0)</f>
        <v>Kg</v>
      </c>
      <c r="J367" s="42">
        <f>VLOOKUP('Data 1'!$B367,'Data 2'!$A$1:$F$46,MATCH('Data 1'!J$1,'Data 2'!$A$1:$F$1,0),0)</f>
        <v>105</v>
      </c>
      <c r="K367" s="42">
        <f>VLOOKUP('Data 1'!$B367,'Data 2'!$A$1:$F$46,MATCH('Data 1'!K$1,'Data 2'!$A$1:$F$1,0),0)</f>
        <v>142.80000000000001</v>
      </c>
      <c r="L367" s="40">
        <f>SUM('Data 1'!$J367*'Data 1'!$C367)</f>
        <v>735</v>
      </c>
      <c r="M367" s="40">
        <f>'Data 1'!$C367*'Data 1'!$K367</f>
        <v>999.60000000000014</v>
      </c>
      <c r="N367" s="40">
        <f>'Data 1'!$M367-'Data 1'!$L367</f>
        <v>264.60000000000014</v>
      </c>
      <c r="O367" s="37">
        <f>DAY('Data 1'!$A367)</f>
        <v>25</v>
      </c>
      <c r="P367" s="37" t="str">
        <f>TEXT('Data 1'!$A367,"mmm")</f>
        <v>May</v>
      </c>
      <c r="Q367" s="41">
        <f>YEAR('Data 1'!$A367)</f>
        <v>2022</v>
      </c>
    </row>
    <row r="368" spans="1:17" x14ac:dyDescent="0.3">
      <c r="A368" s="35">
        <v>44707</v>
      </c>
      <c r="B368" s="36" t="s">
        <v>52</v>
      </c>
      <c r="C368" s="37">
        <v>2</v>
      </c>
      <c r="D368" s="37" t="s">
        <v>21</v>
      </c>
      <c r="E368" s="37" t="s">
        <v>17</v>
      </c>
      <c r="F368" s="38">
        <v>0</v>
      </c>
      <c r="G368" s="39" t="str">
        <f>VLOOKUP('Data 1'!$B368,'Data 2'!$A$1:$F$46,MATCH('Data 1'!G$1,'Data 2'!$A$1:$F$1,0),0)</f>
        <v>Product28</v>
      </c>
      <c r="H368" s="39" t="str">
        <f>VLOOKUP('Data 1'!$B368,'Data 2'!$A$1:$F$46,MATCH('Data 1'!H$1,'Data 2'!$A$1:$F$1,0),0)</f>
        <v>Category04</v>
      </c>
      <c r="I368" s="39" t="str">
        <f>VLOOKUP('Data 1'!$B368,'Data 2'!$A$1:$F$46,MATCH('Data 1'!I$1,'Data 2'!$A$1:$F$1,0),0)</f>
        <v>No.</v>
      </c>
      <c r="J368" s="39">
        <f>VLOOKUP('Data 1'!$B368,'Data 2'!$A$1:$F$46,MATCH('Data 1'!J$1,'Data 2'!$A$1:$F$1,0),0)</f>
        <v>37</v>
      </c>
      <c r="K368" s="39">
        <f>VLOOKUP('Data 1'!$B368,'Data 2'!$A$1:$F$46,MATCH('Data 1'!K$1,'Data 2'!$A$1:$F$1,0),0)</f>
        <v>41.81</v>
      </c>
      <c r="L368" s="40">
        <f>SUM('Data 1'!$J368*'Data 1'!$C368)</f>
        <v>74</v>
      </c>
      <c r="M368" s="40">
        <f>'Data 1'!$C368*'Data 1'!$K368</f>
        <v>83.62</v>
      </c>
      <c r="N368" s="40">
        <f>'Data 1'!$M368-'Data 1'!$L368</f>
        <v>9.6200000000000045</v>
      </c>
      <c r="O368" s="37">
        <f>DAY('Data 1'!$A368)</f>
        <v>26</v>
      </c>
      <c r="P368" s="37" t="str">
        <f>TEXT('Data 1'!$A368,"mmm")</f>
        <v>May</v>
      </c>
      <c r="Q368" s="41">
        <f>YEAR('Data 1'!$A368)</f>
        <v>2022</v>
      </c>
    </row>
    <row r="369" spans="1:17" x14ac:dyDescent="0.3">
      <c r="A369" s="35">
        <v>44707</v>
      </c>
      <c r="B369" s="36" t="s">
        <v>45</v>
      </c>
      <c r="C369" s="37">
        <v>2</v>
      </c>
      <c r="D369" s="37" t="s">
        <v>17</v>
      </c>
      <c r="E369" s="37" t="s">
        <v>17</v>
      </c>
      <c r="F369" s="38">
        <v>0</v>
      </c>
      <c r="G369" s="42" t="str">
        <f>VLOOKUP('Data 1'!$B369,'Data 2'!$A$1:$F$46,MATCH('Data 1'!G$1,'Data 2'!$A$1:$F$1,0),0)</f>
        <v>Product27</v>
      </c>
      <c r="H369" s="42" t="str">
        <f>VLOOKUP('Data 1'!$B369,'Data 2'!$A$1:$F$46,MATCH('Data 1'!H$1,'Data 2'!$A$1:$F$1,0),0)</f>
        <v>Category04</v>
      </c>
      <c r="I369" s="42" t="str">
        <f>VLOOKUP('Data 1'!$B369,'Data 2'!$A$1:$F$46,MATCH('Data 1'!I$1,'Data 2'!$A$1:$F$1,0),0)</f>
        <v>Lt</v>
      </c>
      <c r="J369" s="42">
        <f>VLOOKUP('Data 1'!$B369,'Data 2'!$A$1:$F$46,MATCH('Data 1'!J$1,'Data 2'!$A$1:$F$1,0),0)</f>
        <v>48</v>
      </c>
      <c r="K369" s="42">
        <f>VLOOKUP('Data 1'!$B369,'Data 2'!$A$1:$F$46,MATCH('Data 1'!K$1,'Data 2'!$A$1:$F$1,0),0)</f>
        <v>57.120000000000005</v>
      </c>
      <c r="L369" s="40">
        <f>SUM('Data 1'!$J369*'Data 1'!$C369)</f>
        <v>96</v>
      </c>
      <c r="M369" s="40">
        <f>'Data 1'!$C369*'Data 1'!$K369</f>
        <v>114.24000000000001</v>
      </c>
      <c r="N369" s="40">
        <f>'Data 1'!$M369-'Data 1'!$L369</f>
        <v>18.240000000000009</v>
      </c>
      <c r="O369" s="37">
        <f>DAY('Data 1'!$A369)</f>
        <v>26</v>
      </c>
      <c r="P369" s="37" t="str">
        <f>TEXT('Data 1'!$A369,"mmm")</f>
        <v>May</v>
      </c>
      <c r="Q369" s="41">
        <f>YEAR('Data 1'!$A369)</f>
        <v>2022</v>
      </c>
    </row>
    <row r="370" spans="1:17" x14ac:dyDescent="0.3">
      <c r="A370" s="35">
        <v>44709</v>
      </c>
      <c r="B370" s="36" t="s">
        <v>60</v>
      </c>
      <c r="C370" s="37">
        <v>10</v>
      </c>
      <c r="D370" s="37" t="s">
        <v>16</v>
      </c>
      <c r="E370" s="37" t="s">
        <v>19</v>
      </c>
      <c r="F370" s="38">
        <v>0</v>
      </c>
      <c r="G370" s="39" t="str">
        <f>VLOOKUP('Data 1'!$B370,'Data 2'!$A$1:$F$46,MATCH('Data 1'!G$1,'Data 2'!$A$1:$F$1,0),0)</f>
        <v>Product41</v>
      </c>
      <c r="H370" s="39" t="str">
        <f>VLOOKUP('Data 1'!$B370,'Data 2'!$A$1:$F$46,MATCH('Data 1'!H$1,'Data 2'!$A$1:$F$1,0),0)</f>
        <v>Category05</v>
      </c>
      <c r="I370" s="39" t="str">
        <f>VLOOKUP('Data 1'!$B370,'Data 2'!$A$1:$F$46,MATCH('Data 1'!I$1,'Data 2'!$A$1:$F$1,0),0)</f>
        <v>Ft</v>
      </c>
      <c r="J370" s="39">
        <f>VLOOKUP('Data 1'!$B370,'Data 2'!$A$1:$F$46,MATCH('Data 1'!J$1,'Data 2'!$A$1:$F$1,0),0)</f>
        <v>138</v>
      </c>
      <c r="K370" s="39">
        <f>VLOOKUP('Data 1'!$B370,'Data 2'!$A$1:$F$46,MATCH('Data 1'!K$1,'Data 2'!$A$1:$F$1,0),0)</f>
        <v>173.88</v>
      </c>
      <c r="L370" s="40">
        <f>SUM('Data 1'!$J370*'Data 1'!$C370)</f>
        <v>1380</v>
      </c>
      <c r="M370" s="40">
        <f>'Data 1'!$C370*'Data 1'!$K370</f>
        <v>1738.8</v>
      </c>
      <c r="N370" s="40">
        <f>'Data 1'!$M370-'Data 1'!$L370</f>
        <v>358.79999999999995</v>
      </c>
      <c r="O370" s="37">
        <f>DAY('Data 1'!$A370)</f>
        <v>28</v>
      </c>
      <c r="P370" s="37" t="str">
        <f>TEXT('Data 1'!$A370,"mmm")</f>
        <v>May</v>
      </c>
      <c r="Q370" s="41">
        <f>YEAR('Data 1'!$A370)</f>
        <v>2022</v>
      </c>
    </row>
    <row r="371" spans="1:17" x14ac:dyDescent="0.3">
      <c r="A371" s="35">
        <v>44709</v>
      </c>
      <c r="B371" s="36" t="s">
        <v>44</v>
      </c>
      <c r="C371" s="37">
        <v>5</v>
      </c>
      <c r="D371" s="37" t="s">
        <v>16</v>
      </c>
      <c r="E371" s="37" t="s">
        <v>17</v>
      </c>
      <c r="F371" s="38">
        <v>0</v>
      </c>
      <c r="G371" s="42" t="str">
        <f>VLOOKUP('Data 1'!$B371,'Data 2'!$A$1:$F$46,MATCH('Data 1'!G$1,'Data 2'!$A$1:$F$1,0),0)</f>
        <v>Product08</v>
      </c>
      <c r="H371" s="42" t="str">
        <f>VLOOKUP('Data 1'!$B371,'Data 2'!$A$1:$F$46,MATCH('Data 1'!H$1,'Data 2'!$A$1:$F$1,0),0)</f>
        <v>Category01</v>
      </c>
      <c r="I371" s="42" t="str">
        <f>VLOOKUP('Data 1'!$B371,'Data 2'!$A$1:$F$46,MATCH('Data 1'!I$1,'Data 2'!$A$1:$F$1,0),0)</f>
        <v>Kg</v>
      </c>
      <c r="J371" s="42">
        <f>VLOOKUP('Data 1'!$B371,'Data 2'!$A$1:$F$46,MATCH('Data 1'!J$1,'Data 2'!$A$1:$F$1,0),0)</f>
        <v>83</v>
      </c>
      <c r="K371" s="42">
        <f>VLOOKUP('Data 1'!$B371,'Data 2'!$A$1:$F$46,MATCH('Data 1'!K$1,'Data 2'!$A$1:$F$1,0),0)</f>
        <v>94.62</v>
      </c>
      <c r="L371" s="40">
        <f>SUM('Data 1'!$J371*'Data 1'!$C371)</f>
        <v>415</v>
      </c>
      <c r="M371" s="40">
        <f>'Data 1'!$C371*'Data 1'!$K371</f>
        <v>473.1</v>
      </c>
      <c r="N371" s="40">
        <f>'Data 1'!$M371-'Data 1'!$L371</f>
        <v>58.100000000000023</v>
      </c>
      <c r="O371" s="37">
        <f>DAY('Data 1'!$A371)</f>
        <v>28</v>
      </c>
      <c r="P371" s="37" t="str">
        <f>TEXT('Data 1'!$A371,"mmm")</f>
        <v>May</v>
      </c>
      <c r="Q371" s="41">
        <f>YEAR('Data 1'!$A371)</f>
        <v>2022</v>
      </c>
    </row>
    <row r="372" spans="1:17" x14ac:dyDescent="0.3">
      <c r="A372" s="35">
        <v>44709</v>
      </c>
      <c r="B372" s="36" t="s">
        <v>39</v>
      </c>
      <c r="C372" s="37">
        <v>9</v>
      </c>
      <c r="D372" s="37" t="s">
        <v>17</v>
      </c>
      <c r="E372" s="37" t="s">
        <v>19</v>
      </c>
      <c r="F372" s="38">
        <v>0</v>
      </c>
      <c r="G372" s="39" t="str">
        <f>VLOOKUP('Data 1'!$B372,'Data 2'!$A$1:$F$46,MATCH('Data 1'!G$1,'Data 2'!$A$1:$F$1,0),0)</f>
        <v>Product10</v>
      </c>
      <c r="H372" s="39" t="str">
        <f>VLOOKUP('Data 1'!$B372,'Data 2'!$A$1:$F$46,MATCH('Data 1'!H$1,'Data 2'!$A$1:$F$1,0),0)</f>
        <v>Category02</v>
      </c>
      <c r="I372" s="39" t="str">
        <f>VLOOKUP('Data 1'!$B372,'Data 2'!$A$1:$F$46,MATCH('Data 1'!I$1,'Data 2'!$A$1:$F$1,0),0)</f>
        <v>Ft</v>
      </c>
      <c r="J372" s="39">
        <f>VLOOKUP('Data 1'!$B372,'Data 2'!$A$1:$F$46,MATCH('Data 1'!J$1,'Data 2'!$A$1:$F$1,0),0)</f>
        <v>148</v>
      </c>
      <c r="K372" s="39">
        <f>VLOOKUP('Data 1'!$B372,'Data 2'!$A$1:$F$46,MATCH('Data 1'!K$1,'Data 2'!$A$1:$F$1,0),0)</f>
        <v>164.28</v>
      </c>
      <c r="L372" s="40">
        <f>SUM('Data 1'!$J372*'Data 1'!$C372)</f>
        <v>1332</v>
      </c>
      <c r="M372" s="40">
        <f>'Data 1'!$C372*'Data 1'!$K372</f>
        <v>1478.52</v>
      </c>
      <c r="N372" s="40">
        <f>'Data 1'!$M372-'Data 1'!$L372</f>
        <v>146.51999999999998</v>
      </c>
      <c r="O372" s="37">
        <f>DAY('Data 1'!$A372)</f>
        <v>28</v>
      </c>
      <c r="P372" s="37" t="str">
        <f>TEXT('Data 1'!$A372,"mmm")</f>
        <v>May</v>
      </c>
      <c r="Q372" s="41">
        <f>YEAR('Data 1'!$A372)</f>
        <v>2022</v>
      </c>
    </row>
    <row r="373" spans="1:17" x14ac:dyDescent="0.3">
      <c r="A373" s="35">
        <v>44709</v>
      </c>
      <c r="B373" s="36" t="s">
        <v>22</v>
      </c>
      <c r="C373" s="37">
        <v>12</v>
      </c>
      <c r="D373" s="37" t="s">
        <v>17</v>
      </c>
      <c r="E373" s="37" t="s">
        <v>17</v>
      </c>
      <c r="F373" s="38">
        <v>0</v>
      </c>
      <c r="G373" s="42" t="str">
        <f>VLOOKUP('Data 1'!$B373,'Data 2'!$A$1:$F$46,MATCH('Data 1'!G$1,'Data 2'!$A$1:$F$1,0),0)</f>
        <v>Product04</v>
      </c>
      <c r="H373" s="42" t="str">
        <f>VLOOKUP('Data 1'!$B373,'Data 2'!$A$1:$F$46,MATCH('Data 1'!H$1,'Data 2'!$A$1:$F$1,0),0)</f>
        <v>Category01</v>
      </c>
      <c r="I373" s="42" t="str">
        <f>VLOOKUP('Data 1'!$B373,'Data 2'!$A$1:$F$46,MATCH('Data 1'!I$1,'Data 2'!$A$1:$F$1,0),0)</f>
        <v>Lt</v>
      </c>
      <c r="J373" s="42">
        <f>VLOOKUP('Data 1'!$B373,'Data 2'!$A$1:$F$46,MATCH('Data 1'!J$1,'Data 2'!$A$1:$F$1,0),0)</f>
        <v>44</v>
      </c>
      <c r="K373" s="42">
        <f>VLOOKUP('Data 1'!$B373,'Data 2'!$A$1:$F$46,MATCH('Data 1'!K$1,'Data 2'!$A$1:$F$1,0),0)</f>
        <v>48.84</v>
      </c>
      <c r="L373" s="40">
        <f>SUM('Data 1'!$J373*'Data 1'!$C373)</f>
        <v>528</v>
      </c>
      <c r="M373" s="40">
        <f>'Data 1'!$C373*'Data 1'!$K373</f>
        <v>586.08000000000004</v>
      </c>
      <c r="N373" s="40">
        <f>'Data 1'!$M373-'Data 1'!$L373</f>
        <v>58.080000000000041</v>
      </c>
      <c r="O373" s="37">
        <f>DAY('Data 1'!$A373)</f>
        <v>28</v>
      </c>
      <c r="P373" s="37" t="str">
        <f>TEXT('Data 1'!$A373,"mmm")</f>
        <v>May</v>
      </c>
      <c r="Q373" s="41">
        <f>YEAR('Data 1'!$A373)</f>
        <v>2022</v>
      </c>
    </row>
    <row r="374" spans="1:17" x14ac:dyDescent="0.3">
      <c r="A374" s="35">
        <v>44709</v>
      </c>
      <c r="B374" s="36" t="s">
        <v>33</v>
      </c>
      <c r="C374" s="37">
        <v>14</v>
      </c>
      <c r="D374" s="37" t="s">
        <v>21</v>
      </c>
      <c r="E374" s="37" t="s">
        <v>19</v>
      </c>
      <c r="F374" s="38">
        <v>0</v>
      </c>
      <c r="G374" s="39" t="str">
        <f>VLOOKUP('Data 1'!$B374,'Data 2'!$A$1:$F$46,MATCH('Data 1'!G$1,'Data 2'!$A$1:$F$1,0),0)</f>
        <v>Product20</v>
      </c>
      <c r="H374" s="39" t="str">
        <f>VLOOKUP('Data 1'!$B374,'Data 2'!$A$1:$F$46,MATCH('Data 1'!H$1,'Data 2'!$A$1:$F$1,0),0)</f>
        <v>Category03</v>
      </c>
      <c r="I374" s="39" t="str">
        <f>VLOOKUP('Data 1'!$B374,'Data 2'!$A$1:$F$46,MATCH('Data 1'!I$1,'Data 2'!$A$1:$F$1,0),0)</f>
        <v>Lt</v>
      </c>
      <c r="J374" s="39">
        <f>VLOOKUP('Data 1'!$B374,'Data 2'!$A$1:$F$46,MATCH('Data 1'!J$1,'Data 2'!$A$1:$F$1,0),0)</f>
        <v>61</v>
      </c>
      <c r="K374" s="39">
        <f>VLOOKUP('Data 1'!$B374,'Data 2'!$A$1:$F$46,MATCH('Data 1'!K$1,'Data 2'!$A$1:$F$1,0),0)</f>
        <v>76.25</v>
      </c>
      <c r="L374" s="40">
        <f>SUM('Data 1'!$J374*'Data 1'!$C374)</f>
        <v>854</v>
      </c>
      <c r="M374" s="40">
        <f>'Data 1'!$C374*'Data 1'!$K374</f>
        <v>1067.5</v>
      </c>
      <c r="N374" s="40">
        <f>'Data 1'!$M374-'Data 1'!$L374</f>
        <v>213.5</v>
      </c>
      <c r="O374" s="37">
        <f>DAY('Data 1'!$A374)</f>
        <v>28</v>
      </c>
      <c r="P374" s="37" t="str">
        <f>TEXT('Data 1'!$A374,"mmm")</f>
        <v>May</v>
      </c>
      <c r="Q374" s="41">
        <f>YEAR('Data 1'!$A374)</f>
        <v>2022</v>
      </c>
    </row>
    <row r="375" spans="1:17" x14ac:dyDescent="0.3">
      <c r="A375" s="35">
        <v>44711</v>
      </c>
      <c r="B375" s="36" t="s">
        <v>30</v>
      </c>
      <c r="C375" s="37">
        <v>9</v>
      </c>
      <c r="D375" s="37" t="s">
        <v>21</v>
      </c>
      <c r="E375" s="37" t="s">
        <v>17</v>
      </c>
      <c r="F375" s="38">
        <v>0</v>
      </c>
      <c r="G375" s="42" t="str">
        <f>VLOOKUP('Data 1'!$B375,'Data 2'!$A$1:$F$46,MATCH('Data 1'!G$1,'Data 2'!$A$1:$F$1,0),0)</f>
        <v>Product44</v>
      </c>
      <c r="H375" s="42" t="str">
        <f>VLOOKUP('Data 1'!$B375,'Data 2'!$A$1:$F$46,MATCH('Data 1'!H$1,'Data 2'!$A$1:$F$1,0),0)</f>
        <v>Category05</v>
      </c>
      <c r="I375" s="42" t="str">
        <f>VLOOKUP('Data 1'!$B375,'Data 2'!$A$1:$F$46,MATCH('Data 1'!I$1,'Data 2'!$A$1:$F$1,0),0)</f>
        <v>Kg</v>
      </c>
      <c r="J375" s="42">
        <f>VLOOKUP('Data 1'!$B375,'Data 2'!$A$1:$F$46,MATCH('Data 1'!J$1,'Data 2'!$A$1:$F$1,0),0)</f>
        <v>76</v>
      </c>
      <c r="K375" s="42">
        <f>VLOOKUP('Data 1'!$B375,'Data 2'!$A$1:$F$46,MATCH('Data 1'!K$1,'Data 2'!$A$1:$F$1,0),0)</f>
        <v>82.08</v>
      </c>
      <c r="L375" s="40">
        <f>SUM('Data 1'!$J375*'Data 1'!$C375)</f>
        <v>684</v>
      </c>
      <c r="M375" s="40">
        <f>'Data 1'!$C375*'Data 1'!$K375</f>
        <v>738.72</v>
      </c>
      <c r="N375" s="40">
        <f>'Data 1'!$M375-'Data 1'!$L375</f>
        <v>54.720000000000027</v>
      </c>
      <c r="O375" s="37">
        <f>DAY('Data 1'!$A375)</f>
        <v>30</v>
      </c>
      <c r="P375" s="37" t="str">
        <f>TEXT('Data 1'!$A375,"mmm")</f>
        <v>May</v>
      </c>
      <c r="Q375" s="41">
        <f>YEAR('Data 1'!$A375)</f>
        <v>2022</v>
      </c>
    </row>
    <row r="376" spans="1:17" x14ac:dyDescent="0.3">
      <c r="A376" s="35">
        <v>44711</v>
      </c>
      <c r="B376" s="36" t="s">
        <v>43</v>
      </c>
      <c r="C376" s="37">
        <v>4</v>
      </c>
      <c r="D376" s="37" t="s">
        <v>16</v>
      </c>
      <c r="E376" s="37" t="s">
        <v>19</v>
      </c>
      <c r="F376" s="38">
        <v>0</v>
      </c>
      <c r="G376" s="39" t="str">
        <f>VLOOKUP('Data 1'!$B376,'Data 2'!$A$1:$F$46,MATCH('Data 1'!G$1,'Data 2'!$A$1:$F$1,0),0)</f>
        <v>Product05</v>
      </c>
      <c r="H376" s="39" t="str">
        <f>VLOOKUP('Data 1'!$B376,'Data 2'!$A$1:$F$46,MATCH('Data 1'!H$1,'Data 2'!$A$1:$F$1,0),0)</f>
        <v>Category01</v>
      </c>
      <c r="I376" s="39" t="str">
        <f>VLOOKUP('Data 1'!$B376,'Data 2'!$A$1:$F$46,MATCH('Data 1'!I$1,'Data 2'!$A$1:$F$1,0),0)</f>
        <v>Ft</v>
      </c>
      <c r="J376" s="39">
        <f>VLOOKUP('Data 1'!$B376,'Data 2'!$A$1:$F$46,MATCH('Data 1'!J$1,'Data 2'!$A$1:$F$1,0),0)</f>
        <v>133</v>
      </c>
      <c r="K376" s="39">
        <f>VLOOKUP('Data 1'!$B376,'Data 2'!$A$1:$F$46,MATCH('Data 1'!K$1,'Data 2'!$A$1:$F$1,0),0)</f>
        <v>155.61000000000001</v>
      </c>
      <c r="L376" s="40">
        <f>SUM('Data 1'!$J376*'Data 1'!$C376)</f>
        <v>532</v>
      </c>
      <c r="M376" s="40">
        <f>'Data 1'!$C376*'Data 1'!$K376</f>
        <v>622.44000000000005</v>
      </c>
      <c r="N376" s="40">
        <f>'Data 1'!$M376-'Data 1'!$L376</f>
        <v>90.440000000000055</v>
      </c>
      <c r="O376" s="37">
        <f>DAY('Data 1'!$A376)</f>
        <v>30</v>
      </c>
      <c r="P376" s="37" t="str">
        <f>TEXT('Data 1'!$A376,"mmm")</f>
        <v>May</v>
      </c>
      <c r="Q376" s="41">
        <f>YEAR('Data 1'!$A376)</f>
        <v>2022</v>
      </c>
    </row>
    <row r="377" spans="1:17" x14ac:dyDescent="0.3">
      <c r="A377" s="35">
        <v>44711</v>
      </c>
      <c r="B377" s="36" t="s">
        <v>57</v>
      </c>
      <c r="C377" s="37">
        <v>3</v>
      </c>
      <c r="D377" s="37" t="s">
        <v>17</v>
      </c>
      <c r="E377" s="37" t="s">
        <v>19</v>
      </c>
      <c r="F377" s="38">
        <v>0</v>
      </c>
      <c r="G377" s="42" t="str">
        <f>VLOOKUP('Data 1'!$B377,'Data 2'!$A$1:$F$46,MATCH('Data 1'!G$1,'Data 2'!$A$1:$F$1,0),0)</f>
        <v>Product33</v>
      </c>
      <c r="H377" s="42" t="str">
        <f>VLOOKUP('Data 1'!$B377,'Data 2'!$A$1:$F$46,MATCH('Data 1'!H$1,'Data 2'!$A$1:$F$1,0),0)</f>
        <v>Category04</v>
      </c>
      <c r="I377" s="42" t="str">
        <f>VLOOKUP('Data 1'!$B377,'Data 2'!$A$1:$F$46,MATCH('Data 1'!I$1,'Data 2'!$A$1:$F$1,0),0)</f>
        <v>Kg</v>
      </c>
      <c r="J377" s="42">
        <f>VLOOKUP('Data 1'!$B377,'Data 2'!$A$1:$F$46,MATCH('Data 1'!J$1,'Data 2'!$A$1:$F$1,0),0)</f>
        <v>95</v>
      </c>
      <c r="K377" s="42">
        <f>VLOOKUP('Data 1'!$B377,'Data 2'!$A$1:$F$46,MATCH('Data 1'!K$1,'Data 2'!$A$1:$F$1,0),0)</f>
        <v>119.7</v>
      </c>
      <c r="L377" s="40">
        <f>SUM('Data 1'!$J377*'Data 1'!$C377)</f>
        <v>285</v>
      </c>
      <c r="M377" s="40">
        <f>'Data 1'!$C377*'Data 1'!$K377</f>
        <v>359.1</v>
      </c>
      <c r="N377" s="40">
        <f>'Data 1'!$M377-'Data 1'!$L377</f>
        <v>74.100000000000023</v>
      </c>
      <c r="O377" s="37">
        <f>DAY('Data 1'!$A377)</f>
        <v>30</v>
      </c>
      <c r="P377" s="37" t="str">
        <f>TEXT('Data 1'!$A377,"mmm")</f>
        <v>May</v>
      </c>
      <c r="Q377" s="41">
        <f>YEAR('Data 1'!$A377)</f>
        <v>2022</v>
      </c>
    </row>
    <row r="378" spans="1:17" x14ac:dyDescent="0.3">
      <c r="A378" s="35">
        <v>44715</v>
      </c>
      <c r="B378" s="36" t="s">
        <v>44</v>
      </c>
      <c r="C378" s="37">
        <v>14</v>
      </c>
      <c r="D378" s="37" t="s">
        <v>17</v>
      </c>
      <c r="E378" s="37" t="s">
        <v>17</v>
      </c>
      <c r="F378" s="38">
        <v>0</v>
      </c>
      <c r="G378" s="39" t="str">
        <f>VLOOKUP('Data 1'!$B378,'Data 2'!$A$1:$F$46,MATCH('Data 1'!G$1,'Data 2'!$A$1:$F$1,0),0)</f>
        <v>Product08</v>
      </c>
      <c r="H378" s="39" t="str">
        <f>VLOOKUP('Data 1'!$B378,'Data 2'!$A$1:$F$46,MATCH('Data 1'!H$1,'Data 2'!$A$1:$F$1,0),0)</f>
        <v>Category01</v>
      </c>
      <c r="I378" s="39" t="str">
        <f>VLOOKUP('Data 1'!$B378,'Data 2'!$A$1:$F$46,MATCH('Data 1'!I$1,'Data 2'!$A$1:$F$1,0),0)</f>
        <v>Kg</v>
      </c>
      <c r="J378" s="39">
        <f>VLOOKUP('Data 1'!$B378,'Data 2'!$A$1:$F$46,MATCH('Data 1'!J$1,'Data 2'!$A$1:$F$1,0),0)</f>
        <v>83</v>
      </c>
      <c r="K378" s="39">
        <f>VLOOKUP('Data 1'!$B378,'Data 2'!$A$1:$F$46,MATCH('Data 1'!K$1,'Data 2'!$A$1:$F$1,0),0)</f>
        <v>94.62</v>
      </c>
      <c r="L378" s="40">
        <f>SUM('Data 1'!$J378*'Data 1'!$C378)</f>
        <v>1162</v>
      </c>
      <c r="M378" s="40">
        <f>'Data 1'!$C378*'Data 1'!$K378</f>
        <v>1324.68</v>
      </c>
      <c r="N378" s="40">
        <f>'Data 1'!$M378-'Data 1'!$L378</f>
        <v>162.68000000000006</v>
      </c>
      <c r="O378" s="37">
        <f>DAY('Data 1'!$A378)</f>
        <v>3</v>
      </c>
      <c r="P378" s="37" t="str">
        <f>TEXT('Data 1'!$A378,"mmm")</f>
        <v>Jun</v>
      </c>
      <c r="Q378" s="41">
        <f>YEAR('Data 1'!$A378)</f>
        <v>2022</v>
      </c>
    </row>
    <row r="379" spans="1:17" x14ac:dyDescent="0.3">
      <c r="A379" s="35">
        <v>44722</v>
      </c>
      <c r="B379" s="36" t="s">
        <v>52</v>
      </c>
      <c r="C379" s="37">
        <v>8</v>
      </c>
      <c r="D379" s="37" t="s">
        <v>16</v>
      </c>
      <c r="E379" s="37" t="s">
        <v>17</v>
      </c>
      <c r="F379" s="38">
        <v>0</v>
      </c>
      <c r="G379" s="42" t="str">
        <f>VLOOKUP('Data 1'!$B379,'Data 2'!$A$1:$F$46,MATCH('Data 1'!G$1,'Data 2'!$A$1:$F$1,0),0)</f>
        <v>Product28</v>
      </c>
      <c r="H379" s="42" t="str">
        <f>VLOOKUP('Data 1'!$B379,'Data 2'!$A$1:$F$46,MATCH('Data 1'!H$1,'Data 2'!$A$1:$F$1,0),0)</f>
        <v>Category04</v>
      </c>
      <c r="I379" s="42" t="str">
        <f>VLOOKUP('Data 1'!$B379,'Data 2'!$A$1:$F$46,MATCH('Data 1'!I$1,'Data 2'!$A$1:$F$1,0),0)</f>
        <v>No.</v>
      </c>
      <c r="J379" s="42">
        <f>VLOOKUP('Data 1'!$B379,'Data 2'!$A$1:$F$46,MATCH('Data 1'!J$1,'Data 2'!$A$1:$F$1,0),0)</f>
        <v>37</v>
      </c>
      <c r="K379" s="42">
        <f>VLOOKUP('Data 1'!$B379,'Data 2'!$A$1:$F$46,MATCH('Data 1'!K$1,'Data 2'!$A$1:$F$1,0),0)</f>
        <v>41.81</v>
      </c>
      <c r="L379" s="40">
        <f>SUM('Data 1'!$J379*'Data 1'!$C379)</f>
        <v>296</v>
      </c>
      <c r="M379" s="40">
        <f>'Data 1'!$C379*'Data 1'!$K379</f>
        <v>334.48</v>
      </c>
      <c r="N379" s="40">
        <f>'Data 1'!$M379-'Data 1'!$L379</f>
        <v>38.480000000000018</v>
      </c>
      <c r="O379" s="37">
        <f>DAY('Data 1'!$A379)</f>
        <v>10</v>
      </c>
      <c r="P379" s="37" t="str">
        <f>TEXT('Data 1'!$A379,"mmm")</f>
        <v>Jun</v>
      </c>
      <c r="Q379" s="41">
        <f>YEAR('Data 1'!$A379)</f>
        <v>2022</v>
      </c>
    </row>
    <row r="380" spans="1:17" x14ac:dyDescent="0.3">
      <c r="A380" s="35">
        <v>44723</v>
      </c>
      <c r="B380" s="36" t="s">
        <v>53</v>
      </c>
      <c r="C380" s="37">
        <v>13</v>
      </c>
      <c r="D380" s="37" t="s">
        <v>17</v>
      </c>
      <c r="E380" s="37" t="s">
        <v>19</v>
      </c>
      <c r="F380" s="38">
        <v>0</v>
      </c>
      <c r="G380" s="39" t="str">
        <f>VLOOKUP('Data 1'!$B380,'Data 2'!$A$1:$F$46,MATCH('Data 1'!G$1,'Data 2'!$A$1:$F$1,0),0)</f>
        <v>Product39</v>
      </c>
      <c r="H380" s="39" t="str">
        <f>VLOOKUP('Data 1'!$B380,'Data 2'!$A$1:$F$46,MATCH('Data 1'!H$1,'Data 2'!$A$1:$F$1,0),0)</f>
        <v>Category05</v>
      </c>
      <c r="I380" s="39" t="str">
        <f>VLOOKUP('Data 1'!$B380,'Data 2'!$A$1:$F$46,MATCH('Data 1'!I$1,'Data 2'!$A$1:$F$1,0),0)</f>
        <v>No.</v>
      </c>
      <c r="J380" s="39">
        <f>VLOOKUP('Data 1'!$B380,'Data 2'!$A$1:$F$46,MATCH('Data 1'!J$1,'Data 2'!$A$1:$F$1,0),0)</f>
        <v>37</v>
      </c>
      <c r="K380" s="39">
        <f>VLOOKUP('Data 1'!$B380,'Data 2'!$A$1:$F$46,MATCH('Data 1'!K$1,'Data 2'!$A$1:$F$1,0),0)</f>
        <v>42.55</v>
      </c>
      <c r="L380" s="40">
        <f>SUM('Data 1'!$J380*'Data 1'!$C380)</f>
        <v>481</v>
      </c>
      <c r="M380" s="40">
        <f>'Data 1'!$C380*'Data 1'!$K380</f>
        <v>553.15</v>
      </c>
      <c r="N380" s="40">
        <f>'Data 1'!$M380-'Data 1'!$L380</f>
        <v>72.149999999999977</v>
      </c>
      <c r="O380" s="37">
        <f>DAY('Data 1'!$A380)</f>
        <v>11</v>
      </c>
      <c r="P380" s="37" t="str">
        <f>TEXT('Data 1'!$A380,"mmm")</f>
        <v>Jun</v>
      </c>
      <c r="Q380" s="41">
        <f>YEAR('Data 1'!$A380)</f>
        <v>2022</v>
      </c>
    </row>
    <row r="381" spans="1:17" x14ac:dyDescent="0.3">
      <c r="A381" s="35">
        <v>44723</v>
      </c>
      <c r="B381" s="36" t="s">
        <v>51</v>
      </c>
      <c r="C381" s="37">
        <v>6</v>
      </c>
      <c r="D381" s="37" t="s">
        <v>21</v>
      </c>
      <c r="E381" s="37" t="s">
        <v>17</v>
      </c>
      <c r="F381" s="38">
        <v>0</v>
      </c>
      <c r="G381" s="42" t="str">
        <f>VLOOKUP('Data 1'!$B381,'Data 2'!$A$1:$F$46,MATCH('Data 1'!G$1,'Data 2'!$A$1:$F$1,0),0)</f>
        <v>Product21</v>
      </c>
      <c r="H381" s="42" t="str">
        <f>VLOOKUP('Data 1'!$B381,'Data 2'!$A$1:$F$46,MATCH('Data 1'!H$1,'Data 2'!$A$1:$F$1,0),0)</f>
        <v>Category03</v>
      </c>
      <c r="I381" s="42" t="str">
        <f>VLOOKUP('Data 1'!$B381,'Data 2'!$A$1:$F$46,MATCH('Data 1'!I$1,'Data 2'!$A$1:$F$1,0),0)</f>
        <v>Ft</v>
      </c>
      <c r="J381" s="42">
        <f>VLOOKUP('Data 1'!$B381,'Data 2'!$A$1:$F$46,MATCH('Data 1'!J$1,'Data 2'!$A$1:$F$1,0),0)</f>
        <v>126</v>
      </c>
      <c r="K381" s="42">
        <f>VLOOKUP('Data 1'!$B381,'Data 2'!$A$1:$F$46,MATCH('Data 1'!K$1,'Data 2'!$A$1:$F$1,0),0)</f>
        <v>162.54</v>
      </c>
      <c r="L381" s="40">
        <f>SUM('Data 1'!$J381*'Data 1'!$C381)</f>
        <v>756</v>
      </c>
      <c r="M381" s="40">
        <f>'Data 1'!$C381*'Data 1'!$K381</f>
        <v>975.24</v>
      </c>
      <c r="N381" s="40">
        <f>'Data 1'!$M381-'Data 1'!$L381</f>
        <v>219.24</v>
      </c>
      <c r="O381" s="37">
        <f>DAY('Data 1'!$A381)</f>
        <v>11</v>
      </c>
      <c r="P381" s="37" t="str">
        <f>TEXT('Data 1'!$A381,"mmm")</f>
        <v>Jun</v>
      </c>
      <c r="Q381" s="41">
        <f>YEAR('Data 1'!$A381)</f>
        <v>2022</v>
      </c>
    </row>
    <row r="382" spans="1:17" x14ac:dyDescent="0.3">
      <c r="A382" s="35">
        <v>44725</v>
      </c>
      <c r="B382" s="36" t="s">
        <v>61</v>
      </c>
      <c r="C382" s="37">
        <v>6</v>
      </c>
      <c r="D382" s="37" t="s">
        <v>21</v>
      </c>
      <c r="E382" s="37" t="s">
        <v>19</v>
      </c>
      <c r="F382" s="38">
        <v>0</v>
      </c>
      <c r="G382" s="39" t="str">
        <f>VLOOKUP('Data 1'!$B382,'Data 2'!$A$1:$F$46,MATCH('Data 1'!G$1,'Data 2'!$A$1:$F$1,0),0)</f>
        <v>Product26</v>
      </c>
      <c r="H382" s="39" t="str">
        <f>VLOOKUP('Data 1'!$B382,'Data 2'!$A$1:$F$46,MATCH('Data 1'!H$1,'Data 2'!$A$1:$F$1,0),0)</f>
        <v>Category04</v>
      </c>
      <c r="I382" s="39" t="str">
        <f>VLOOKUP('Data 1'!$B382,'Data 2'!$A$1:$F$46,MATCH('Data 1'!I$1,'Data 2'!$A$1:$F$1,0),0)</f>
        <v>No.</v>
      </c>
      <c r="J382" s="39">
        <f>VLOOKUP('Data 1'!$B382,'Data 2'!$A$1:$F$46,MATCH('Data 1'!J$1,'Data 2'!$A$1:$F$1,0),0)</f>
        <v>18</v>
      </c>
      <c r="K382" s="39">
        <f>VLOOKUP('Data 1'!$B382,'Data 2'!$A$1:$F$46,MATCH('Data 1'!K$1,'Data 2'!$A$1:$F$1,0),0)</f>
        <v>24.66</v>
      </c>
      <c r="L382" s="40">
        <f>SUM('Data 1'!$J382*'Data 1'!$C382)</f>
        <v>108</v>
      </c>
      <c r="M382" s="40">
        <f>'Data 1'!$C382*'Data 1'!$K382</f>
        <v>147.96</v>
      </c>
      <c r="N382" s="40">
        <f>'Data 1'!$M382-'Data 1'!$L382</f>
        <v>39.960000000000008</v>
      </c>
      <c r="O382" s="37">
        <f>DAY('Data 1'!$A382)</f>
        <v>13</v>
      </c>
      <c r="P382" s="37" t="str">
        <f>TEXT('Data 1'!$A382,"mmm")</f>
        <v>Jun</v>
      </c>
      <c r="Q382" s="41">
        <f>YEAR('Data 1'!$A382)</f>
        <v>2022</v>
      </c>
    </row>
    <row r="383" spans="1:17" x14ac:dyDescent="0.3">
      <c r="A383" s="35">
        <v>44727</v>
      </c>
      <c r="B383" s="36" t="s">
        <v>29</v>
      </c>
      <c r="C383" s="37">
        <v>15</v>
      </c>
      <c r="D383" s="37" t="s">
        <v>16</v>
      </c>
      <c r="E383" s="37" t="s">
        <v>17</v>
      </c>
      <c r="F383" s="38">
        <v>0</v>
      </c>
      <c r="G383" s="42" t="str">
        <f>VLOOKUP('Data 1'!$B383,'Data 2'!$A$1:$F$46,MATCH('Data 1'!G$1,'Data 2'!$A$1:$F$1,0),0)</f>
        <v>Product42</v>
      </c>
      <c r="H383" s="42" t="str">
        <f>VLOOKUP('Data 1'!$B383,'Data 2'!$A$1:$F$46,MATCH('Data 1'!H$1,'Data 2'!$A$1:$F$1,0),0)</f>
        <v>Category05</v>
      </c>
      <c r="I383" s="42" t="str">
        <f>VLOOKUP('Data 1'!$B383,'Data 2'!$A$1:$F$46,MATCH('Data 1'!I$1,'Data 2'!$A$1:$F$1,0),0)</f>
        <v>Ft</v>
      </c>
      <c r="J383" s="42">
        <f>VLOOKUP('Data 1'!$B383,'Data 2'!$A$1:$F$46,MATCH('Data 1'!J$1,'Data 2'!$A$1:$F$1,0),0)</f>
        <v>120</v>
      </c>
      <c r="K383" s="42">
        <f>VLOOKUP('Data 1'!$B383,'Data 2'!$A$1:$F$46,MATCH('Data 1'!K$1,'Data 2'!$A$1:$F$1,0),0)</f>
        <v>162</v>
      </c>
      <c r="L383" s="40">
        <f>SUM('Data 1'!$J383*'Data 1'!$C383)</f>
        <v>1800</v>
      </c>
      <c r="M383" s="40">
        <f>'Data 1'!$C383*'Data 1'!$K383</f>
        <v>2430</v>
      </c>
      <c r="N383" s="40">
        <f>'Data 1'!$M383-'Data 1'!$L383</f>
        <v>630</v>
      </c>
      <c r="O383" s="37">
        <f>DAY('Data 1'!$A383)</f>
        <v>15</v>
      </c>
      <c r="P383" s="37" t="str">
        <f>TEXT('Data 1'!$A383,"mmm")</f>
        <v>Jun</v>
      </c>
      <c r="Q383" s="41">
        <f>YEAR('Data 1'!$A383)</f>
        <v>2022</v>
      </c>
    </row>
    <row r="384" spans="1:17" x14ac:dyDescent="0.3">
      <c r="A384" s="35">
        <v>44728</v>
      </c>
      <c r="B384" s="36" t="s">
        <v>38</v>
      </c>
      <c r="C384" s="37">
        <v>15</v>
      </c>
      <c r="D384" s="37" t="s">
        <v>17</v>
      </c>
      <c r="E384" s="37" t="s">
        <v>19</v>
      </c>
      <c r="F384" s="38">
        <v>0</v>
      </c>
      <c r="G384" s="39" t="str">
        <f>VLOOKUP('Data 1'!$B384,'Data 2'!$A$1:$F$46,MATCH('Data 1'!G$1,'Data 2'!$A$1:$F$1,0),0)</f>
        <v>Product29</v>
      </c>
      <c r="H384" s="39" t="str">
        <f>VLOOKUP('Data 1'!$B384,'Data 2'!$A$1:$F$46,MATCH('Data 1'!H$1,'Data 2'!$A$1:$F$1,0),0)</f>
        <v>Category04</v>
      </c>
      <c r="I384" s="39" t="str">
        <f>VLOOKUP('Data 1'!$B384,'Data 2'!$A$1:$F$46,MATCH('Data 1'!I$1,'Data 2'!$A$1:$F$1,0),0)</f>
        <v>Lt</v>
      </c>
      <c r="J384" s="39">
        <f>VLOOKUP('Data 1'!$B384,'Data 2'!$A$1:$F$46,MATCH('Data 1'!J$1,'Data 2'!$A$1:$F$1,0),0)</f>
        <v>47</v>
      </c>
      <c r="K384" s="39">
        <f>VLOOKUP('Data 1'!$B384,'Data 2'!$A$1:$F$46,MATCH('Data 1'!K$1,'Data 2'!$A$1:$F$1,0),0)</f>
        <v>53.11</v>
      </c>
      <c r="L384" s="40">
        <f>SUM('Data 1'!$J384*'Data 1'!$C384)</f>
        <v>705</v>
      </c>
      <c r="M384" s="40">
        <f>'Data 1'!$C384*'Data 1'!$K384</f>
        <v>796.65</v>
      </c>
      <c r="N384" s="40">
        <f>'Data 1'!$M384-'Data 1'!$L384</f>
        <v>91.649999999999977</v>
      </c>
      <c r="O384" s="37">
        <f>DAY('Data 1'!$A384)</f>
        <v>16</v>
      </c>
      <c r="P384" s="37" t="str">
        <f>TEXT('Data 1'!$A384,"mmm")</f>
        <v>Jun</v>
      </c>
      <c r="Q384" s="41">
        <f>YEAR('Data 1'!$A384)</f>
        <v>2022</v>
      </c>
    </row>
    <row r="385" spans="1:17" x14ac:dyDescent="0.3">
      <c r="A385" s="35">
        <v>44731</v>
      </c>
      <c r="B385" s="36" t="s">
        <v>48</v>
      </c>
      <c r="C385" s="37">
        <v>8</v>
      </c>
      <c r="D385" s="37" t="s">
        <v>21</v>
      </c>
      <c r="E385" s="37" t="s">
        <v>19</v>
      </c>
      <c r="F385" s="38">
        <v>0</v>
      </c>
      <c r="G385" s="42" t="str">
        <f>VLOOKUP('Data 1'!$B385,'Data 2'!$A$1:$F$46,MATCH('Data 1'!G$1,'Data 2'!$A$1:$F$1,0),0)</f>
        <v>Product02</v>
      </c>
      <c r="H385" s="42" t="str">
        <f>VLOOKUP('Data 1'!$B385,'Data 2'!$A$1:$F$46,MATCH('Data 1'!H$1,'Data 2'!$A$1:$F$1,0),0)</f>
        <v>Category01</v>
      </c>
      <c r="I385" s="42" t="str">
        <f>VLOOKUP('Data 1'!$B385,'Data 2'!$A$1:$F$46,MATCH('Data 1'!I$1,'Data 2'!$A$1:$F$1,0),0)</f>
        <v>Kg</v>
      </c>
      <c r="J385" s="42">
        <f>VLOOKUP('Data 1'!$B385,'Data 2'!$A$1:$F$46,MATCH('Data 1'!J$1,'Data 2'!$A$1:$F$1,0),0)</f>
        <v>105</v>
      </c>
      <c r="K385" s="42">
        <f>VLOOKUP('Data 1'!$B385,'Data 2'!$A$1:$F$46,MATCH('Data 1'!K$1,'Data 2'!$A$1:$F$1,0),0)</f>
        <v>142.80000000000001</v>
      </c>
      <c r="L385" s="40">
        <f>SUM('Data 1'!$J385*'Data 1'!$C385)</f>
        <v>840</v>
      </c>
      <c r="M385" s="40">
        <f>'Data 1'!$C385*'Data 1'!$K385</f>
        <v>1142.4000000000001</v>
      </c>
      <c r="N385" s="40">
        <f>'Data 1'!$M385-'Data 1'!$L385</f>
        <v>302.40000000000009</v>
      </c>
      <c r="O385" s="37">
        <f>DAY('Data 1'!$A385)</f>
        <v>19</v>
      </c>
      <c r="P385" s="37" t="str">
        <f>TEXT('Data 1'!$A385,"mmm")</f>
        <v>Jun</v>
      </c>
      <c r="Q385" s="41">
        <f>YEAR('Data 1'!$A385)</f>
        <v>2022</v>
      </c>
    </row>
    <row r="386" spans="1:17" x14ac:dyDescent="0.3">
      <c r="A386" s="35">
        <v>44733</v>
      </c>
      <c r="B386" s="36" t="s">
        <v>58</v>
      </c>
      <c r="C386" s="37">
        <v>14</v>
      </c>
      <c r="D386" s="37" t="s">
        <v>21</v>
      </c>
      <c r="E386" s="37" t="s">
        <v>19</v>
      </c>
      <c r="F386" s="38">
        <v>0</v>
      </c>
      <c r="G386" s="39" t="str">
        <f>VLOOKUP('Data 1'!$B386,'Data 2'!$A$1:$F$46,MATCH('Data 1'!G$1,'Data 2'!$A$1:$F$1,0),0)</f>
        <v>Product17</v>
      </c>
      <c r="H386" s="39" t="str">
        <f>VLOOKUP('Data 1'!$B386,'Data 2'!$A$1:$F$46,MATCH('Data 1'!H$1,'Data 2'!$A$1:$F$1,0),0)</f>
        <v>Category02</v>
      </c>
      <c r="I386" s="39" t="str">
        <f>VLOOKUP('Data 1'!$B386,'Data 2'!$A$1:$F$46,MATCH('Data 1'!I$1,'Data 2'!$A$1:$F$1,0),0)</f>
        <v>Ft</v>
      </c>
      <c r="J386" s="39">
        <f>VLOOKUP('Data 1'!$B386,'Data 2'!$A$1:$F$46,MATCH('Data 1'!J$1,'Data 2'!$A$1:$F$1,0),0)</f>
        <v>134</v>
      </c>
      <c r="K386" s="39">
        <f>VLOOKUP('Data 1'!$B386,'Data 2'!$A$1:$F$46,MATCH('Data 1'!K$1,'Data 2'!$A$1:$F$1,0),0)</f>
        <v>156.78</v>
      </c>
      <c r="L386" s="40">
        <f>SUM('Data 1'!$J386*'Data 1'!$C386)</f>
        <v>1876</v>
      </c>
      <c r="M386" s="40">
        <f>'Data 1'!$C386*'Data 1'!$K386</f>
        <v>2194.92</v>
      </c>
      <c r="N386" s="40">
        <f>'Data 1'!$M386-'Data 1'!$L386</f>
        <v>318.92000000000007</v>
      </c>
      <c r="O386" s="37">
        <f>DAY('Data 1'!$A386)</f>
        <v>21</v>
      </c>
      <c r="P386" s="37" t="str">
        <f>TEXT('Data 1'!$A386,"mmm")</f>
        <v>Jun</v>
      </c>
      <c r="Q386" s="41">
        <f>YEAR('Data 1'!$A386)</f>
        <v>2022</v>
      </c>
    </row>
    <row r="387" spans="1:17" x14ac:dyDescent="0.3">
      <c r="A387" s="35">
        <v>44734</v>
      </c>
      <c r="B387" s="36" t="s">
        <v>36</v>
      </c>
      <c r="C387" s="37">
        <v>10</v>
      </c>
      <c r="D387" s="37" t="s">
        <v>17</v>
      </c>
      <c r="E387" s="37" t="s">
        <v>19</v>
      </c>
      <c r="F387" s="38">
        <v>0</v>
      </c>
      <c r="G387" s="42" t="str">
        <f>VLOOKUP('Data 1'!$B387,'Data 2'!$A$1:$F$46,MATCH('Data 1'!G$1,'Data 2'!$A$1:$F$1,0),0)</f>
        <v>Product40</v>
      </c>
      <c r="H387" s="42" t="str">
        <f>VLOOKUP('Data 1'!$B387,'Data 2'!$A$1:$F$46,MATCH('Data 1'!H$1,'Data 2'!$A$1:$F$1,0),0)</f>
        <v>Category05</v>
      </c>
      <c r="I387" s="42" t="str">
        <f>VLOOKUP('Data 1'!$B387,'Data 2'!$A$1:$F$46,MATCH('Data 1'!I$1,'Data 2'!$A$1:$F$1,0),0)</f>
        <v>Kg</v>
      </c>
      <c r="J387" s="42">
        <f>VLOOKUP('Data 1'!$B387,'Data 2'!$A$1:$F$46,MATCH('Data 1'!J$1,'Data 2'!$A$1:$F$1,0),0)</f>
        <v>90</v>
      </c>
      <c r="K387" s="42">
        <f>VLOOKUP('Data 1'!$B387,'Data 2'!$A$1:$F$46,MATCH('Data 1'!K$1,'Data 2'!$A$1:$F$1,0),0)</f>
        <v>115.2</v>
      </c>
      <c r="L387" s="40">
        <f>SUM('Data 1'!$J387*'Data 1'!$C387)</f>
        <v>900</v>
      </c>
      <c r="M387" s="40">
        <f>'Data 1'!$C387*'Data 1'!$K387</f>
        <v>1152</v>
      </c>
      <c r="N387" s="40">
        <f>'Data 1'!$M387-'Data 1'!$L387</f>
        <v>252</v>
      </c>
      <c r="O387" s="37">
        <f>DAY('Data 1'!$A387)</f>
        <v>22</v>
      </c>
      <c r="P387" s="37" t="str">
        <f>TEXT('Data 1'!$A387,"mmm")</f>
        <v>Jun</v>
      </c>
      <c r="Q387" s="41">
        <f>YEAR('Data 1'!$A387)</f>
        <v>2022</v>
      </c>
    </row>
    <row r="388" spans="1:17" x14ac:dyDescent="0.3">
      <c r="A388" s="35">
        <v>44734</v>
      </c>
      <c r="B388" s="36" t="s">
        <v>35</v>
      </c>
      <c r="C388" s="37">
        <v>4</v>
      </c>
      <c r="D388" s="37" t="s">
        <v>21</v>
      </c>
      <c r="E388" s="37" t="s">
        <v>19</v>
      </c>
      <c r="F388" s="38">
        <v>0</v>
      </c>
      <c r="G388" s="39" t="str">
        <f>VLOOKUP('Data 1'!$B388,'Data 2'!$A$1:$F$46,MATCH('Data 1'!G$1,'Data 2'!$A$1:$F$1,0),0)</f>
        <v>Product01</v>
      </c>
      <c r="H388" s="39" t="str">
        <f>VLOOKUP('Data 1'!$B388,'Data 2'!$A$1:$F$46,MATCH('Data 1'!H$1,'Data 2'!$A$1:$F$1,0),0)</f>
        <v>Category01</v>
      </c>
      <c r="I388" s="39" t="str">
        <f>VLOOKUP('Data 1'!$B388,'Data 2'!$A$1:$F$46,MATCH('Data 1'!I$1,'Data 2'!$A$1:$F$1,0),0)</f>
        <v>Kg</v>
      </c>
      <c r="J388" s="39">
        <f>VLOOKUP('Data 1'!$B388,'Data 2'!$A$1:$F$46,MATCH('Data 1'!J$1,'Data 2'!$A$1:$F$1,0),0)</f>
        <v>98</v>
      </c>
      <c r="K388" s="39">
        <f>VLOOKUP('Data 1'!$B388,'Data 2'!$A$1:$F$46,MATCH('Data 1'!K$1,'Data 2'!$A$1:$F$1,0),0)</f>
        <v>103.88</v>
      </c>
      <c r="L388" s="40">
        <f>SUM('Data 1'!$J388*'Data 1'!$C388)</f>
        <v>392</v>
      </c>
      <c r="M388" s="40">
        <f>'Data 1'!$C388*'Data 1'!$K388</f>
        <v>415.52</v>
      </c>
      <c r="N388" s="40">
        <f>'Data 1'!$M388-'Data 1'!$L388</f>
        <v>23.519999999999982</v>
      </c>
      <c r="O388" s="37">
        <f>DAY('Data 1'!$A388)</f>
        <v>22</v>
      </c>
      <c r="P388" s="37" t="str">
        <f>TEXT('Data 1'!$A388,"mmm")</f>
        <v>Jun</v>
      </c>
      <c r="Q388" s="41">
        <f>YEAR('Data 1'!$A388)</f>
        <v>2022</v>
      </c>
    </row>
    <row r="389" spans="1:17" x14ac:dyDescent="0.3">
      <c r="A389" s="35">
        <v>44735</v>
      </c>
      <c r="B389" s="36" t="s">
        <v>22</v>
      </c>
      <c r="C389" s="37">
        <v>8</v>
      </c>
      <c r="D389" s="37" t="s">
        <v>21</v>
      </c>
      <c r="E389" s="37" t="s">
        <v>17</v>
      </c>
      <c r="F389" s="38">
        <v>0</v>
      </c>
      <c r="G389" s="42" t="str">
        <f>VLOOKUP('Data 1'!$B389,'Data 2'!$A$1:$F$46,MATCH('Data 1'!G$1,'Data 2'!$A$1:$F$1,0),0)</f>
        <v>Product04</v>
      </c>
      <c r="H389" s="42" t="str">
        <f>VLOOKUP('Data 1'!$B389,'Data 2'!$A$1:$F$46,MATCH('Data 1'!H$1,'Data 2'!$A$1:$F$1,0),0)</f>
        <v>Category01</v>
      </c>
      <c r="I389" s="42" t="str">
        <f>VLOOKUP('Data 1'!$B389,'Data 2'!$A$1:$F$46,MATCH('Data 1'!I$1,'Data 2'!$A$1:$F$1,0),0)</f>
        <v>Lt</v>
      </c>
      <c r="J389" s="42">
        <f>VLOOKUP('Data 1'!$B389,'Data 2'!$A$1:$F$46,MATCH('Data 1'!J$1,'Data 2'!$A$1:$F$1,0),0)</f>
        <v>44</v>
      </c>
      <c r="K389" s="42">
        <f>VLOOKUP('Data 1'!$B389,'Data 2'!$A$1:$F$46,MATCH('Data 1'!K$1,'Data 2'!$A$1:$F$1,0),0)</f>
        <v>48.84</v>
      </c>
      <c r="L389" s="40">
        <f>SUM('Data 1'!$J389*'Data 1'!$C389)</f>
        <v>352</v>
      </c>
      <c r="M389" s="40">
        <f>'Data 1'!$C389*'Data 1'!$K389</f>
        <v>390.72</v>
      </c>
      <c r="N389" s="40">
        <f>'Data 1'!$M389-'Data 1'!$L389</f>
        <v>38.720000000000027</v>
      </c>
      <c r="O389" s="37">
        <f>DAY('Data 1'!$A389)</f>
        <v>23</v>
      </c>
      <c r="P389" s="37" t="str">
        <f>TEXT('Data 1'!$A389,"mmm")</f>
        <v>Jun</v>
      </c>
      <c r="Q389" s="41">
        <f>YEAR('Data 1'!$A389)</f>
        <v>2022</v>
      </c>
    </row>
    <row r="390" spans="1:17" x14ac:dyDescent="0.3">
      <c r="A390" s="35">
        <v>44736</v>
      </c>
      <c r="B390" s="36" t="s">
        <v>49</v>
      </c>
      <c r="C390" s="37">
        <v>7</v>
      </c>
      <c r="D390" s="37" t="s">
        <v>21</v>
      </c>
      <c r="E390" s="37" t="s">
        <v>19</v>
      </c>
      <c r="F390" s="38">
        <v>0</v>
      </c>
      <c r="G390" s="39" t="str">
        <f>VLOOKUP('Data 1'!$B390,'Data 2'!$A$1:$F$46,MATCH('Data 1'!G$1,'Data 2'!$A$1:$F$1,0),0)</f>
        <v>Product18</v>
      </c>
      <c r="H390" s="39" t="str">
        <f>VLOOKUP('Data 1'!$B390,'Data 2'!$A$1:$F$46,MATCH('Data 1'!H$1,'Data 2'!$A$1:$F$1,0),0)</f>
        <v>Category02</v>
      </c>
      <c r="I390" s="39" t="str">
        <f>VLOOKUP('Data 1'!$B390,'Data 2'!$A$1:$F$46,MATCH('Data 1'!I$1,'Data 2'!$A$1:$F$1,0),0)</f>
        <v>No.</v>
      </c>
      <c r="J390" s="39">
        <f>VLOOKUP('Data 1'!$B390,'Data 2'!$A$1:$F$46,MATCH('Data 1'!J$1,'Data 2'!$A$1:$F$1,0),0)</f>
        <v>37</v>
      </c>
      <c r="K390" s="39">
        <f>VLOOKUP('Data 1'!$B390,'Data 2'!$A$1:$F$46,MATCH('Data 1'!K$1,'Data 2'!$A$1:$F$1,0),0)</f>
        <v>49.21</v>
      </c>
      <c r="L390" s="40">
        <f>SUM('Data 1'!$J390*'Data 1'!$C390)</f>
        <v>259</v>
      </c>
      <c r="M390" s="40">
        <f>'Data 1'!$C390*'Data 1'!$K390</f>
        <v>344.47</v>
      </c>
      <c r="N390" s="40">
        <f>'Data 1'!$M390-'Data 1'!$L390</f>
        <v>85.470000000000027</v>
      </c>
      <c r="O390" s="37">
        <f>DAY('Data 1'!$A390)</f>
        <v>24</v>
      </c>
      <c r="P390" s="37" t="str">
        <f>TEXT('Data 1'!$A390,"mmm")</f>
        <v>Jun</v>
      </c>
      <c r="Q390" s="41">
        <f>YEAR('Data 1'!$A390)</f>
        <v>2022</v>
      </c>
    </row>
    <row r="391" spans="1:17" x14ac:dyDescent="0.3">
      <c r="A391" s="35">
        <v>44737</v>
      </c>
      <c r="B391" s="36" t="s">
        <v>54</v>
      </c>
      <c r="C391" s="37">
        <v>7</v>
      </c>
      <c r="D391" s="37" t="s">
        <v>17</v>
      </c>
      <c r="E391" s="37" t="s">
        <v>17</v>
      </c>
      <c r="F391" s="38">
        <v>0</v>
      </c>
      <c r="G391" s="42" t="str">
        <f>VLOOKUP('Data 1'!$B391,'Data 2'!$A$1:$F$46,MATCH('Data 1'!G$1,'Data 2'!$A$1:$F$1,0),0)</f>
        <v>Product12</v>
      </c>
      <c r="H391" s="42" t="str">
        <f>VLOOKUP('Data 1'!$B391,'Data 2'!$A$1:$F$46,MATCH('Data 1'!H$1,'Data 2'!$A$1:$F$1,0),0)</f>
        <v>Category02</v>
      </c>
      <c r="I391" s="42" t="str">
        <f>VLOOKUP('Data 1'!$B391,'Data 2'!$A$1:$F$46,MATCH('Data 1'!I$1,'Data 2'!$A$1:$F$1,0),0)</f>
        <v>Kg</v>
      </c>
      <c r="J391" s="42">
        <f>VLOOKUP('Data 1'!$B391,'Data 2'!$A$1:$F$46,MATCH('Data 1'!J$1,'Data 2'!$A$1:$F$1,0),0)</f>
        <v>73</v>
      </c>
      <c r="K391" s="42">
        <f>VLOOKUP('Data 1'!$B391,'Data 2'!$A$1:$F$46,MATCH('Data 1'!K$1,'Data 2'!$A$1:$F$1,0),0)</f>
        <v>94.17</v>
      </c>
      <c r="L391" s="40">
        <f>SUM('Data 1'!$J391*'Data 1'!$C391)</f>
        <v>511</v>
      </c>
      <c r="M391" s="40">
        <f>'Data 1'!$C391*'Data 1'!$K391</f>
        <v>659.19</v>
      </c>
      <c r="N391" s="40">
        <f>'Data 1'!$M391-'Data 1'!$L391</f>
        <v>148.19000000000005</v>
      </c>
      <c r="O391" s="37">
        <f>DAY('Data 1'!$A391)</f>
        <v>25</v>
      </c>
      <c r="P391" s="37" t="str">
        <f>TEXT('Data 1'!$A391,"mmm")</f>
        <v>Jun</v>
      </c>
      <c r="Q391" s="41">
        <f>YEAR('Data 1'!$A391)</f>
        <v>2022</v>
      </c>
    </row>
    <row r="392" spans="1:17" x14ac:dyDescent="0.3">
      <c r="A392" s="35">
        <v>44738</v>
      </c>
      <c r="B392" s="36" t="s">
        <v>32</v>
      </c>
      <c r="C392" s="37">
        <v>4</v>
      </c>
      <c r="D392" s="37" t="s">
        <v>21</v>
      </c>
      <c r="E392" s="37" t="s">
        <v>19</v>
      </c>
      <c r="F392" s="38">
        <v>0</v>
      </c>
      <c r="G392" s="39" t="str">
        <f>VLOOKUP('Data 1'!$B392,'Data 2'!$A$1:$F$46,MATCH('Data 1'!G$1,'Data 2'!$A$1:$F$1,0),0)</f>
        <v>Product34</v>
      </c>
      <c r="H392" s="39" t="str">
        <f>VLOOKUP('Data 1'!$B392,'Data 2'!$A$1:$F$46,MATCH('Data 1'!H$1,'Data 2'!$A$1:$F$1,0),0)</f>
        <v>Category04</v>
      </c>
      <c r="I392" s="39" t="str">
        <f>VLOOKUP('Data 1'!$B392,'Data 2'!$A$1:$F$46,MATCH('Data 1'!I$1,'Data 2'!$A$1:$F$1,0),0)</f>
        <v>Lt</v>
      </c>
      <c r="J392" s="39">
        <f>VLOOKUP('Data 1'!$B392,'Data 2'!$A$1:$F$46,MATCH('Data 1'!J$1,'Data 2'!$A$1:$F$1,0),0)</f>
        <v>55</v>
      </c>
      <c r="K392" s="39">
        <f>VLOOKUP('Data 1'!$B392,'Data 2'!$A$1:$F$46,MATCH('Data 1'!K$1,'Data 2'!$A$1:$F$1,0),0)</f>
        <v>58.3</v>
      </c>
      <c r="L392" s="40">
        <f>SUM('Data 1'!$J392*'Data 1'!$C392)</f>
        <v>220</v>
      </c>
      <c r="M392" s="40">
        <f>'Data 1'!$C392*'Data 1'!$K392</f>
        <v>233.2</v>
      </c>
      <c r="N392" s="40">
        <f>'Data 1'!$M392-'Data 1'!$L392</f>
        <v>13.199999999999989</v>
      </c>
      <c r="O392" s="37">
        <f>DAY('Data 1'!$A392)</f>
        <v>26</v>
      </c>
      <c r="P392" s="37" t="str">
        <f>TEXT('Data 1'!$A392,"mmm")</f>
        <v>Jun</v>
      </c>
      <c r="Q392" s="41">
        <f>YEAR('Data 1'!$A392)</f>
        <v>2022</v>
      </c>
    </row>
    <row r="393" spans="1:17" x14ac:dyDescent="0.3">
      <c r="A393" s="35">
        <v>44738</v>
      </c>
      <c r="B393" s="36" t="s">
        <v>42</v>
      </c>
      <c r="C393" s="37">
        <v>12</v>
      </c>
      <c r="D393" s="37" t="s">
        <v>21</v>
      </c>
      <c r="E393" s="37" t="s">
        <v>17</v>
      </c>
      <c r="F393" s="38">
        <v>0</v>
      </c>
      <c r="G393" s="42" t="str">
        <f>VLOOKUP('Data 1'!$B393,'Data 2'!$A$1:$F$46,MATCH('Data 1'!G$1,'Data 2'!$A$1:$F$1,0),0)</f>
        <v>Product43</v>
      </c>
      <c r="H393" s="42" t="str">
        <f>VLOOKUP('Data 1'!$B393,'Data 2'!$A$1:$F$46,MATCH('Data 1'!H$1,'Data 2'!$A$1:$F$1,0),0)</f>
        <v>Category05</v>
      </c>
      <c r="I393" s="42" t="str">
        <f>VLOOKUP('Data 1'!$B393,'Data 2'!$A$1:$F$46,MATCH('Data 1'!I$1,'Data 2'!$A$1:$F$1,0),0)</f>
        <v>Kg</v>
      </c>
      <c r="J393" s="42">
        <f>VLOOKUP('Data 1'!$B393,'Data 2'!$A$1:$F$46,MATCH('Data 1'!J$1,'Data 2'!$A$1:$F$1,0),0)</f>
        <v>67</v>
      </c>
      <c r="K393" s="42">
        <f>VLOOKUP('Data 1'!$B393,'Data 2'!$A$1:$F$46,MATCH('Data 1'!K$1,'Data 2'!$A$1:$F$1,0),0)</f>
        <v>83.08</v>
      </c>
      <c r="L393" s="40">
        <f>SUM('Data 1'!$J393*'Data 1'!$C393)</f>
        <v>804</v>
      </c>
      <c r="M393" s="40">
        <f>'Data 1'!$C393*'Data 1'!$K393</f>
        <v>996.96</v>
      </c>
      <c r="N393" s="40">
        <f>'Data 1'!$M393-'Data 1'!$L393</f>
        <v>192.96000000000004</v>
      </c>
      <c r="O393" s="37">
        <f>DAY('Data 1'!$A393)</f>
        <v>26</v>
      </c>
      <c r="P393" s="37" t="str">
        <f>TEXT('Data 1'!$A393,"mmm")</f>
        <v>Jun</v>
      </c>
      <c r="Q393" s="41">
        <f>YEAR('Data 1'!$A393)</f>
        <v>2022</v>
      </c>
    </row>
    <row r="394" spans="1:17" x14ac:dyDescent="0.3">
      <c r="A394" s="35">
        <v>44745</v>
      </c>
      <c r="B394" s="36" t="s">
        <v>57</v>
      </c>
      <c r="C394" s="37">
        <v>15</v>
      </c>
      <c r="D394" s="37" t="s">
        <v>21</v>
      </c>
      <c r="E394" s="37" t="s">
        <v>19</v>
      </c>
      <c r="F394" s="38">
        <v>0</v>
      </c>
      <c r="G394" s="39" t="str">
        <f>VLOOKUP('Data 1'!$B394,'Data 2'!$A$1:$F$46,MATCH('Data 1'!G$1,'Data 2'!$A$1:$F$1,0),0)</f>
        <v>Product33</v>
      </c>
      <c r="H394" s="39" t="str">
        <f>VLOOKUP('Data 1'!$B394,'Data 2'!$A$1:$F$46,MATCH('Data 1'!H$1,'Data 2'!$A$1:$F$1,0),0)</f>
        <v>Category04</v>
      </c>
      <c r="I394" s="39" t="str">
        <f>VLOOKUP('Data 1'!$B394,'Data 2'!$A$1:$F$46,MATCH('Data 1'!I$1,'Data 2'!$A$1:$F$1,0),0)</f>
        <v>Kg</v>
      </c>
      <c r="J394" s="39">
        <f>VLOOKUP('Data 1'!$B394,'Data 2'!$A$1:$F$46,MATCH('Data 1'!J$1,'Data 2'!$A$1:$F$1,0),0)</f>
        <v>95</v>
      </c>
      <c r="K394" s="39">
        <f>VLOOKUP('Data 1'!$B394,'Data 2'!$A$1:$F$46,MATCH('Data 1'!K$1,'Data 2'!$A$1:$F$1,0),0)</f>
        <v>119.7</v>
      </c>
      <c r="L394" s="40">
        <f>SUM('Data 1'!$J394*'Data 1'!$C394)</f>
        <v>1425</v>
      </c>
      <c r="M394" s="40">
        <f>'Data 1'!$C394*'Data 1'!$K394</f>
        <v>1795.5</v>
      </c>
      <c r="N394" s="40">
        <f>'Data 1'!$M394-'Data 1'!$L394</f>
        <v>370.5</v>
      </c>
      <c r="O394" s="37">
        <f>DAY('Data 1'!$A394)</f>
        <v>3</v>
      </c>
      <c r="P394" s="37" t="str">
        <f>TEXT('Data 1'!$A394,"mmm")</f>
        <v>Jul</v>
      </c>
      <c r="Q394" s="41">
        <f>YEAR('Data 1'!$A394)</f>
        <v>2022</v>
      </c>
    </row>
    <row r="395" spans="1:17" x14ac:dyDescent="0.3">
      <c r="A395" s="35">
        <v>44746</v>
      </c>
      <c r="B395" s="36" t="s">
        <v>55</v>
      </c>
      <c r="C395" s="37">
        <v>7</v>
      </c>
      <c r="D395" s="37" t="s">
        <v>21</v>
      </c>
      <c r="E395" s="37" t="s">
        <v>17</v>
      </c>
      <c r="F395" s="38">
        <v>0</v>
      </c>
      <c r="G395" s="42" t="str">
        <f>VLOOKUP('Data 1'!$B395,'Data 2'!$A$1:$F$46,MATCH('Data 1'!G$1,'Data 2'!$A$1:$F$1,0),0)</f>
        <v>Product07</v>
      </c>
      <c r="H395" s="42" t="str">
        <f>VLOOKUP('Data 1'!$B395,'Data 2'!$A$1:$F$46,MATCH('Data 1'!H$1,'Data 2'!$A$1:$F$1,0),0)</f>
        <v>Category01</v>
      </c>
      <c r="I395" s="42" t="str">
        <f>VLOOKUP('Data 1'!$B395,'Data 2'!$A$1:$F$46,MATCH('Data 1'!I$1,'Data 2'!$A$1:$F$1,0),0)</f>
        <v>Lt</v>
      </c>
      <c r="J395" s="42">
        <f>VLOOKUP('Data 1'!$B395,'Data 2'!$A$1:$F$46,MATCH('Data 1'!J$1,'Data 2'!$A$1:$F$1,0),0)</f>
        <v>43</v>
      </c>
      <c r="K395" s="42">
        <f>VLOOKUP('Data 1'!$B395,'Data 2'!$A$1:$F$46,MATCH('Data 1'!K$1,'Data 2'!$A$1:$F$1,0),0)</f>
        <v>47.730000000000004</v>
      </c>
      <c r="L395" s="40">
        <f>SUM('Data 1'!$J395*'Data 1'!$C395)</f>
        <v>301</v>
      </c>
      <c r="M395" s="40">
        <f>'Data 1'!$C395*'Data 1'!$K395</f>
        <v>334.11</v>
      </c>
      <c r="N395" s="40">
        <f>'Data 1'!$M395-'Data 1'!$L395</f>
        <v>33.110000000000014</v>
      </c>
      <c r="O395" s="37">
        <f>DAY('Data 1'!$A395)</f>
        <v>4</v>
      </c>
      <c r="P395" s="37" t="str">
        <f>TEXT('Data 1'!$A395,"mmm")</f>
        <v>Jul</v>
      </c>
      <c r="Q395" s="41">
        <f>YEAR('Data 1'!$A395)</f>
        <v>2022</v>
      </c>
    </row>
    <row r="396" spans="1:17" x14ac:dyDescent="0.3">
      <c r="A396" s="35">
        <v>44747</v>
      </c>
      <c r="B396" s="36" t="s">
        <v>26</v>
      </c>
      <c r="C396" s="37">
        <v>7</v>
      </c>
      <c r="D396" s="37" t="s">
        <v>17</v>
      </c>
      <c r="E396" s="37" t="s">
        <v>19</v>
      </c>
      <c r="F396" s="38">
        <v>0</v>
      </c>
      <c r="G396" s="39" t="str">
        <f>VLOOKUP('Data 1'!$B396,'Data 2'!$A$1:$F$46,MATCH('Data 1'!G$1,'Data 2'!$A$1:$F$1,0),0)</f>
        <v>Product25</v>
      </c>
      <c r="H396" s="39" t="str">
        <f>VLOOKUP('Data 1'!$B396,'Data 2'!$A$1:$F$46,MATCH('Data 1'!H$1,'Data 2'!$A$1:$F$1,0),0)</f>
        <v>Category03</v>
      </c>
      <c r="I396" s="39" t="str">
        <f>VLOOKUP('Data 1'!$B396,'Data 2'!$A$1:$F$46,MATCH('Data 1'!I$1,'Data 2'!$A$1:$F$1,0),0)</f>
        <v>No.</v>
      </c>
      <c r="J396" s="39">
        <f>VLOOKUP('Data 1'!$B396,'Data 2'!$A$1:$F$46,MATCH('Data 1'!J$1,'Data 2'!$A$1:$F$1,0),0)</f>
        <v>7</v>
      </c>
      <c r="K396" s="39">
        <f>VLOOKUP('Data 1'!$B396,'Data 2'!$A$1:$F$46,MATCH('Data 1'!K$1,'Data 2'!$A$1:$F$1,0),0)</f>
        <v>8.33</v>
      </c>
      <c r="L396" s="40">
        <f>SUM('Data 1'!$J396*'Data 1'!$C396)</f>
        <v>49</v>
      </c>
      <c r="M396" s="40">
        <f>'Data 1'!$C396*'Data 1'!$K396</f>
        <v>58.31</v>
      </c>
      <c r="N396" s="40">
        <f>'Data 1'!$M396-'Data 1'!$L396</f>
        <v>9.3100000000000023</v>
      </c>
      <c r="O396" s="37">
        <f>DAY('Data 1'!$A396)</f>
        <v>5</v>
      </c>
      <c r="P396" s="37" t="str">
        <f>TEXT('Data 1'!$A396,"mmm")</f>
        <v>Jul</v>
      </c>
      <c r="Q396" s="41">
        <f>YEAR('Data 1'!$A396)</f>
        <v>2022</v>
      </c>
    </row>
    <row r="397" spans="1:17" x14ac:dyDescent="0.3">
      <c r="A397" s="35">
        <v>44747</v>
      </c>
      <c r="B397" s="36" t="s">
        <v>46</v>
      </c>
      <c r="C397" s="37">
        <v>8</v>
      </c>
      <c r="D397" s="37" t="s">
        <v>21</v>
      </c>
      <c r="E397" s="37" t="s">
        <v>17</v>
      </c>
      <c r="F397" s="38">
        <v>0</v>
      </c>
      <c r="G397" s="42" t="str">
        <f>VLOOKUP('Data 1'!$B397,'Data 2'!$A$1:$F$46,MATCH('Data 1'!G$1,'Data 2'!$A$1:$F$1,0),0)</f>
        <v>Product15</v>
      </c>
      <c r="H397" s="42" t="str">
        <f>VLOOKUP('Data 1'!$B397,'Data 2'!$A$1:$F$46,MATCH('Data 1'!H$1,'Data 2'!$A$1:$F$1,0),0)</f>
        <v>Category02</v>
      </c>
      <c r="I397" s="42" t="str">
        <f>VLOOKUP('Data 1'!$B397,'Data 2'!$A$1:$F$46,MATCH('Data 1'!I$1,'Data 2'!$A$1:$F$1,0),0)</f>
        <v>No.</v>
      </c>
      <c r="J397" s="42">
        <f>VLOOKUP('Data 1'!$B397,'Data 2'!$A$1:$F$46,MATCH('Data 1'!J$1,'Data 2'!$A$1:$F$1,0),0)</f>
        <v>12</v>
      </c>
      <c r="K397" s="42">
        <f>VLOOKUP('Data 1'!$B397,'Data 2'!$A$1:$F$46,MATCH('Data 1'!K$1,'Data 2'!$A$1:$F$1,0),0)</f>
        <v>15.719999999999999</v>
      </c>
      <c r="L397" s="40">
        <f>SUM('Data 1'!$J397*'Data 1'!$C397)</f>
        <v>96</v>
      </c>
      <c r="M397" s="40">
        <f>'Data 1'!$C397*'Data 1'!$K397</f>
        <v>125.75999999999999</v>
      </c>
      <c r="N397" s="40">
        <f>'Data 1'!$M397-'Data 1'!$L397</f>
        <v>29.759999999999991</v>
      </c>
      <c r="O397" s="37">
        <f>DAY('Data 1'!$A397)</f>
        <v>5</v>
      </c>
      <c r="P397" s="37" t="str">
        <f>TEXT('Data 1'!$A397,"mmm")</f>
        <v>Jul</v>
      </c>
      <c r="Q397" s="41">
        <f>YEAR('Data 1'!$A397)</f>
        <v>2022</v>
      </c>
    </row>
    <row r="398" spans="1:17" x14ac:dyDescent="0.3">
      <c r="A398" s="35">
        <v>44748</v>
      </c>
      <c r="B398" s="36" t="s">
        <v>60</v>
      </c>
      <c r="C398" s="37">
        <v>2</v>
      </c>
      <c r="D398" s="37" t="s">
        <v>21</v>
      </c>
      <c r="E398" s="37" t="s">
        <v>19</v>
      </c>
      <c r="F398" s="38">
        <v>0</v>
      </c>
      <c r="G398" s="39" t="str">
        <f>VLOOKUP('Data 1'!$B398,'Data 2'!$A$1:$F$46,MATCH('Data 1'!G$1,'Data 2'!$A$1:$F$1,0),0)</f>
        <v>Product41</v>
      </c>
      <c r="H398" s="39" t="str">
        <f>VLOOKUP('Data 1'!$B398,'Data 2'!$A$1:$F$46,MATCH('Data 1'!H$1,'Data 2'!$A$1:$F$1,0),0)</f>
        <v>Category05</v>
      </c>
      <c r="I398" s="39" t="str">
        <f>VLOOKUP('Data 1'!$B398,'Data 2'!$A$1:$F$46,MATCH('Data 1'!I$1,'Data 2'!$A$1:$F$1,0),0)</f>
        <v>Ft</v>
      </c>
      <c r="J398" s="39">
        <f>VLOOKUP('Data 1'!$B398,'Data 2'!$A$1:$F$46,MATCH('Data 1'!J$1,'Data 2'!$A$1:$F$1,0),0)</f>
        <v>138</v>
      </c>
      <c r="K398" s="39">
        <f>VLOOKUP('Data 1'!$B398,'Data 2'!$A$1:$F$46,MATCH('Data 1'!K$1,'Data 2'!$A$1:$F$1,0),0)</f>
        <v>173.88</v>
      </c>
      <c r="L398" s="40">
        <f>SUM('Data 1'!$J398*'Data 1'!$C398)</f>
        <v>276</v>
      </c>
      <c r="M398" s="40">
        <f>'Data 1'!$C398*'Data 1'!$K398</f>
        <v>347.76</v>
      </c>
      <c r="N398" s="40">
        <f>'Data 1'!$M398-'Data 1'!$L398</f>
        <v>71.759999999999991</v>
      </c>
      <c r="O398" s="37">
        <f>DAY('Data 1'!$A398)</f>
        <v>6</v>
      </c>
      <c r="P398" s="37" t="str">
        <f>TEXT('Data 1'!$A398,"mmm")</f>
        <v>Jul</v>
      </c>
      <c r="Q398" s="41">
        <f>YEAR('Data 1'!$A398)</f>
        <v>2022</v>
      </c>
    </row>
    <row r="399" spans="1:17" x14ac:dyDescent="0.3">
      <c r="A399" s="35">
        <v>44750</v>
      </c>
      <c r="B399" s="36" t="s">
        <v>49</v>
      </c>
      <c r="C399" s="37">
        <v>2</v>
      </c>
      <c r="D399" s="37" t="s">
        <v>21</v>
      </c>
      <c r="E399" s="37" t="s">
        <v>17</v>
      </c>
      <c r="F399" s="38">
        <v>0</v>
      </c>
      <c r="G399" s="42" t="str">
        <f>VLOOKUP('Data 1'!$B399,'Data 2'!$A$1:$F$46,MATCH('Data 1'!G$1,'Data 2'!$A$1:$F$1,0),0)</f>
        <v>Product18</v>
      </c>
      <c r="H399" s="42" t="str">
        <f>VLOOKUP('Data 1'!$B399,'Data 2'!$A$1:$F$46,MATCH('Data 1'!H$1,'Data 2'!$A$1:$F$1,0),0)</f>
        <v>Category02</v>
      </c>
      <c r="I399" s="42" t="str">
        <f>VLOOKUP('Data 1'!$B399,'Data 2'!$A$1:$F$46,MATCH('Data 1'!I$1,'Data 2'!$A$1:$F$1,0),0)</f>
        <v>No.</v>
      </c>
      <c r="J399" s="42">
        <f>VLOOKUP('Data 1'!$B399,'Data 2'!$A$1:$F$46,MATCH('Data 1'!J$1,'Data 2'!$A$1:$F$1,0),0)</f>
        <v>37</v>
      </c>
      <c r="K399" s="42">
        <f>VLOOKUP('Data 1'!$B399,'Data 2'!$A$1:$F$46,MATCH('Data 1'!K$1,'Data 2'!$A$1:$F$1,0),0)</f>
        <v>49.21</v>
      </c>
      <c r="L399" s="40">
        <f>SUM('Data 1'!$J399*'Data 1'!$C399)</f>
        <v>74</v>
      </c>
      <c r="M399" s="40">
        <f>'Data 1'!$C399*'Data 1'!$K399</f>
        <v>98.42</v>
      </c>
      <c r="N399" s="40">
        <f>'Data 1'!$M399-'Data 1'!$L399</f>
        <v>24.42</v>
      </c>
      <c r="O399" s="37">
        <f>DAY('Data 1'!$A399)</f>
        <v>8</v>
      </c>
      <c r="P399" s="37" t="str">
        <f>TEXT('Data 1'!$A399,"mmm")</f>
        <v>Jul</v>
      </c>
      <c r="Q399" s="41">
        <f>YEAR('Data 1'!$A399)</f>
        <v>2022</v>
      </c>
    </row>
    <row r="400" spans="1:17" x14ac:dyDescent="0.3">
      <c r="A400" s="35">
        <v>44752</v>
      </c>
      <c r="B400" s="36" t="s">
        <v>37</v>
      </c>
      <c r="C400" s="37">
        <v>12</v>
      </c>
      <c r="D400" s="37" t="s">
        <v>17</v>
      </c>
      <c r="E400" s="37" t="s">
        <v>19</v>
      </c>
      <c r="F400" s="38">
        <v>0</v>
      </c>
      <c r="G400" s="39" t="str">
        <f>VLOOKUP('Data 1'!$B400,'Data 2'!$A$1:$F$46,MATCH('Data 1'!G$1,'Data 2'!$A$1:$F$1,0),0)</f>
        <v>Product32</v>
      </c>
      <c r="H400" s="39" t="str">
        <f>VLOOKUP('Data 1'!$B400,'Data 2'!$A$1:$F$46,MATCH('Data 1'!H$1,'Data 2'!$A$1:$F$1,0),0)</f>
        <v>Category04</v>
      </c>
      <c r="I400" s="39" t="str">
        <f>VLOOKUP('Data 1'!$B400,'Data 2'!$A$1:$F$46,MATCH('Data 1'!I$1,'Data 2'!$A$1:$F$1,0),0)</f>
        <v>Kg</v>
      </c>
      <c r="J400" s="39">
        <f>VLOOKUP('Data 1'!$B400,'Data 2'!$A$1:$F$46,MATCH('Data 1'!J$1,'Data 2'!$A$1:$F$1,0),0)</f>
        <v>89</v>
      </c>
      <c r="K400" s="39">
        <f>VLOOKUP('Data 1'!$B400,'Data 2'!$A$1:$F$46,MATCH('Data 1'!K$1,'Data 2'!$A$1:$F$1,0),0)</f>
        <v>117.48</v>
      </c>
      <c r="L400" s="40">
        <f>SUM('Data 1'!$J400*'Data 1'!$C400)</f>
        <v>1068</v>
      </c>
      <c r="M400" s="40">
        <f>'Data 1'!$C400*'Data 1'!$K400</f>
        <v>1409.76</v>
      </c>
      <c r="N400" s="40">
        <f>'Data 1'!$M400-'Data 1'!$L400</f>
        <v>341.76</v>
      </c>
      <c r="O400" s="37">
        <f>DAY('Data 1'!$A400)</f>
        <v>10</v>
      </c>
      <c r="P400" s="37" t="str">
        <f>TEXT('Data 1'!$A400,"mmm")</f>
        <v>Jul</v>
      </c>
      <c r="Q400" s="41">
        <f>YEAR('Data 1'!$A400)</f>
        <v>2022</v>
      </c>
    </row>
    <row r="401" spans="1:17" x14ac:dyDescent="0.3">
      <c r="A401" s="35">
        <v>44754</v>
      </c>
      <c r="B401" s="36" t="s">
        <v>52</v>
      </c>
      <c r="C401" s="37">
        <v>12</v>
      </c>
      <c r="D401" s="37" t="s">
        <v>21</v>
      </c>
      <c r="E401" s="37" t="s">
        <v>19</v>
      </c>
      <c r="F401" s="38">
        <v>0</v>
      </c>
      <c r="G401" s="42" t="str">
        <f>VLOOKUP('Data 1'!$B401,'Data 2'!$A$1:$F$46,MATCH('Data 1'!G$1,'Data 2'!$A$1:$F$1,0),0)</f>
        <v>Product28</v>
      </c>
      <c r="H401" s="42" t="str">
        <f>VLOOKUP('Data 1'!$B401,'Data 2'!$A$1:$F$46,MATCH('Data 1'!H$1,'Data 2'!$A$1:$F$1,0),0)</f>
        <v>Category04</v>
      </c>
      <c r="I401" s="42" t="str">
        <f>VLOOKUP('Data 1'!$B401,'Data 2'!$A$1:$F$46,MATCH('Data 1'!I$1,'Data 2'!$A$1:$F$1,0),0)</f>
        <v>No.</v>
      </c>
      <c r="J401" s="42">
        <f>VLOOKUP('Data 1'!$B401,'Data 2'!$A$1:$F$46,MATCH('Data 1'!J$1,'Data 2'!$A$1:$F$1,0),0)</f>
        <v>37</v>
      </c>
      <c r="K401" s="42">
        <f>VLOOKUP('Data 1'!$B401,'Data 2'!$A$1:$F$46,MATCH('Data 1'!K$1,'Data 2'!$A$1:$F$1,0),0)</f>
        <v>41.81</v>
      </c>
      <c r="L401" s="40">
        <f>SUM('Data 1'!$J401*'Data 1'!$C401)</f>
        <v>444</v>
      </c>
      <c r="M401" s="40">
        <f>'Data 1'!$C401*'Data 1'!$K401</f>
        <v>501.72</v>
      </c>
      <c r="N401" s="40">
        <f>'Data 1'!$M401-'Data 1'!$L401</f>
        <v>57.720000000000027</v>
      </c>
      <c r="O401" s="37">
        <f>DAY('Data 1'!$A401)</f>
        <v>12</v>
      </c>
      <c r="P401" s="37" t="str">
        <f>TEXT('Data 1'!$A401,"mmm")</f>
        <v>Jul</v>
      </c>
      <c r="Q401" s="41">
        <f>YEAR('Data 1'!$A401)</f>
        <v>2022</v>
      </c>
    </row>
    <row r="402" spans="1:17" x14ac:dyDescent="0.3">
      <c r="A402" s="35">
        <v>44755</v>
      </c>
      <c r="B402" s="36" t="s">
        <v>26</v>
      </c>
      <c r="C402" s="37">
        <v>7</v>
      </c>
      <c r="D402" s="37" t="s">
        <v>21</v>
      </c>
      <c r="E402" s="37" t="s">
        <v>17</v>
      </c>
      <c r="F402" s="38">
        <v>0</v>
      </c>
      <c r="G402" s="39" t="str">
        <f>VLOOKUP('Data 1'!$B402,'Data 2'!$A$1:$F$46,MATCH('Data 1'!G$1,'Data 2'!$A$1:$F$1,0),0)</f>
        <v>Product25</v>
      </c>
      <c r="H402" s="39" t="str">
        <f>VLOOKUP('Data 1'!$B402,'Data 2'!$A$1:$F$46,MATCH('Data 1'!H$1,'Data 2'!$A$1:$F$1,0),0)</f>
        <v>Category03</v>
      </c>
      <c r="I402" s="39" t="str">
        <f>VLOOKUP('Data 1'!$B402,'Data 2'!$A$1:$F$46,MATCH('Data 1'!I$1,'Data 2'!$A$1:$F$1,0),0)</f>
        <v>No.</v>
      </c>
      <c r="J402" s="39">
        <f>VLOOKUP('Data 1'!$B402,'Data 2'!$A$1:$F$46,MATCH('Data 1'!J$1,'Data 2'!$A$1:$F$1,0),0)</f>
        <v>7</v>
      </c>
      <c r="K402" s="39">
        <f>VLOOKUP('Data 1'!$B402,'Data 2'!$A$1:$F$46,MATCH('Data 1'!K$1,'Data 2'!$A$1:$F$1,0),0)</f>
        <v>8.33</v>
      </c>
      <c r="L402" s="40">
        <f>SUM('Data 1'!$J402*'Data 1'!$C402)</f>
        <v>49</v>
      </c>
      <c r="M402" s="40">
        <f>'Data 1'!$C402*'Data 1'!$K402</f>
        <v>58.31</v>
      </c>
      <c r="N402" s="40">
        <f>'Data 1'!$M402-'Data 1'!$L402</f>
        <v>9.3100000000000023</v>
      </c>
      <c r="O402" s="37">
        <f>DAY('Data 1'!$A402)</f>
        <v>13</v>
      </c>
      <c r="P402" s="37" t="str">
        <f>TEXT('Data 1'!$A402,"mmm")</f>
        <v>Jul</v>
      </c>
      <c r="Q402" s="41">
        <f>YEAR('Data 1'!$A402)</f>
        <v>2022</v>
      </c>
    </row>
    <row r="403" spans="1:17" x14ac:dyDescent="0.3">
      <c r="A403" s="35">
        <v>44756</v>
      </c>
      <c r="B403" s="36" t="s">
        <v>57</v>
      </c>
      <c r="C403" s="37">
        <v>9</v>
      </c>
      <c r="D403" s="37" t="s">
        <v>21</v>
      </c>
      <c r="E403" s="37" t="s">
        <v>17</v>
      </c>
      <c r="F403" s="38">
        <v>0</v>
      </c>
      <c r="G403" s="42" t="str">
        <f>VLOOKUP('Data 1'!$B403,'Data 2'!$A$1:$F$46,MATCH('Data 1'!G$1,'Data 2'!$A$1:$F$1,0),0)</f>
        <v>Product33</v>
      </c>
      <c r="H403" s="42" t="str">
        <f>VLOOKUP('Data 1'!$B403,'Data 2'!$A$1:$F$46,MATCH('Data 1'!H$1,'Data 2'!$A$1:$F$1,0),0)</f>
        <v>Category04</v>
      </c>
      <c r="I403" s="42" t="str">
        <f>VLOOKUP('Data 1'!$B403,'Data 2'!$A$1:$F$46,MATCH('Data 1'!I$1,'Data 2'!$A$1:$F$1,0),0)</f>
        <v>Kg</v>
      </c>
      <c r="J403" s="42">
        <f>VLOOKUP('Data 1'!$B403,'Data 2'!$A$1:$F$46,MATCH('Data 1'!J$1,'Data 2'!$A$1:$F$1,0),0)</f>
        <v>95</v>
      </c>
      <c r="K403" s="42">
        <f>VLOOKUP('Data 1'!$B403,'Data 2'!$A$1:$F$46,MATCH('Data 1'!K$1,'Data 2'!$A$1:$F$1,0),0)</f>
        <v>119.7</v>
      </c>
      <c r="L403" s="40">
        <f>SUM('Data 1'!$J403*'Data 1'!$C403)</f>
        <v>855</v>
      </c>
      <c r="M403" s="40">
        <f>'Data 1'!$C403*'Data 1'!$K403</f>
        <v>1077.3</v>
      </c>
      <c r="N403" s="40">
        <f>'Data 1'!$M403-'Data 1'!$L403</f>
        <v>222.29999999999995</v>
      </c>
      <c r="O403" s="37">
        <f>DAY('Data 1'!$A403)</f>
        <v>14</v>
      </c>
      <c r="P403" s="37" t="str">
        <f>TEXT('Data 1'!$A403,"mmm")</f>
        <v>Jul</v>
      </c>
      <c r="Q403" s="41">
        <f>YEAR('Data 1'!$A403)</f>
        <v>2022</v>
      </c>
    </row>
    <row r="404" spans="1:17" x14ac:dyDescent="0.3">
      <c r="A404" s="35">
        <v>44757</v>
      </c>
      <c r="B404" s="36" t="s">
        <v>22</v>
      </c>
      <c r="C404" s="37">
        <v>2</v>
      </c>
      <c r="D404" s="37" t="s">
        <v>17</v>
      </c>
      <c r="E404" s="37" t="s">
        <v>17</v>
      </c>
      <c r="F404" s="38">
        <v>0</v>
      </c>
      <c r="G404" s="39" t="str">
        <f>VLOOKUP('Data 1'!$B404,'Data 2'!$A$1:$F$46,MATCH('Data 1'!G$1,'Data 2'!$A$1:$F$1,0),0)</f>
        <v>Product04</v>
      </c>
      <c r="H404" s="39" t="str">
        <f>VLOOKUP('Data 1'!$B404,'Data 2'!$A$1:$F$46,MATCH('Data 1'!H$1,'Data 2'!$A$1:$F$1,0),0)</f>
        <v>Category01</v>
      </c>
      <c r="I404" s="39" t="str">
        <f>VLOOKUP('Data 1'!$B404,'Data 2'!$A$1:$F$46,MATCH('Data 1'!I$1,'Data 2'!$A$1:$F$1,0),0)</f>
        <v>Lt</v>
      </c>
      <c r="J404" s="39">
        <f>VLOOKUP('Data 1'!$B404,'Data 2'!$A$1:$F$46,MATCH('Data 1'!J$1,'Data 2'!$A$1:$F$1,0),0)</f>
        <v>44</v>
      </c>
      <c r="K404" s="39">
        <f>VLOOKUP('Data 1'!$B404,'Data 2'!$A$1:$F$46,MATCH('Data 1'!K$1,'Data 2'!$A$1:$F$1,0),0)</f>
        <v>48.84</v>
      </c>
      <c r="L404" s="40">
        <f>SUM('Data 1'!$J404*'Data 1'!$C404)</f>
        <v>88</v>
      </c>
      <c r="M404" s="40">
        <f>'Data 1'!$C404*'Data 1'!$K404</f>
        <v>97.68</v>
      </c>
      <c r="N404" s="40">
        <f>'Data 1'!$M404-'Data 1'!$L404</f>
        <v>9.6800000000000068</v>
      </c>
      <c r="O404" s="37">
        <f>DAY('Data 1'!$A404)</f>
        <v>15</v>
      </c>
      <c r="P404" s="37" t="str">
        <f>TEXT('Data 1'!$A404,"mmm")</f>
        <v>Jul</v>
      </c>
      <c r="Q404" s="41">
        <f>YEAR('Data 1'!$A404)</f>
        <v>2022</v>
      </c>
    </row>
    <row r="405" spans="1:17" x14ac:dyDescent="0.3">
      <c r="A405" s="35">
        <v>44759</v>
      </c>
      <c r="B405" s="36" t="s">
        <v>60</v>
      </c>
      <c r="C405" s="37">
        <v>8</v>
      </c>
      <c r="D405" s="37" t="s">
        <v>17</v>
      </c>
      <c r="E405" s="37" t="s">
        <v>19</v>
      </c>
      <c r="F405" s="38">
        <v>0</v>
      </c>
      <c r="G405" s="42" t="str">
        <f>VLOOKUP('Data 1'!$B405,'Data 2'!$A$1:$F$46,MATCH('Data 1'!G$1,'Data 2'!$A$1:$F$1,0),0)</f>
        <v>Product41</v>
      </c>
      <c r="H405" s="42" t="str">
        <f>VLOOKUP('Data 1'!$B405,'Data 2'!$A$1:$F$46,MATCH('Data 1'!H$1,'Data 2'!$A$1:$F$1,0),0)</f>
        <v>Category05</v>
      </c>
      <c r="I405" s="42" t="str">
        <f>VLOOKUP('Data 1'!$B405,'Data 2'!$A$1:$F$46,MATCH('Data 1'!I$1,'Data 2'!$A$1:$F$1,0),0)</f>
        <v>Ft</v>
      </c>
      <c r="J405" s="42">
        <f>VLOOKUP('Data 1'!$B405,'Data 2'!$A$1:$F$46,MATCH('Data 1'!J$1,'Data 2'!$A$1:$F$1,0),0)</f>
        <v>138</v>
      </c>
      <c r="K405" s="42">
        <f>VLOOKUP('Data 1'!$B405,'Data 2'!$A$1:$F$46,MATCH('Data 1'!K$1,'Data 2'!$A$1:$F$1,0),0)</f>
        <v>173.88</v>
      </c>
      <c r="L405" s="40">
        <f>SUM('Data 1'!$J405*'Data 1'!$C405)</f>
        <v>1104</v>
      </c>
      <c r="M405" s="40">
        <f>'Data 1'!$C405*'Data 1'!$K405</f>
        <v>1391.04</v>
      </c>
      <c r="N405" s="40">
        <f>'Data 1'!$M405-'Data 1'!$L405</f>
        <v>287.03999999999996</v>
      </c>
      <c r="O405" s="37">
        <f>DAY('Data 1'!$A405)</f>
        <v>17</v>
      </c>
      <c r="P405" s="37" t="str">
        <f>TEXT('Data 1'!$A405,"mmm")</f>
        <v>Jul</v>
      </c>
      <c r="Q405" s="41">
        <f>YEAR('Data 1'!$A405)</f>
        <v>2022</v>
      </c>
    </row>
    <row r="406" spans="1:17" x14ac:dyDescent="0.3">
      <c r="A406" s="35">
        <v>44760</v>
      </c>
      <c r="B406" s="36" t="s">
        <v>39</v>
      </c>
      <c r="C406" s="37">
        <v>12</v>
      </c>
      <c r="D406" s="37" t="s">
        <v>21</v>
      </c>
      <c r="E406" s="37" t="s">
        <v>17</v>
      </c>
      <c r="F406" s="38">
        <v>0</v>
      </c>
      <c r="G406" s="39" t="str">
        <f>VLOOKUP('Data 1'!$B406,'Data 2'!$A$1:$F$46,MATCH('Data 1'!G$1,'Data 2'!$A$1:$F$1,0),0)</f>
        <v>Product10</v>
      </c>
      <c r="H406" s="39" t="str">
        <f>VLOOKUP('Data 1'!$B406,'Data 2'!$A$1:$F$46,MATCH('Data 1'!H$1,'Data 2'!$A$1:$F$1,0),0)</f>
        <v>Category02</v>
      </c>
      <c r="I406" s="39" t="str">
        <f>VLOOKUP('Data 1'!$B406,'Data 2'!$A$1:$F$46,MATCH('Data 1'!I$1,'Data 2'!$A$1:$F$1,0),0)</f>
        <v>Ft</v>
      </c>
      <c r="J406" s="39">
        <f>VLOOKUP('Data 1'!$B406,'Data 2'!$A$1:$F$46,MATCH('Data 1'!J$1,'Data 2'!$A$1:$F$1,0),0)</f>
        <v>148</v>
      </c>
      <c r="K406" s="39">
        <f>VLOOKUP('Data 1'!$B406,'Data 2'!$A$1:$F$46,MATCH('Data 1'!K$1,'Data 2'!$A$1:$F$1,0),0)</f>
        <v>164.28</v>
      </c>
      <c r="L406" s="40">
        <f>SUM('Data 1'!$J406*'Data 1'!$C406)</f>
        <v>1776</v>
      </c>
      <c r="M406" s="40">
        <f>'Data 1'!$C406*'Data 1'!$K406</f>
        <v>1971.3600000000001</v>
      </c>
      <c r="N406" s="40">
        <f>'Data 1'!$M406-'Data 1'!$L406</f>
        <v>195.36000000000013</v>
      </c>
      <c r="O406" s="37">
        <f>DAY('Data 1'!$A406)</f>
        <v>18</v>
      </c>
      <c r="P406" s="37" t="str">
        <f>TEXT('Data 1'!$A406,"mmm")</f>
        <v>Jul</v>
      </c>
      <c r="Q406" s="41">
        <f>YEAR('Data 1'!$A406)</f>
        <v>2022</v>
      </c>
    </row>
    <row r="407" spans="1:17" x14ac:dyDescent="0.3">
      <c r="A407" s="35">
        <v>44762</v>
      </c>
      <c r="B407" s="36" t="s">
        <v>29</v>
      </c>
      <c r="C407" s="37">
        <v>8</v>
      </c>
      <c r="D407" s="37" t="s">
        <v>16</v>
      </c>
      <c r="E407" s="37" t="s">
        <v>17</v>
      </c>
      <c r="F407" s="38">
        <v>0</v>
      </c>
      <c r="G407" s="42" t="str">
        <f>VLOOKUP('Data 1'!$B407,'Data 2'!$A$1:$F$46,MATCH('Data 1'!G$1,'Data 2'!$A$1:$F$1,0),0)</f>
        <v>Product42</v>
      </c>
      <c r="H407" s="42" t="str">
        <f>VLOOKUP('Data 1'!$B407,'Data 2'!$A$1:$F$46,MATCH('Data 1'!H$1,'Data 2'!$A$1:$F$1,0),0)</f>
        <v>Category05</v>
      </c>
      <c r="I407" s="42" t="str">
        <f>VLOOKUP('Data 1'!$B407,'Data 2'!$A$1:$F$46,MATCH('Data 1'!I$1,'Data 2'!$A$1:$F$1,0),0)</f>
        <v>Ft</v>
      </c>
      <c r="J407" s="42">
        <f>VLOOKUP('Data 1'!$B407,'Data 2'!$A$1:$F$46,MATCH('Data 1'!J$1,'Data 2'!$A$1:$F$1,0),0)</f>
        <v>120</v>
      </c>
      <c r="K407" s="42">
        <f>VLOOKUP('Data 1'!$B407,'Data 2'!$A$1:$F$46,MATCH('Data 1'!K$1,'Data 2'!$A$1:$F$1,0),0)</f>
        <v>162</v>
      </c>
      <c r="L407" s="40">
        <f>SUM('Data 1'!$J407*'Data 1'!$C407)</f>
        <v>960</v>
      </c>
      <c r="M407" s="40">
        <f>'Data 1'!$C407*'Data 1'!$K407</f>
        <v>1296</v>
      </c>
      <c r="N407" s="40">
        <f>'Data 1'!$M407-'Data 1'!$L407</f>
        <v>336</v>
      </c>
      <c r="O407" s="37">
        <f>DAY('Data 1'!$A407)</f>
        <v>20</v>
      </c>
      <c r="P407" s="37" t="str">
        <f>TEXT('Data 1'!$A407,"mmm")</f>
        <v>Jul</v>
      </c>
      <c r="Q407" s="41">
        <f>YEAR('Data 1'!$A407)</f>
        <v>2022</v>
      </c>
    </row>
    <row r="408" spans="1:17" x14ac:dyDescent="0.3">
      <c r="A408" s="35">
        <v>44764</v>
      </c>
      <c r="B408" s="36" t="s">
        <v>32</v>
      </c>
      <c r="C408" s="37">
        <v>6</v>
      </c>
      <c r="D408" s="37" t="s">
        <v>21</v>
      </c>
      <c r="E408" s="37" t="s">
        <v>19</v>
      </c>
      <c r="F408" s="38">
        <v>0</v>
      </c>
      <c r="G408" s="39" t="str">
        <f>VLOOKUP('Data 1'!$B408,'Data 2'!$A$1:$F$46,MATCH('Data 1'!G$1,'Data 2'!$A$1:$F$1,0),0)</f>
        <v>Product34</v>
      </c>
      <c r="H408" s="39" t="str">
        <f>VLOOKUP('Data 1'!$B408,'Data 2'!$A$1:$F$46,MATCH('Data 1'!H$1,'Data 2'!$A$1:$F$1,0),0)</f>
        <v>Category04</v>
      </c>
      <c r="I408" s="39" t="str">
        <f>VLOOKUP('Data 1'!$B408,'Data 2'!$A$1:$F$46,MATCH('Data 1'!I$1,'Data 2'!$A$1:$F$1,0),0)</f>
        <v>Lt</v>
      </c>
      <c r="J408" s="39">
        <f>VLOOKUP('Data 1'!$B408,'Data 2'!$A$1:$F$46,MATCH('Data 1'!J$1,'Data 2'!$A$1:$F$1,0),0)</f>
        <v>55</v>
      </c>
      <c r="K408" s="39">
        <f>VLOOKUP('Data 1'!$B408,'Data 2'!$A$1:$F$46,MATCH('Data 1'!K$1,'Data 2'!$A$1:$F$1,0),0)</f>
        <v>58.3</v>
      </c>
      <c r="L408" s="40">
        <f>SUM('Data 1'!$J408*'Data 1'!$C408)</f>
        <v>330</v>
      </c>
      <c r="M408" s="40">
        <f>'Data 1'!$C408*'Data 1'!$K408</f>
        <v>349.79999999999995</v>
      </c>
      <c r="N408" s="40">
        <f>'Data 1'!$M408-'Data 1'!$L408</f>
        <v>19.799999999999955</v>
      </c>
      <c r="O408" s="37">
        <f>DAY('Data 1'!$A408)</f>
        <v>22</v>
      </c>
      <c r="P408" s="37" t="str">
        <f>TEXT('Data 1'!$A408,"mmm")</f>
        <v>Jul</v>
      </c>
      <c r="Q408" s="41">
        <f>YEAR('Data 1'!$A408)</f>
        <v>2022</v>
      </c>
    </row>
    <row r="409" spans="1:17" x14ac:dyDescent="0.3">
      <c r="A409" s="35">
        <v>44765</v>
      </c>
      <c r="B409" s="36" t="s">
        <v>49</v>
      </c>
      <c r="C409" s="37">
        <v>2</v>
      </c>
      <c r="D409" s="37" t="s">
        <v>17</v>
      </c>
      <c r="E409" s="37" t="s">
        <v>17</v>
      </c>
      <c r="F409" s="38">
        <v>0</v>
      </c>
      <c r="G409" s="42" t="str">
        <f>VLOOKUP('Data 1'!$B409,'Data 2'!$A$1:$F$46,MATCH('Data 1'!G$1,'Data 2'!$A$1:$F$1,0),0)</f>
        <v>Product18</v>
      </c>
      <c r="H409" s="42" t="str">
        <f>VLOOKUP('Data 1'!$B409,'Data 2'!$A$1:$F$46,MATCH('Data 1'!H$1,'Data 2'!$A$1:$F$1,0),0)</f>
        <v>Category02</v>
      </c>
      <c r="I409" s="42" t="str">
        <f>VLOOKUP('Data 1'!$B409,'Data 2'!$A$1:$F$46,MATCH('Data 1'!I$1,'Data 2'!$A$1:$F$1,0),0)</f>
        <v>No.</v>
      </c>
      <c r="J409" s="42">
        <f>VLOOKUP('Data 1'!$B409,'Data 2'!$A$1:$F$46,MATCH('Data 1'!J$1,'Data 2'!$A$1:$F$1,0),0)</f>
        <v>37</v>
      </c>
      <c r="K409" s="42">
        <f>VLOOKUP('Data 1'!$B409,'Data 2'!$A$1:$F$46,MATCH('Data 1'!K$1,'Data 2'!$A$1:$F$1,0),0)</f>
        <v>49.21</v>
      </c>
      <c r="L409" s="40">
        <f>SUM('Data 1'!$J409*'Data 1'!$C409)</f>
        <v>74</v>
      </c>
      <c r="M409" s="40">
        <f>'Data 1'!$C409*'Data 1'!$K409</f>
        <v>98.42</v>
      </c>
      <c r="N409" s="40">
        <f>'Data 1'!$M409-'Data 1'!$L409</f>
        <v>24.42</v>
      </c>
      <c r="O409" s="37">
        <f>DAY('Data 1'!$A409)</f>
        <v>23</v>
      </c>
      <c r="P409" s="37" t="str">
        <f>TEXT('Data 1'!$A409,"mmm")</f>
        <v>Jul</v>
      </c>
      <c r="Q409" s="41">
        <f>YEAR('Data 1'!$A409)</f>
        <v>2022</v>
      </c>
    </row>
    <row r="410" spans="1:17" x14ac:dyDescent="0.3">
      <c r="A410" s="35">
        <v>44766</v>
      </c>
      <c r="B410" s="36" t="s">
        <v>34</v>
      </c>
      <c r="C410" s="37">
        <v>14</v>
      </c>
      <c r="D410" s="37" t="s">
        <v>21</v>
      </c>
      <c r="E410" s="37" t="s">
        <v>19</v>
      </c>
      <c r="F410" s="38">
        <v>0</v>
      </c>
      <c r="G410" s="39" t="str">
        <f>VLOOKUP('Data 1'!$B410,'Data 2'!$A$1:$F$46,MATCH('Data 1'!G$1,'Data 2'!$A$1:$F$1,0),0)</f>
        <v>Product06</v>
      </c>
      <c r="H410" s="39" t="str">
        <f>VLOOKUP('Data 1'!$B410,'Data 2'!$A$1:$F$46,MATCH('Data 1'!H$1,'Data 2'!$A$1:$F$1,0),0)</f>
        <v>Category01</v>
      </c>
      <c r="I410" s="39" t="str">
        <f>VLOOKUP('Data 1'!$B410,'Data 2'!$A$1:$F$46,MATCH('Data 1'!I$1,'Data 2'!$A$1:$F$1,0),0)</f>
        <v>Kg</v>
      </c>
      <c r="J410" s="39">
        <f>VLOOKUP('Data 1'!$B410,'Data 2'!$A$1:$F$46,MATCH('Data 1'!J$1,'Data 2'!$A$1:$F$1,0),0)</f>
        <v>75</v>
      </c>
      <c r="K410" s="39">
        <f>VLOOKUP('Data 1'!$B410,'Data 2'!$A$1:$F$46,MATCH('Data 1'!K$1,'Data 2'!$A$1:$F$1,0),0)</f>
        <v>85.5</v>
      </c>
      <c r="L410" s="40">
        <f>SUM('Data 1'!$J410*'Data 1'!$C410)</f>
        <v>1050</v>
      </c>
      <c r="M410" s="40">
        <f>'Data 1'!$C410*'Data 1'!$K410</f>
        <v>1197</v>
      </c>
      <c r="N410" s="40">
        <f>'Data 1'!$M410-'Data 1'!$L410</f>
        <v>147</v>
      </c>
      <c r="O410" s="37">
        <f>DAY('Data 1'!$A410)</f>
        <v>24</v>
      </c>
      <c r="P410" s="37" t="str">
        <f>TEXT('Data 1'!$A410,"mmm")</f>
        <v>Jul</v>
      </c>
      <c r="Q410" s="41">
        <f>YEAR('Data 1'!$A410)</f>
        <v>2022</v>
      </c>
    </row>
    <row r="411" spans="1:17" x14ac:dyDescent="0.3">
      <c r="A411" s="35">
        <v>44766</v>
      </c>
      <c r="B411" s="36" t="s">
        <v>45</v>
      </c>
      <c r="C411" s="37">
        <v>1</v>
      </c>
      <c r="D411" s="37" t="s">
        <v>17</v>
      </c>
      <c r="E411" s="37" t="s">
        <v>17</v>
      </c>
      <c r="F411" s="38">
        <v>0</v>
      </c>
      <c r="G411" s="42" t="str">
        <f>VLOOKUP('Data 1'!$B411,'Data 2'!$A$1:$F$46,MATCH('Data 1'!G$1,'Data 2'!$A$1:$F$1,0),0)</f>
        <v>Product27</v>
      </c>
      <c r="H411" s="42" t="str">
        <f>VLOOKUP('Data 1'!$B411,'Data 2'!$A$1:$F$46,MATCH('Data 1'!H$1,'Data 2'!$A$1:$F$1,0),0)</f>
        <v>Category04</v>
      </c>
      <c r="I411" s="42" t="str">
        <f>VLOOKUP('Data 1'!$B411,'Data 2'!$A$1:$F$46,MATCH('Data 1'!I$1,'Data 2'!$A$1:$F$1,0),0)</f>
        <v>Lt</v>
      </c>
      <c r="J411" s="42">
        <f>VLOOKUP('Data 1'!$B411,'Data 2'!$A$1:$F$46,MATCH('Data 1'!J$1,'Data 2'!$A$1:$F$1,0),0)</f>
        <v>48</v>
      </c>
      <c r="K411" s="42">
        <f>VLOOKUP('Data 1'!$B411,'Data 2'!$A$1:$F$46,MATCH('Data 1'!K$1,'Data 2'!$A$1:$F$1,0),0)</f>
        <v>57.120000000000005</v>
      </c>
      <c r="L411" s="40">
        <f>SUM('Data 1'!$J411*'Data 1'!$C411)</f>
        <v>48</v>
      </c>
      <c r="M411" s="40">
        <f>'Data 1'!$C411*'Data 1'!$K411</f>
        <v>57.120000000000005</v>
      </c>
      <c r="N411" s="40">
        <f>'Data 1'!$M411-'Data 1'!$L411</f>
        <v>9.1200000000000045</v>
      </c>
      <c r="O411" s="37">
        <f>DAY('Data 1'!$A411)</f>
        <v>24</v>
      </c>
      <c r="P411" s="37" t="str">
        <f>TEXT('Data 1'!$A411,"mmm")</f>
        <v>Jul</v>
      </c>
      <c r="Q411" s="41">
        <f>YEAR('Data 1'!$A411)</f>
        <v>2022</v>
      </c>
    </row>
    <row r="412" spans="1:17" x14ac:dyDescent="0.3">
      <c r="A412" s="35">
        <v>44767</v>
      </c>
      <c r="B412" s="36" t="s">
        <v>30</v>
      </c>
      <c r="C412" s="37">
        <v>2</v>
      </c>
      <c r="D412" s="37" t="s">
        <v>21</v>
      </c>
      <c r="E412" s="37" t="s">
        <v>19</v>
      </c>
      <c r="F412" s="38">
        <v>0</v>
      </c>
      <c r="G412" s="39" t="str">
        <f>VLOOKUP('Data 1'!$B412,'Data 2'!$A$1:$F$46,MATCH('Data 1'!G$1,'Data 2'!$A$1:$F$1,0),0)</f>
        <v>Product44</v>
      </c>
      <c r="H412" s="39" t="str">
        <f>VLOOKUP('Data 1'!$B412,'Data 2'!$A$1:$F$46,MATCH('Data 1'!H$1,'Data 2'!$A$1:$F$1,0),0)</f>
        <v>Category05</v>
      </c>
      <c r="I412" s="39" t="str">
        <f>VLOOKUP('Data 1'!$B412,'Data 2'!$A$1:$F$46,MATCH('Data 1'!I$1,'Data 2'!$A$1:$F$1,0),0)</f>
        <v>Kg</v>
      </c>
      <c r="J412" s="39">
        <f>VLOOKUP('Data 1'!$B412,'Data 2'!$A$1:$F$46,MATCH('Data 1'!J$1,'Data 2'!$A$1:$F$1,0),0)</f>
        <v>76</v>
      </c>
      <c r="K412" s="39">
        <f>VLOOKUP('Data 1'!$B412,'Data 2'!$A$1:$F$46,MATCH('Data 1'!K$1,'Data 2'!$A$1:$F$1,0),0)</f>
        <v>82.08</v>
      </c>
      <c r="L412" s="40">
        <f>SUM('Data 1'!$J412*'Data 1'!$C412)</f>
        <v>152</v>
      </c>
      <c r="M412" s="40">
        <f>'Data 1'!$C412*'Data 1'!$K412</f>
        <v>164.16</v>
      </c>
      <c r="N412" s="40">
        <f>'Data 1'!$M412-'Data 1'!$L412</f>
        <v>12.159999999999997</v>
      </c>
      <c r="O412" s="37">
        <f>DAY('Data 1'!$A412)</f>
        <v>25</v>
      </c>
      <c r="P412" s="37" t="str">
        <f>TEXT('Data 1'!$A412,"mmm")</f>
        <v>Jul</v>
      </c>
      <c r="Q412" s="41">
        <f>YEAR('Data 1'!$A412)</f>
        <v>2022</v>
      </c>
    </row>
    <row r="413" spans="1:17" x14ac:dyDescent="0.3">
      <c r="A413" s="35">
        <v>44767</v>
      </c>
      <c r="B413" s="36" t="s">
        <v>58</v>
      </c>
      <c r="C413" s="37">
        <v>12</v>
      </c>
      <c r="D413" s="37" t="s">
        <v>21</v>
      </c>
      <c r="E413" s="37" t="s">
        <v>19</v>
      </c>
      <c r="F413" s="38">
        <v>0</v>
      </c>
      <c r="G413" s="42" t="str">
        <f>VLOOKUP('Data 1'!$B413,'Data 2'!$A$1:$F$46,MATCH('Data 1'!G$1,'Data 2'!$A$1:$F$1,0),0)</f>
        <v>Product17</v>
      </c>
      <c r="H413" s="42" t="str">
        <f>VLOOKUP('Data 1'!$B413,'Data 2'!$A$1:$F$46,MATCH('Data 1'!H$1,'Data 2'!$A$1:$F$1,0),0)</f>
        <v>Category02</v>
      </c>
      <c r="I413" s="42" t="str">
        <f>VLOOKUP('Data 1'!$B413,'Data 2'!$A$1:$F$46,MATCH('Data 1'!I$1,'Data 2'!$A$1:$F$1,0),0)</f>
        <v>Ft</v>
      </c>
      <c r="J413" s="42">
        <f>VLOOKUP('Data 1'!$B413,'Data 2'!$A$1:$F$46,MATCH('Data 1'!J$1,'Data 2'!$A$1:$F$1,0),0)</f>
        <v>134</v>
      </c>
      <c r="K413" s="42">
        <f>VLOOKUP('Data 1'!$B413,'Data 2'!$A$1:$F$46,MATCH('Data 1'!K$1,'Data 2'!$A$1:$F$1,0),0)</f>
        <v>156.78</v>
      </c>
      <c r="L413" s="40">
        <f>SUM('Data 1'!$J413*'Data 1'!$C413)</f>
        <v>1608</v>
      </c>
      <c r="M413" s="40">
        <f>'Data 1'!$C413*'Data 1'!$K413</f>
        <v>1881.3600000000001</v>
      </c>
      <c r="N413" s="40">
        <f>'Data 1'!$M413-'Data 1'!$L413</f>
        <v>273.36000000000013</v>
      </c>
      <c r="O413" s="37">
        <f>DAY('Data 1'!$A413)</f>
        <v>25</v>
      </c>
      <c r="P413" s="37" t="str">
        <f>TEXT('Data 1'!$A413,"mmm")</f>
        <v>Jul</v>
      </c>
      <c r="Q413" s="41">
        <f>YEAR('Data 1'!$A413)</f>
        <v>2022</v>
      </c>
    </row>
    <row r="414" spans="1:17" x14ac:dyDescent="0.3">
      <c r="A414" s="35">
        <v>44767</v>
      </c>
      <c r="B414" s="36" t="s">
        <v>25</v>
      </c>
      <c r="C414" s="37">
        <v>13</v>
      </c>
      <c r="D414" s="37" t="s">
        <v>17</v>
      </c>
      <c r="E414" s="37" t="s">
        <v>19</v>
      </c>
      <c r="F414" s="38">
        <v>0</v>
      </c>
      <c r="G414" s="39" t="str">
        <f>VLOOKUP('Data 1'!$B414,'Data 2'!$A$1:$F$46,MATCH('Data 1'!G$1,'Data 2'!$A$1:$F$1,0),0)</f>
        <v>Product03</v>
      </c>
      <c r="H414" s="39" t="str">
        <f>VLOOKUP('Data 1'!$B414,'Data 2'!$A$1:$F$46,MATCH('Data 1'!H$1,'Data 2'!$A$1:$F$1,0),0)</f>
        <v>Category01</v>
      </c>
      <c r="I414" s="39" t="str">
        <f>VLOOKUP('Data 1'!$B414,'Data 2'!$A$1:$F$46,MATCH('Data 1'!I$1,'Data 2'!$A$1:$F$1,0),0)</f>
        <v>Kg</v>
      </c>
      <c r="J414" s="39">
        <f>VLOOKUP('Data 1'!$B414,'Data 2'!$A$1:$F$46,MATCH('Data 1'!J$1,'Data 2'!$A$1:$F$1,0),0)</f>
        <v>71</v>
      </c>
      <c r="K414" s="39">
        <f>VLOOKUP('Data 1'!$B414,'Data 2'!$A$1:$F$46,MATCH('Data 1'!K$1,'Data 2'!$A$1:$F$1,0),0)</f>
        <v>80.94</v>
      </c>
      <c r="L414" s="40">
        <f>SUM('Data 1'!$J414*'Data 1'!$C414)</f>
        <v>923</v>
      </c>
      <c r="M414" s="40">
        <f>'Data 1'!$C414*'Data 1'!$K414</f>
        <v>1052.22</v>
      </c>
      <c r="N414" s="40">
        <f>'Data 1'!$M414-'Data 1'!$L414</f>
        <v>129.22000000000003</v>
      </c>
      <c r="O414" s="37">
        <f>DAY('Data 1'!$A414)</f>
        <v>25</v>
      </c>
      <c r="P414" s="37" t="str">
        <f>TEXT('Data 1'!$A414,"mmm")</f>
        <v>Jul</v>
      </c>
      <c r="Q414" s="41">
        <f>YEAR('Data 1'!$A414)</f>
        <v>2022</v>
      </c>
    </row>
    <row r="415" spans="1:17" x14ac:dyDescent="0.3">
      <c r="A415" s="35">
        <v>44768</v>
      </c>
      <c r="B415" s="36" t="s">
        <v>25</v>
      </c>
      <c r="C415" s="37">
        <v>10</v>
      </c>
      <c r="D415" s="37" t="s">
        <v>17</v>
      </c>
      <c r="E415" s="37" t="s">
        <v>17</v>
      </c>
      <c r="F415" s="38">
        <v>0</v>
      </c>
      <c r="G415" s="42" t="str">
        <f>VLOOKUP('Data 1'!$B415,'Data 2'!$A$1:$F$46,MATCH('Data 1'!G$1,'Data 2'!$A$1:$F$1,0),0)</f>
        <v>Product03</v>
      </c>
      <c r="H415" s="42" t="str">
        <f>VLOOKUP('Data 1'!$B415,'Data 2'!$A$1:$F$46,MATCH('Data 1'!H$1,'Data 2'!$A$1:$F$1,0),0)</f>
        <v>Category01</v>
      </c>
      <c r="I415" s="42" t="str">
        <f>VLOOKUP('Data 1'!$B415,'Data 2'!$A$1:$F$46,MATCH('Data 1'!I$1,'Data 2'!$A$1:$F$1,0),0)</f>
        <v>Kg</v>
      </c>
      <c r="J415" s="42">
        <f>VLOOKUP('Data 1'!$B415,'Data 2'!$A$1:$F$46,MATCH('Data 1'!J$1,'Data 2'!$A$1:$F$1,0),0)</f>
        <v>71</v>
      </c>
      <c r="K415" s="42">
        <f>VLOOKUP('Data 1'!$B415,'Data 2'!$A$1:$F$46,MATCH('Data 1'!K$1,'Data 2'!$A$1:$F$1,0),0)</f>
        <v>80.94</v>
      </c>
      <c r="L415" s="40">
        <f>SUM('Data 1'!$J415*'Data 1'!$C415)</f>
        <v>710</v>
      </c>
      <c r="M415" s="40">
        <f>'Data 1'!$C415*'Data 1'!$K415</f>
        <v>809.4</v>
      </c>
      <c r="N415" s="40">
        <f>'Data 1'!$M415-'Data 1'!$L415</f>
        <v>99.399999999999977</v>
      </c>
      <c r="O415" s="37">
        <f>DAY('Data 1'!$A415)</f>
        <v>26</v>
      </c>
      <c r="P415" s="37" t="str">
        <f>TEXT('Data 1'!$A415,"mmm")</f>
        <v>Jul</v>
      </c>
      <c r="Q415" s="41">
        <f>YEAR('Data 1'!$A415)</f>
        <v>2022</v>
      </c>
    </row>
    <row r="416" spans="1:17" x14ac:dyDescent="0.3">
      <c r="A416" s="35">
        <v>44768</v>
      </c>
      <c r="B416" s="36" t="s">
        <v>61</v>
      </c>
      <c r="C416" s="37">
        <v>1</v>
      </c>
      <c r="D416" s="37" t="s">
        <v>17</v>
      </c>
      <c r="E416" s="37" t="s">
        <v>19</v>
      </c>
      <c r="F416" s="38">
        <v>0</v>
      </c>
      <c r="G416" s="39" t="str">
        <f>VLOOKUP('Data 1'!$B416,'Data 2'!$A$1:$F$46,MATCH('Data 1'!G$1,'Data 2'!$A$1:$F$1,0),0)</f>
        <v>Product26</v>
      </c>
      <c r="H416" s="39" t="str">
        <f>VLOOKUP('Data 1'!$B416,'Data 2'!$A$1:$F$46,MATCH('Data 1'!H$1,'Data 2'!$A$1:$F$1,0),0)</f>
        <v>Category04</v>
      </c>
      <c r="I416" s="39" t="str">
        <f>VLOOKUP('Data 1'!$B416,'Data 2'!$A$1:$F$46,MATCH('Data 1'!I$1,'Data 2'!$A$1:$F$1,0),0)</f>
        <v>No.</v>
      </c>
      <c r="J416" s="39">
        <f>VLOOKUP('Data 1'!$B416,'Data 2'!$A$1:$F$46,MATCH('Data 1'!J$1,'Data 2'!$A$1:$F$1,0),0)</f>
        <v>18</v>
      </c>
      <c r="K416" s="39">
        <f>VLOOKUP('Data 1'!$B416,'Data 2'!$A$1:$F$46,MATCH('Data 1'!K$1,'Data 2'!$A$1:$F$1,0),0)</f>
        <v>24.66</v>
      </c>
      <c r="L416" s="40">
        <f>SUM('Data 1'!$J416*'Data 1'!$C416)</f>
        <v>18</v>
      </c>
      <c r="M416" s="40">
        <f>'Data 1'!$C416*'Data 1'!$K416</f>
        <v>24.66</v>
      </c>
      <c r="N416" s="40">
        <f>'Data 1'!$M416-'Data 1'!$L416</f>
        <v>6.66</v>
      </c>
      <c r="O416" s="37">
        <f>DAY('Data 1'!$A416)</f>
        <v>26</v>
      </c>
      <c r="P416" s="37" t="str">
        <f>TEXT('Data 1'!$A416,"mmm")</f>
        <v>Jul</v>
      </c>
      <c r="Q416" s="41">
        <f>YEAR('Data 1'!$A416)</f>
        <v>2022</v>
      </c>
    </row>
    <row r="417" spans="1:17" x14ac:dyDescent="0.3">
      <c r="A417" s="35">
        <v>44776</v>
      </c>
      <c r="B417" s="36" t="s">
        <v>54</v>
      </c>
      <c r="C417" s="37">
        <v>5</v>
      </c>
      <c r="D417" s="37" t="s">
        <v>21</v>
      </c>
      <c r="E417" s="37" t="s">
        <v>19</v>
      </c>
      <c r="F417" s="38">
        <v>0</v>
      </c>
      <c r="G417" s="42" t="str">
        <f>VLOOKUP('Data 1'!$B417,'Data 2'!$A$1:$F$46,MATCH('Data 1'!G$1,'Data 2'!$A$1:$F$1,0),0)</f>
        <v>Product12</v>
      </c>
      <c r="H417" s="42" t="str">
        <f>VLOOKUP('Data 1'!$B417,'Data 2'!$A$1:$F$46,MATCH('Data 1'!H$1,'Data 2'!$A$1:$F$1,0),0)</f>
        <v>Category02</v>
      </c>
      <c r="I417" s="42" t="str">
        <f>VLOOKUP('Data 1'!$B417,'Data 2'!$A$1:$F$46,MATCH('Data 1'!I$1,'Data 2'!$A$1:$F$1,0),0)</f>
        <v>Kg</v>
      </c>
      <c r="J417" s="42">
        <f>VLOOKUP('Data 1'!$B417,'Data 2'!$A$1:$F$46,MATCH('Data 1'!J$1,'Data 2'!$A$1:$F$1,0),0)</f>
        <v>73</v>
      </c>
      <c r="K417" s="42">
        <f>VLOOKUP('Data 1'!$B417,'Data 2'!$A$1:$F$46,MATCH('Data 1'!K$1,'Data 2'!$A$1:$F$1,0),0)</f>
        <v>94.17</v>
      </c>
      <c r="L417" s="40">
        <f>SUM('Data 1'!$J417*'Data 1'!$C417)</f>
        <v>365</v>
      </c>
      <c r="M417" s="40">
        <f>'Data 1'!$C417*'Data 1'!$K417</f>
        <v>470.85</v>
      </c>
      <c r="N417" s="40">
        <f>'Data 1'!$M417-'Data 1'!$L417</f>
        <v>105.85000000000002</v>
      </c>
      <c r="O417" s="37">
        <f>DAY('Data 1'!$A417)</f>
        <v>3</v>
      </c>
      <c r="P417" s="37" t="str">
        <f>TEXT('Data 1'!$A417,"mmm")</f>
        <v>Aug</v>
      </c>
      <c r="Q417" s="41">
        <f>YEAR('Data 1'!$A417)</f>
        <v>2022</v>
      </c>
    </row>
    <row r="418" spans="1:17" x14ac:dyDescent="0.3">
      <c r="A418" s="35">
        <v>44779</v>
      </c>
      <c r="B418" s="36" t="s">
        <v>40</v>
      </c>
      <c r="C418" s="37">
        <v>9</v>
      </c>
      <c r="D418" s="37" t="s">
        <v>17</v>
      </c>
      <c r="E418" s="37" t="s">
        <v>17</v>
      </c>
      <c r="F418" s="38">
        <v>0</v>
      </c>
      <c r="G418" s="39" t="str">
        <f>VLOOKUP('Data 1'!$B418,'Data 2'!$A$1:$F$46,MATCH('Data 1'!G$1,'Data 2'!$A$1:$F$1,0),0)</f>
        <v>Product16</v>
      </c>
      <c r="H418" s="39" t="str">
        <f>VLOOKUP('Data 1'!$B418,'Data 2'!$A$1:$F$46,MATCH('Data 1'!H$1,'Data 2'!$A$1:$F$1,0),0)</f>
        <v>Category02</v>
      </c>
      <c r="I418" s="39" t="str">
        <f>VLOOKUP('Data 1'!$B418,'Data 2'!$A$1:$F$46,MATCH('Data 1'!I$1,'Data 2'!$A$1:$F$1,0),0)</f>
        <v>No.</v>
      </c>
      <c r="J418" s="39">
        <f>VLOOKUP('Data 1'!$B418,'Data 2'!$A$1:$F$46,MATCH('Data 1'!J$1,'Data 2'!$A$1:$F$1,0),0)</f>
        <v>13</v>
      </c>
      <c r="K418" s="39">
        <f>VLOOKUP('Data 1'!$B418,'Data 2'!$A$1:$F$46,MATCH('Data 1'!K$1,'Data 2'!$A$1:$F$1,0),0)</f>
        <v>16.64</v>
      </c>
      <c r="L418" s="40">
        <f>SUM('Data 1'!$J418*'Data 1'!$C418)</f>
        <v>117</v>
      </c>
      <c r="M418" s="40">
        <f>'Data 1'!$C418*'Data 1'!$K418</f>
        <v>149.76</v>
      </c>
      <c r="N418" s="40">
        <f>'Data 1'!$M418-'Data 1'!$L418</f>
        <v>32.759999999999991</v>
      </c>
      <c r="O418" s="37">
        <f>DAY('Data 1'!$A418)</f>
        <v>6</v>
      </c>
      <c r="P418" s="37" t="str">
        <f>TEXT('Data 1'!$A418,"mmm")</f>
        <v>Aug</v>
      </c>
      <c r="Q418" s="41">
        <f>YEAR('Data 1'!$A418)</f>
        <v>2022</v>
      </c>
    </row>
    <row r="419" spans="1:17" x14ac:dyDescent="0.3">
      <c r="A419" s="35">
        <v>44781</v>
      </c>
      <c r="B419" s="36" t="s">
        <v>40</v>
      </c>
      <c r="C419" s="37">
        <v>2</v>
      </c>
      <c r="D419" s="37" t="s">
        <v>21</v>
      </c>
      <c r="E419" s="37" t="s">
        <v>17</v>
      </c>
      <c r="F419" s="38">
        <v>0</v>
      </c>
      <c r="G419" s="42" t="str">
        <f>VLOOKUP('Data 1'!$B419,'Data 2'!$A$1:$F$46,MATCH('Data 1'!G$1,'Data 2'!$A$1:$F$1,0),0)</f>
        <v>Product16</v>
      </c>
      <c r="H419" s="42" t="str">
        <f>VLOOKUP('Data 1'!$B419,'Data 2'!$A$1:$F$46,MATCH('Data 1'!H$1,'Data 2'!$A$1:$F$1,0),0)</f>
        <v>Category02</v>
      </c>
      <c r="I419" s="42" t="str">
        <f>VLOOKUP('Data 1'!$B419,'Data 2'!$A$1:$F$46,MATCH('Data 1'!I$1,'Data 2'!$A$1:$F$1,0),0)</f>
        <v>No.</v>
      </c>
      <c r="J419" s="42">
        <f>VLOOKUP('Data 1'!$B419,'Data 2'!$A$1:$F$46,MATCH('Data 1'!J$1,'Data 2'!$A$1:$F$1,0),0)</f>
        <v>13</v>
      </c>
      <c r="K419" s="42">
        <f>VLOOKUP('Data 1'!$B419,'Data 2'!$A$1:$F$46,MATCH('Data 1'!K$1,'Data 2'!$A$1:$F$1,0),0)</f>
        <v>16.64</v>
      </c>
      <c r="L419" s="40">
        <f>SUM('Data 1'!$J419*'Data 1'!$C419)</f>
        <v>26</v>
      </c>
      <c r="M419" s="40">
        <f>'Data 1'!$C419*'Data 1'!$K419</f>
        <v>33.28</v>
      </c>
      <c r="N419" s="40">
        <f>'Data 1'!$M419-'Data 1'!$L419</f>
        <v>7.2800000000000011</v>
      </c>
      <c r="O419" s="37">
        <f>DAY('Data 1'!$A419)</f>
        <v>8</v>
      </c>
      <c r="P419" s="37" t="str">
        <f>TEXT('Data 1'!$A419,"mmm")</f>
        <v>Aug</v>
      </c>
      <c r="Q419" s="41">
        <f>YEAR('Data 1'!$A419)</f>
        <v>2022</v>
      </c>
    </row>
    <row r="420" spans="1:17" x14ac:dyDescent="0.3">
      <c r="A420" s="35">
        <v>44781</v>
      </c>
      <c r="B420" s="36" t="s">
        <v>37</v>
      </c>
      <c r="C420" s="37">
        <v>12</v>
      </c>
      <c r="D420" s="37" t="s">
        <v>21</v>
      </c>
      <c r="E420" s="37" t="s">
        <v>19</v>
      </c>
      <c r="F420" s="38">
        <v>0</v>
      </c>
      <c r="G420" s="39" t="str">
        <f>VLOOKUP('Data 1'!$B420,'Data 2'!$A$1:$F$46,MATCH('Data 1'!G$1,'Data 2'!$A$1:$F$1,0),0)</f>
        <v>Product32</v>
      </c>
      <c r="H420" s="39" t="str">
        <f>VLOOKUP('Data 1'!$B420,'Data 2'!$A$1:$F$46,MATCH('Data 1'!H$1,'Data 2'!$A$1:$F$1,0),0)</f>
        <v>Category04</v>
      </c>
      <c r="I420" s="39" t="str">
        <f>VLOOKUP('Data 1'!$B420,'Data 2'!$A$1:$F$46,MATCH('Data 1'!I$1,'Data 2'!$A$1:$F$1,0),0)</f>
        <v>Kg</v>
      </c>
      <c r="J420" s="39">
        <f>VLOOKUP('Data 1'!$B420,'Data 2'!$A$1:$F$46,MATCH('Data 1'!J$1,'Data 2'!$A$1:$F$1,0),0)</f>
        <v>89</v>
      </c>
      <c r="K420" s="39">
        <f>VLOOKUP('Data 1'!$B420,'Data 2'!$A$1:$F$46,MATCH('Data 1'!K$1,'Data 2'!$A$1:$F$1,0),0)</f>
        <v>117.48</v>
      </c>
      <c r="L420" s="40">
        <f>SUM('Data 1'!$J420*'Data 1'!$C420)</f>
        <v>1068</v>
      </c>
      <c r="M420" s="40">
        <f>'Data 1'!$C420*'Data 1'!$K420</f>
        <v>1409.76</v>
      </c>
      <c r="N420" s="40">
        <f>'Data 1'!$M420-'Data 1'!$L420</f>
        <v>341.76</v>
      </c>
      <c r="O420" s="37">
        <f>DAY('Data 1'!$A420)</f>
        <v>8</v>
      </c>
      <c r="P420" s="37" t="str">
        <f>TEXT('Data 1'!$A420,"mmm")</f>
        <v>Aug</v>
      </c>
      <c r="Q420" s="41">
        <f>YEAR('Data 1'!$A420)</f>
        <v>2022</v>
      </c>
    </row>
    <row r="421" spans="1:17" x14ac:dyDescent="0.3">
      <c r="A421" s="35">
        <v>44781</v>
      </c>
      <c r="B421" s="36" t="s">
        <v>51</v>
      </c>
      <c r="C421" s="37">
        <v>11</v>
      </c>
      <c r="D421" s="37" t="s">
        <v>21</v>
      </c>
      <c r="E421" s="37" t="s">
        <v>19</v>
      </c>
      <c r="F421" s="38">
        <v>0</v>
      </c>
      <c r="G421" s="42" t="str">
        <f>VLOOKUP('Data 1'!$B421,'Data 2'!$A$1:$F$46,MATCH('Data 1'!G$1,'Data 2'!$A$1:$F$1,0),0)</f>
        <v>Product21</v>
      </c>
      <c r="H421" s="42" t="str">
        <f>VLOOKUP('Data 1'!$B421,'Data 2'!$A$1:$F$46,MATCH('Data 1'!H$1,'Data 2'!$A$1:$F$1,0),0)</f>
        <v>Category03</v>
      </c>
      <c r="I421" s="42" t="str">
        <f>VLOOKUP('Data 1'!$B421,'Data 2'!$A$1:$F$46,MATCH('Data 1'!I$1,'Data 2'!$A$1:$F$1,0),0)</f>
        <v>Ft</v>
      </c>
      <c r="J421" s="42">
        <f>VLOOKUP('Data 1'!$B421,'Data 2'!$A$1:$F$46,MATCH('Data 1'!J$1,'Data 2'!$A$1:$F$1,0),0)</f>
        <v>126</v>
      </c>
      <c r="K421" s="42">
        <f>VLOOKUP('Data 1'!$B421,'Data 2'!$A$1:$F$46,MATCH('Data 1'!K$1,'Data 2'!$A$1:$F$1,0),0)</f>
        <v>162.54</v>
      </c>
      <c r="L421" s="40">
        <f>SUM('Data 1'!$J421*'Data 1'!$C421)</f>
        <v>1386</v>
      </c>
      <c r="M421" s="40">
        <f>'Data 1'!$C421*'Data 1'!$K421</f>
        <v>1787.9399999999998</v>
      </c>
      <c r="N421" s="40">
        <f>'Data 1'!$M421-'Data 1'!$L421</f>
        <v>401.93999999999983</v>
      </c>
      <c r="O421" s="37">
        <f>DAY('Data 1'!$A421)</f>
        <v>8</v>
      </c>
      <c r="P421" s="37" t="str">
        <f>TEXT('Data 1'!$A421,"mmm")</f>
        <v>Aug</v>
      </c>
      <c r="Q421" s="41">
        <f>YEAR('Data 1'!$A421)</f>
        <v>2022</v>
      </c>
    </row>
    <row r="422" spans="1:17" x14ac:dyDescent="0.3">
      <c r="A422" s="35">
        <v>44787</v>
      </c>
      <c r="B422" s="36" t="s">
        <v>47</v>
      </c>
      <c r="C422" s="37">
        <v>14</v>
      </c>
      <c r="D422" s="37" t="s">
        <v>21</v>
      </c>
      <c r="E422" s="37" t="s">
        <v>19</v>
      </c>
      <c r="F422" s="38">
        <v>0</v>
      </c>
      <c r="G422" s="39" t="str">
        <f>VLOOKUP('Data 1'!$B422,'Data 2'!$A$1:$F$46,MATCH('Data 1'!G$1,'Data 2'!$A$1:$F$1,0),0)</f>
        <v>Product30</v>
      </c>
      <c r="H422" s="39" t="str">
        <f>VLOOKUP('Data 1'!$B422,'Data 2'!$A$1:$F$46,MATCH('Data 1'!H$1,'Data 2'!$A$1:$F$1,0),0)</f>
        <v>Category04</v>
      </c>
      <c r="I422" s="39" t="str">
        <f>VLOOKUP('Data 1'!$B422,'Data 2'!$A$1:$F$46,MATCH('Data 1'!I$1,'Data 2'!$A$1:$F$1,0),0)</f>
        <v>Ft</v>
      </c>
      <c r="J422" s="39">
        <f>VLOOKUP('Data 1'!$B422,'Data 2'!$A$1:$F$46,MATCH('Data 1'!J$1,'Data 2'!$A$1:$F$1,0),0)</f>
        <v>148</v>
      </c>
      <c r="K422" s="39">
        <f>VLOOKUP('Data 1'!$B422,'Data 2'!$A$1:$F$46,MATCH('Data 1'!K$1,'Data 2'!$A$1:$F$1,0),0)</f>
        <v>201.28</v>
      </c>
      <c r="L422" s="40">
        <f>SUM('Data 1'!$J422*'Data 1'!$C422)</f>
        <v>2072</v>
      </c>
      <c r="M422" s="40">
        <f>'Data 1'!$C422*'Data 1'!$K422</f>
        <v>2817.92</v>
      </c>
      <c r="N422" s="40">
        <f>'Data 1'!$M422-'Data 1'!$L422</f>
        <v>745.92000000000007</v>
      </c>
      <c r="O422" s="37">
        <f>DAY('Data 1'!$A422)</f>
        <v>14</v>
      </c>
      <c r="P422" s="37" t="str">
        <f>TEXT('Data 1'!$A422,"mmm")</f>
        <v>Aug</v>
      </c>
      <c r="Q422" s="41">
        <f>YEAR('Data 1'!$A422)</f>
        <v>2022</v>
      </c>
    </row>
    <row r="423" spans="1:17" x14ac:dyDescent="0.3">
      <c r="A423" s="35">
        <v>44788</v>
      </c>
      <c r="B423" s="36" t="s">
        <v>50</v>
      </c>
      <c r="C423" s="37">
        <v>10</v>
      </c>
      <c r="D423" s="37" t="s">
        <v>16</v>
      </c>
      <c r="E423" s="37" t="s">
        <v>19</v>
      </c>
      <c r="F423" s="38">
        <v>0</v>
      </c>
      <c r="G423" s="42" t="str">
        <f>VLOOKUP('Data 1'!$B423,'Data 2'!$A$1:$F$46,MATCH('Data 1'!G$1,'Data 2'!$A$1:$F$1,0),0)</f>
        <v>Product11</v>
      </c>
      <c r="H423" s="42" t="str">
        <f>VLOOKUP('Data 1'!$B423,'Data 2'!$A$1:$F$46,MATCH('Data 1'!H$1,'Data 2'!$A$1:$F$1,0),0)</f>
        <v>Category02</v>
      </c>
      <c r="I423" s="42" t="str">
        <f>VLOOKUP('Data 1'!$B423,'Data 2'!$A$1:$F$46,MATCH('Data 1'!I$1,'Data 2'!$A$1:$F$1,0),0)</f>
        <v>Lt</v>
      </c>
      <c r="J423" s="42">
        <f>VLOOKUP('Data 1'!$B423,'Data 2'!$A$1:$F$46,MATCH('Data 1'!J$1,'Data 2'!$A$1:$F$1,0),0)</f>
        <v>44</v>
      </c>
      <c r="K423" s="42">
        <f>VLOOKUP('Data 1'!$B423,'Data 2'!$A$1:$F$46,MATCH('Data 1'!K$1,'Data 2'!$A$1:$F$1,0),0)</f>
        <v>48.4</v>
      </c>
      <c r="L423" s="40">
        <f>SUM('Data 1'!$J423*'Data 1'!$C423)</f>
        <v>440</v>
      </c>
      <c r="M423" s="40">
        <f>'Data 1'!$C423*'Data 1'!$K423</f>
        <v>484</v>
      </c>
      <c r="N423" s="40">
        <f>'Data 1'!$M423-'Data 1'!$L423</f>
        <v>44</v>
      </c>
      <c r="O423" s="37">
        <f>DAY('Data 1'!$A423)</f>
        <v>15</v>
      </c>
      <c r="P423" s="37" t="str">
        <f>TEXT('Data 1'!$A423,"mmm")</f>
        <v>Aug</v>
      </c>
      <c r="Q423" s="41">
        <f>YEAR('Data 1'!$A423)</f>
        <v>2022</v>
      </c>
    </row>
    <row r="424" spans="1:17" x14ac:dyDescent="0.3">
      <c r="A424" s="35">
        <v>44788</v>
      </c>
      <c r="B424" s="36" t="s">
        <v>46</v>
      </c>
      <c r="C424" s="37">
        <v>7</v>
      </c>
      <c r="D424" s="37" t="s">
        <v>21</v>
      </c>
      <c r="E424" s="37" t="s">
        <v>17</v>
      </c>
      <c r="F424" s="38">
        <v>0</v>
      </c>
      <c r="G424" s="39" t="str">
        <f>VLOOKUP('Data 1'!$B424,'Data 2'!$A$1:$F$46,MATCH('Data 1'!G$1,'Data 2'!$A$1:$F$1,0),0)</f>
        <v>Product15</v>
      </c>
      <c r="H424" s="39" t="str">
        <f>VLOOKUP('Data 1'!$B424,'Data 2'!$A$1:$F$46,MATCH('Data 1'!H$1,'Data 2'!$A$1:$F$1,0),0)</f>
        <v>Category02</v>
      </c>
      <c r="I424" s="39" t="str">
        <f>VLOOKUP('Data 1'!$B424,'Data 2'!$A$1:$F$46,MATCH('Data 1'!I$1,'Data 2'!$A$1:$F$1,0),0)</f>
        <v>No.</v>
      </c>
      <c r="J424" s="39">
        <f>VLOOKUP('Data 1'!$B424,'Data 2'!$A$1:$F$46,MATCH('Data 1'!J$1,'Data 2'!$A$1:$F$1,0),0)</f>
        <v>12</v>
      </c>
      <c r="K424" s="39">
        <f>VLOOKUP('Data 1'!$B424,'Data 2'!$A$1:$F$46,MATCH('Data 1'!K$1,'Data 2'!$A$1:$F$1,0),0)</f>
        <v>15.719999999999999</v>
      </c>
      <c r="L424" s="40">
        <f>SUM('Data 1'!$J424*'Data 1'!$C424)</f>
        <v>84</v>
      </c>
      <c r="M424" s="40">
        <f>'Data 1'!$C424*'Data 1'!$K424</f>
        <v>110.03999999999999</v>
      </c>
      <c r="N424" s="40">
        <f>'Data 1'!$M424-'Data 1'!$L424</f>
        <v>26.039999999999992</v>
      </c>
      <c r="O424" s="37">
        <f>DAY('Data 1'!$A424)</f>
        <v>15</v>
      </c>
      <c r="P424" s="37" t="str">
        <f>TEXT('Data 1'!$A424,"mmm")</f>
        <v>Aug</v>
      </c>
      <c r="Q424" s="41">
        <f>YEAR('Data 1'!$A424)</f>
        <v>2022</v>
      </c>
    </row>
    <row r="425" spans="1:17" x14ac:dyDescent="0.3">
      <c r="A425" s="35">
        <v>44791</v>
      </c>
      <c r="B425" s="36" t="s">
        <v>38</v>
      </c>
      <c r="C425" s="37">
        <v>8</v>
      </c>
      <c r="D425" s="37" t="s">
        <v>17</v>
      </c>
      <c r="E425" s="37" t="s">
        <v>17</v>
      </c>
      <c r="F425" s="38">
        <v>0</v>
      </c>
      <c r="G425" s="42" t="str">
        <f>VLOOKUP('Data 1'!$B425,'Data 2'!$A$1:$F$46,MATCH('Data 1'!G$1,'Data 2'!$A$1:$F$1,0),0)</f>
        <v>Product29</v>
      </c>
      <c r="H425" s="42" t="str">
        <f>VLOOKUP('Data 1'!$B425,'Data 2'!$A$1:$F$46,MATCH('Data 1'!H$1,'Data 2'!$A$1:$F$1,0),0)</f>
        <v>Category04</v>
      </c>
      <c r="I425" s="42" t="str">
        <f>VLOOKUP('Data 1'!$B425,'Data 2'!$A$1:$F$46,MATCH('Data 1'!I$1,'Data 2'!$A$1:$F$1,0),0)</f>
        <v>Lt</v>
      </c>
      <c r="J425" s="42">
        <f>VLOOKUP('Data 1'!$B425,'Data 2'!$A$1:$F$46,MATCH('Data 1'!J$1,'Data 2'!$A$1:$F$1,0),0)</f>
        <v>47</v>
      </c>
      <c r="K425" s="42">
        <f>VLOOKUP('Data 1'!$B425,'Data 2'!$A$1:$F$46,MATCH('Data 1'!K$1,'Data 2'!$A$1:$F$1,0),0)</f>
        <v>53.11</v>
      </c>
      <c r="L425" s="40">
        <f>SUM('Data 1'!$J425*'Data 1'!$C425)</f>
        <v>376</v>
      </c>
      <c r="M425" s="40">
        <f>'Data 1'!$C425*'Data 1'!$K425</f>
        <v>424.88</v>
      </c>
      <c r="N425" s="40">
        <f>'Data 1'!$M425-'Data 1'!$L425</f>
        <v>48.879999999999995</v>
      </c>
      <c r="O425" s="37">
        <f>DAY('Data 1'!$A425)</f>
        <v>18</v>
      </c>
      <c r="P425" s="37" t="str">
        <f>TEXT('Data 1'!$A425,"mmm")</f>
        <v>Aug</v>
      </c>
      <c r="Q425" s="41">
        <f>YEAR('Data 1'!$A425)</f>
        <v>2022</v>
      </c>
    </row>
    <row r="426" spans="1:17" x14ac:dyDescent="0.3">
      <c r="A426" s="35">
        <v>44791</v>
      </c>
      <c r="B426" s="36" t="s">
        <v>39</v>
      </c>
      <c r="C426" s="37">
        <v>2</v>
      </c>
      <c r="D426" s="37" t="s">
        <v>17</v>
      </c>
      <c r="E426" s="37" t="s">
        <v>19</v>
      </c>
      <c r="F426" s="38">
        <v>0</v>
      </c>
      <c r="G426" s="39" t="str">
        <f>VLOOKUP('Data 1'!$B426,'Data 2'!$A$1:$F$46,MATCH('Data 1'!G$1,'Data 2'!$A$1:$F$1,0),0)</f>
        <v>Product10</v>
      </c>
      <c r="H426" s="39" t="str">
        <f>VLOOKUP('Data 1'!$B426,'Data 2'!$A$1:$F$46,MATCH('Data 1'!H$1,'Data 2'!$A$1:$F$1,0),0)</f>
        <v>Category02</v>
      </c>
      <c r="I426" s="39" t="str">
        <f>VLOOKUP('Data 1'!$B426,'Data 2'!$A$1:$F$46,MATCH('Data 1'!I$1,'Data 2'!$A$1:$F$1,0),0)</f>
        <v>Ft</v>
      </c>
      <c r="J426" s="39">
        <f>VLOOKUP('Data 1'!$B426,'Data 2'!$A$1:$F$46,MATCH('Data 1'!J$1,'Data 2'!$A$1:$F$1,0),0)</f>
        <v>148</v>
      </c>
      <c r="K426" s="39">
        <f>VLOOKUP('Data 1'!$B426,'Data 2'!$A$1:$F$46,MATCH('Data 1'!K$1,'Data 2'!$A$1:$F$1,0),0)</f>
        <v>164.28</v>
      </c>
      <c r="L426" s="40">
        <f>SUM('Data 1'!$J426*'Data 1'!$C426)</f>
        <v>296</v>
      </c>
      <c r="M426" s="40">
        <f>'Data 1'!$C426*'Data 1'!$K426</f>
        <v>328.56</v>
      </c>
      <c r="N426" s="40">
        <f>'Data 1'!$M426-'Data 1'!$L426</f>
        <v>32.56</v>
      </c>
      <c r="O426" s="37">
        <f>DAY('Data 1'!$A426)</f>
        <v>18</v>
      </c>
      <c r="P426" s="37" t="str">
        <f>TEXT('Data 1'!$A426,"mmm")</f>
        <v>Aug</v>
      </c>
      <c r="Q426" s="41">
        <f>YEAR('Data 1'!$A426)</f>
        <v>2022</v>
      </c>
    </row>
    <row r="427" spans="1:17" x14ac:dyDescent="0.3">
      <c r="A427" s="35">
        <v>44792</v>
      </c>
      <c r="B427" s="36" t="s">
        <v>55</v>
      </c>
      <c r="C427" s="37">
        <v>3</v>
      </c>
      <c r="D427" s="37" t="s">
        <v>17</v>
      </c>
      <c r="E427" s="37" t="s">
        <v>17</v>
      </c>
      <c r="F427" s="38">
        <v>0</v>
      </c>
      <c r="G427" s="42" t="str">
        <f>VLOOKUP('Data 1'!$B427,'Data 2'!$A$1:$F$46,MATCH('Data 1'!G$1,'Data 2'!$A$1:$F$1,0),0)</f>
        <v>Product07</v>
      </c>
      <c r="H427" s="42" t="str">
        <f>VLOOKUP('Data 1'!$B427,'Data 2'!$A$1:$F$46,MATCH('Data 1'!H$1,'Data 2'!$A$1:$F$1,0),0)</f>
        <v>Category01</v>
      </c>
      <c r="I427" s="42" t="str">
        <f>VLOOKUP('Data 1'!$B427,'Data 2'!$A$1:$F$46,MATCH('Data 1'!I$1,'Data 2'!$A$1:$F$1,0),0)</f>
        <v>Lt</v>
      </c>
      <c r="J427" s="42">
        <f>VLOOKUP('Data 1'!$B427,'Data 2'!$A$1:$F$46,MATCH('Data 1'!J$1,'Data 2'!$A$1:$F$1,0),0)</f>
        <v>43</v>
      </c>
      <c r="K427" s="42">
        <f>VLOOKUP('Data 1'!$B427,'Data 2'!$A$1:$F$46,MATCH('Data 1'!K$1,'Data 2'!$A$1:$F$1,0),0)</f>
        <v>47.730000000000004</v>
      </c>
      <c r="L427" s="40">
        <f>SUM('Data 1'!$J427*'Data 1'!$C427)</f>
        <v>129</v>
      </c>
      <c r="M427" s="40">
        <f>'Data 1'!$C427*'Data 1'!$K427</f>
        <v>143.19</v>
      </c>
      <c r="N427" s="40">
        <f>'Data 1'!$M427-'Data 1'!$L427</f>
        <v>14.189999999999998</v>
      </c>
      <c r="O427" s="37">
        <f>DAY('Data 1'!$A427)</f>
        <v>19</v>
      </c>
      <c r="P427" s="37" t="str">
        <f>TEXT('Data 1'!$A427,"mmm")</f>
        <v>Aug</v>
      </c>
      <c r="Q427" s="41">
        <f>YEAR('Data 1'!$A427)</f>
        <v>2022</v>
      </c>
    </row>
    <row r="428" spans="1:17" x14ac:dyDescent="0.3">
      <c r="A428" s="35">
        <v>44793</v>
      </c>
      <c r="B428" s="36" t="s">
        <v>31</v>
      </c>
      <c r="C428" s="37">
        <v>13</v>
      </c>
      <c r="D428" s="37" t="s">
        <v>21</v>
      </c>
      <c r="E428" s="37" t="s">
        <v>17</v>
      </c>
      <c r="F428" s="38">
        <v>0</v>
      </c>
      <c r="G428" s="39" t="str">
        <f>VLOOKUP('Data 1'!$B428,'Data 2'!$A$1:$F$46,MATCH('Data 1'!G$1,'Data 2'!$A$1:$F$1,0),0)</f>
        <v>Product23</v>
      </c>
      <c r="H428" s="39" t="str">
        <f>VLOOKUP('Data 1'!$B428,'Data 2'!$A$1:$F$46,MATCH('Data 1'!H$1,'Data 2'!$A$1:$F$1,0),0)</f>
        <v>Category03</v>
      </c>
      <c r="I428" s="39" t="str">
        <f>VLOOKUP('Data 1'!$B428,'Data 2'!$A$1:$F$46,MATCH('Data 1'!I$1,'Data 2'!$A$1:$F$1,0),0)</f>
        <v>Ft</v>
      </c>
      <c r="J428" s="39">
        <f>VLOOKUP('Data 1'!$B428,'Data 2'!$A$1:$F$46,MATCH('Data 1'!J$1,'Data 2'!$A$1:$F$1,0),0)</f>
        <v>141</v>
      </c>
      <c r="K428" s="39">
        <f>VLOOKUP('Data 1'!$B428,'Data 2'!$A$1:$F$46,MATCH('Data 1'!K$1,'Data 2'!$A$1:$F$1,0),0)</f>
        <v>149.46</v>
      </c>
      <c r="L428" s="40">
        <f>SUM('Data 1'!$J428*'Data 1'!$C428)</f>
        <v>1833</v>
      </c>
      <c r="M428" s="40">
        <f>'Data 1'!$C428*'Data 1'!$K428</f>
        <v>1942.98</v>
      </c>
      <c r="N428" s="40">
        <f>'Data 1'!$M428-'Data 1'!$L428</f>
        <v>109.98000000000002</v>
      </c>
      <c r="O428" s="37">
        <f>DAY('Data 1'!$A428)</f>
        <v>20</v>
      </c>
      <c r="P428" s="37" t="str">
        <f>TEXT('Data 1'!$A428,"mmm")</f>
        <v>Aug</v>
      </c>
      <c r="Q428" s="41">
        <f>YEAR('Data 1'!$A428)</f>
        <v>2022</v>
      </c>
    </row>
    <row r="429" spans="1:17" x14ac:dyDescent="0.3">
      <c r="A429" s="35">
        <v>44793</v>
      </c>
      <c r="B429" s="36" t="s">
        <v>57</v>
      </c>
      <c r="C429" s="37">
        <v>14</v>
      </c>
      <c r="D429" s="37" t="s">
        <v>21</v>
      </c>
      <c r="E429" s="37" t="s">
        <v>17</v>
      </c>
      <c r="F429" s="38">
        <v>0</v>
      </c>
      <c r="G429" s="42" t="str">
        <f>VLOOKUP('Data 1'!$B429,'Data 2'!$A$1:$F$46,MATCH('Data 1'!G$1,'Data 2'!$A$1:$F$1,0),0)</f>
        <v>Product33</v>
      </c>
      <c r="H429" s="42" t="str">
        <f>VLOOKUP('Data 1'!$B429,'Data 2'!$A$1:$F$46,MATCH('Data 1'!H$1,'Data 2'!$A$1:$F$1,0),0)</f>
        <v>Category04</v>
      </c>
      <c r="I429" s="42" t="str">
        <f>VLOOKUP('Data 1'!$B429,'Data 2'!$A$1:$F$46,MATCH('Data 1'!I$1,'Data 2'!$A$1:$F$1,0),0)</f>
        <v>Kg</v>
      </c>
      <c r="J429" s="42">
        <f>VLOOKUP('Data 1'!$B429,'Data 2'!$A$1:$F$46,MATCH('Data 1'!J$1,'Data 2'!$A$1:$F$1,0),0)</f>
        <v>95</v>
      </c>
      <c r="K429" s="42">
        <f>VLOOKUP('Data 1'!$B429,'Data 2'!$A$1:$F$46,MATCH('Data 1'!K$1,'Data 2'!$A$1:$F$1,0),0)</f>
        <v>119.7</v>
      </c>
      <c r="L429" s="40">
        <f>SUM('Data 1'!$J429*'Data 1'!$C429)</f>
        <v>1330</v>
      </c>
      <c r="M429" s="40">
        <f>'Data 1'!$C429*'Data 1'!$K429</f>
        <v>1675.8</v>
      </c>
      <c r="N429" s="40">
        <f>'Data 1'!$M429-'Data 1'!$L429</f>
        <v>345.79999999999995</v>
      </c>
      <c r="O429" s="37">
        <f>DAY('Data 1'!$A429)</f>
        <v>20</v>
      </c>
      <c r="P429" s="37" t="str">
        <f>TEXT('Data 1'!$A429,"mmm")</f>
        <v>Aug</v>
      </c>
      <c r="Q429" s="41">
        <f>YEAR('Data 1'!$A429)</f>
        <v>2022</v>
      </c>
    </row>
    <row r="430" spans="1:17" x14ac:dyDescent="0.3">
      <c r="A430" s="35">
        <v>44794</v>
      </c>
      <c r="B430" s="36" t="s">
        <v>40</v>
      </c>
      <c r="C430" s="37">
        <v>4</v>
      </c>
      <c r="D430" s="37" t="s">
        <v>21</v>
      </c>
      <c r="E430" s="37" t="s">
        <v>17</v>
      </c>
      <c r="F430" s="38">
        <v>0</v>
      </c>
      <c r="G430" s="39" t="str">
        <f>VLOOKUP('Data 1'!$B430,'Data 2'!$A$1:$F$46,MATCH('Data 1'!G$1,'Data 2'!$A$1:$F$1,0),0)</f>
        <v>Product16</v>
      </c>
      <c r="H430" s="39" t="str">
        <f>VLOOKUP('Data 1'!$B430,'Data 2'!$A$1:$F$46,MATCH('Data 1'!H$1,'Data 2'!$A$1:$F$1,0),0)</f>
        <v>Category02</v>
      </c>
      <c r="I430" s="39" t="str">
        <f>VLOOKUP('Data 1'!$B430,'Data 2'!$A$1:$F$46,MATCH('Data 1'!I$1,'Data 2'!$A$1:$F$1,0),0)</f>
        <v>No.</v>
      </c>
      <c r="J430" s="39">
        <f>VLOOKUP('Data 1'!$B430,'Data 2'!$A$1:$F$46,MATCH('Data 1'!J$1,'Data 2'!$A$1:$F$1,0),0)</f>
        <v>13</v>
      </c>
      <c r="K430" s="39">
        <f>VLOOKUP('Data 1'!$B430,'Data 2'!$A$1:$F$46,MATCH('Data 1'!K$1,'Data 2'!$A$1:$F$1,0),0)</f>
        <v>16.64</v>
      </c>
      <c r="L430" s="40">
        <f>SUM('Data 1'!$J430*'Data 1'!$C430)</f>
        <v>52</v>
      </c>
      <c r="M430" s="40">
        <f>'Data 1'!$C430*'Data 1'!$K430</f>
        <v>66.56</v>
      </c>
      <c r="N430" s="40">
        <f>'Data 1'!$M430-'Data 1'!$L430</f>
        <v>14.560000000000002</v>
      </c>
      <c r="O430" s="37">
        <f>DAY('Data 1'!$A430)</f>
        <v>21</v>
      </c>
      <c r="P430" s="37" t="str">
        <f>TEXT('Data 1'!$A430,"mmm")</f>
        <v>Aug</v>
      </c>
      <c r="Q430" s="41">
        <f>YEAR('Data 1'!$A430)</f>
        <v>2022</v>
      </c>
    </row>
    <row r="431" spans="1:17" x14ac:dyDescent="0.3">
      <c r="A431" s="35">
        <v>44796</v>
      </c>
      <c r="B431" s="36" t="s">
        <v>30</v>
      </c>
      <c r="C431" s="37">
        <v>11</v>
      </c>
      <c r="D431" s="37" t="s">
        <v>17</v>
      </c>
      <c r="E431" s="37" t="s">
        <v>17</v>
      </c>
      <c r="F431" s="38">
        <v>0</v>
      </c>
      <c r="G431" s="42" t="str">
        <f>VLOOKUP('Data 1'!$B431,'Data 2'!$A$1:$F$46,MATCH('Data 1'!G$1,'Data 2'!$A$1:$F$1,0),0)</f>
        <v>Product44</v>
      </c>
      <c r="H431" s="42" t="str">
        <f>VLOOKUP('Data 1'!$B431,'Data 2'!$A$1:$F$46,MATCH('Data 1'!H$1,'Data 2'!$A$1:$F$1,0),0)</f>
        <v>Category05</v>
      </c>
      <c r="I431" s="42" t="str">
        <f>VLOOKUP('Data 1'!$B431,'Data 2'!$A$1:$F$46,MATCH('Data 1'!I$1,'Data 2'!$A$1:$F$1,0),0)</f>
        <v>Kg</v>
      </c>
      <c r="J431" s="42">
        <f>VLOOKUP('Data 1'!$B431,'Data 2'!$A$1:$F$46,MATCH('Data 1'!J$1,'Data 2'!$A$1:$F$1,0),0)</f>
        <v>76</v>
      </c>
      <c r="K431" s="42">
        <f>VLOOKUP('Data 1'!$B431,'Data 2'!$A$1:$F$46,MATCH('Data 1'!K$1,'Data 2'!$A$1:$F$1,0),0)</f>
        <v>82.08</v>
      </c>
      <c r="L431" s="40">
        <f>SUM('Data 1'!$J431*'Data 1'!$C431)</f>
        <v>836</v>
      </c>
      <c r="M431" s="40">
        <f>'Data 1'!$C431*'Data 1'!$K431</f>
        <v>902.88</v>
      </c>
      <c r="N431" s="40">
        <f>'Data 1'!$M431-'Data 1'!$L431</f>
        <v>66.88</v>
      </c>
      <c r="O431" s="37">
        <f>DAY('Data 1'!$A431)</f>
        <v>23</v>
      </c>
      <c r="P431" s="37" t="str">
        <f>TEXT('Data 1'!$A431,"mmm")</f>
        <v>Aug</v>
      </c>
      <c r="Q431" s="41">
        <f>YEAR('Data 1'!$A431)</f>
        <v>2022</v>
      </c>
    </row>
    <row r="432" spans="1:17" x14ac:dyDescent="0.3">
      <c r="A432" s="35">
        <v>44796</v>
      </c>
      <c r="B432" s="36" t="s">
        <v>38</v>
      </c>
      <c r="C432" s="37">
        <v>14</v>
      </c>
      <c r="D432" s="37" t="s">
        <v>21</v>
      </c>
      <c r="E432" s="37" t="s">
        <v>19</v>
      </c>
      <c r="F432" s="38">
        <v>0</v>
      </c>
      <c r="G432" s="39" t="str">
        <f>VLOOKUP('Data 1'!$B432,'Data 2'!$A$1:$F$46,MATCH('Data 1'!G$1,'Data 2'!$A$1:$F$1,0),0)</f>
        <v>Product29</v>
      </c>
      <c r="H432" s="39" t="str">
        <f>VLOOKUP('Data 1'!$B432,'Data 2'!$A$1:$F$46,MATCH('Data 1'!H$1,'Data 2'!$A$1:$F$1,0),0)</f>
        <v>Category04</v>
      </c>
      <c r="I432" s="39" t="str">
        <f>VLOOKUP('Data 1'!$B432,'Data 2'!$A$1:$F$46,MATCH('Data 1'!I$1,'Data 2'!$A$1:$F$1,0),0)</f>
        <v>Lt</v>
      </c>
      <c r="J432" s="39">
        <f>VLOOKUP('Data 1'!$B432,'Data 2'!$A$1:$F$46,MATCH('Data 1'!J$1,'Data 2'!$A$1:$F$1,0),0)</f>
        <v>47</v>
      </c>
      <c r="K432" s="39">
        <f>VLOOKUP('Data 1'!$B432,'Data 2'!$A$1:$F$46,MATCH('Data 1'!K$1,'Data 2'!$A$1:$F$1,0),0)</f>
        <v>53.11</v>
      </c>
      <c r="L432" s="40">
        <f>SUM('Data 1'!$J432*'Data 1'!$C432)</f>
        <v>658</v>
      </c>
      <c r="M432" s="40">
        <f>'Data 1'!$C432*'Data 1'!$K432</f>
        <v>743.54</v>
      </c>
      <c r="N432" s="40">
        <f>'Data 1'!$M432-'Data 1'!$L432</f>
        <v>85.539999999999964</v>
      </c>
      <c r="O432" s="37">
        <f>DAY('Data 1'!$A432)</f>
        <v>23</v>
      </c>
      <c r="P432" s="37" t="str">
        <f>TEXT('Data 1'!$A432,"mmm")</f>
        <v>Aug</v>
      </c>
      <c r="Q432" s="41">
        <f>YEAR('Data 1'!$A432)</f>
        <v>2022</v>
      </c>
    </row>
    <row r="433" spans="1:17" x14ac:dyDescent="0.3">
      <c r="A433" s="35">
        <v>44797</v>
      </c>
      <c r="B433" s="36" t="s">
        <v>43</v>
      </c>
      <c r="C433" s="37">
        <v>5</v>
      </c>
      <c r="D433" s="37" t="s">
        <v>21</v>
      </c>
      <c r="E433" s="37" t="s">
        <v>19</v>
      </c>
      <c r="F433" s="38">
        <v>0</v>
      </c>
      <c r="G433" s="42" t="str">
        <f>VLOOKUP('Data 1'!$B433,'Data 2'!$A$1:$F$46,MATCH('Data 1'!G$1,'Data 2'!$A$1:$F$1,0),0)</f>
        <v>Product05</v>
      </c>
      <c r="H433" s="42" t="str">
        <f>VLOOKUP('Data 1'!$B433,'Data 2'!$A$1:$F$46,MATCH('Data 1'!H$1,'Data 2'!$A$1:$F$1,0),0)</f>
        <v>Category01</v>
      </c>
      <c r="I433" s="42" t="str">
        <f>VLOOKUP('Data 1'!$B433,'Data 2'!$A$1:$F$46,MATCH('Data 1'!I$1,'Data 2'!$A$1:$F$1,0),0)</f>
        <v>Ft</v>
      </c>
      <c r="J433" s="42">
        <f>VLOOKUP('Data 1'!$B433,'Data 2'!$A$1:$F$46,MATCH('Data 1'!J$1,'Data 2'!$A$1:$F$1,0),0)</f>
        <v>133</v>
      </c>
      <c r="K433" s="42">
        <f>VLOOKUP('Data 1'!$B433,'Data 2'!$A$1:$F$46,MATCH('Data 1'!K$1,'Data 2'!$A$1:$F$1,0),0)</f>
        <v>155.61000000000001</v>
      </c>
      <c r="L433" s="40">
        <f>SUM('Data 1'!$J433*'Data 1'!$C433)</f>
        <v>665</v>
      </c>
      <c r="M433" s="40">
        <f>'Data 1'!$C433*'Data 1'!$K433</f>
        <v>778.05000000000007</v>
      </c>
      <c r="N433" s="40">
        <f>'Data 1'!$M433-'Data 1'!$L433</f>
        <v>113.05000000000007</v>
      </c>
      <c r="O433" s="37">
        <f>DAY('Data 1'!$A433)</f>
        <v>24</v>
      </c>
      <c r="P433" s="37" t="str">
        <f>TEXT('Data 1'!$A433,"mmm")</f>
        <v>Aug</v>
      </c>
      <c r="Q433" s="41">
        <f>YEAR('Data 1'!$A433)</f>
        <v>2022</v>
      </c>
    </row>
    <row r="434" spans="1:17" x14ac:dyDescent="0.3">
      <c r="A434" s="35">
        <v>44799</v>
      </c>
      <c r="B434" s="36" t="s">
        <v>59</v>
      </c>
      <c r="C434" s="37">
        <v>13</v>
      </c>
      <c r="D434" s="37" t="s">
        <v>16</v>
      </c>
      <c r="E434" s="37" t="s">
        <v>19</v>
      </c>
      <c r="F434" s="38">
        <v>0</v>
      </c>
      <c r="G434" s="39" t="str">
        <f>VLOOKUP('Data 1'!$B434,'Data 2'!$A$1:$F$46,MATCH('Data 1'!G$1,'Data 2'!$A$1:$F$1,0),0)</f>
        <v>Product19</v>
      </c>
      <c r="H434" s="39" t="str">
        <f>VLOOKUP('Data 1'!$B434,'Data 2'!$A$1:$F$46,MATCH('Data 1'!H$1,'Data 2'!$A$1:$F$1,0),0)</f>
        <v>Category02</v>
      </c>
      <c r="I434" s="39" t="str">
        <f>VLOOKUP('Data 1'!$B434,'Data 2'!$A$1:$F$46,MATCH('Data 1'!I$1,'Data 2'!$A$1:$F$1,0),0)</f>
        <v>Ft</v>
      </c>
      <c r="J434" s="39">
        <f>VLOOKUP('Data 1'!$B434,'Data 2'!$A$1:$F$46,MATCH('Data 1'!J$1,'Data 2'!$A$1:$F$1,0),0)</f>
        <v>150</v>
      </c>
      <c r="K434" s="39">
        <f>VLOOKUP('Data 1'!$B434,'Data 2'!$A$1:$F$46,MATCH('Data 1'!K$1,'Data 2'!$A$1:$F$1,0),0)</f>
        <v>210</v>
      </c>
      <c r="L434" s="40">
        <f>SUM('Data 1'!$J434*'Data 1'!$C434)</f>
        <v>1950</v>
      </c>
      <c r="M434" s="40">
        <f>'Data 1'!$C434*'Data 1'!$K434</f>
        <v>2730</v>
      </c>
      <c r="N434" s="40">
        <f>'Data 1'!$M434-'Data 1'!$L434</f>
        <v>780</v>
      </c>
      <c r="O434" s="37">
        <f>DAY('Data 1'!$A434)</f>
        <v>26</v>
      </c>
      <c r="P434" s="37" t="str">
        <f>TEXT('Data 1'!$A434,"mmm")</f>
        <v>Aug</v>
      </c>
      <c r="Q434" s="41">
        <f>YEAR('Data 1'!$A434)</f>
        <v>2022</v>
      </c>
    </row>
    <row r="435" spans="1:17" x14ac:dyDescent="0.3">
      <c r="A435" s="35">
        <v>44799</v>
      </c>
      <c r="B435" s="36" t="s">
        <v>27</v>
      </c>
      <c r="C435" s="37">
        <v>8</v>
      </c>
      <c r="D435" s="37" t="s">
        <v>17</v>
      </c>
      <c r="E435" s="37" t="s">
        <v>17</v>
      </c>
      <c r="F435" s="38">
        <v>0</v>
      </c>
      <c r="G435" s="42" t="str">
        <f>VLOOKUP('Data 1'!$B435,'Data 2'!$A$1:$F$46,MATCH('Data 1'!G$1,'Data 2'!$A$1:$F$1,0),0)</f>
        <v>Product37</v>
      </c>
      <c r="H435" s="42" t="str">
        <f>VLOOKUP('Data 1'!$B435,'Data 2'!$A$1:$F$46,MATCH('Data 1'!H$1,'Data 2'!$A$1:$F$1,0),0)</f>
        <v>Category05</v>
      </c>
      <c r="I435" s="42" t="str">
        <f>VLOOKUP('Data 1'!$B435,'Data 2'!$A$1:$F$46,MATCH('Data 1'!I$1,'Data 2'!$A$1:$F$1,0),0)</f>
        <v>Kg</v>
      </c>
      <c r="J435" s="42">
        <f>VLOOKUP('Data 1'!$B435,'Data 2'!$A$1:$F$46,MATCH('Data 1'!J$1,'Data 2'!$A$1:$F$1,0),0)</f>
        <v>67</v>
      </c>
      <c r="K435" s="42">
        <f>VLOOKUP('Data 1'!$B435,'Data 2'!$A$1:$F$46,MATCH('Data 1'!K$1,'Data 2'!$A$1:$F$1,0),0)</f>
        <v>85.76</v>
      </c>
      <c r="L435" s="40">
        <f>SUM('Data 1'!$J435*'Data 1'!$C435)</f>
        <v>536</v>
      </c>
      <c r="M435" s="40">
        <f>'Data 1'!$C435*'Data 1'!$K435</f>
        <v>686.08</v>
      </c>
      <c r="N435" s="40">
        <f>'Data 1'!$M435-'Data 1'!$L435</f>
        <v>150.08000000000004</v>
      </c>
      <c r="O435" s="37">
        <f>DAY('Data 1'!$A435)</f>
        <v>26</v>
      </c>
      <c r="P435" s="37" t="str">
        <f>TEXT('Data 1'!$A435,"mmm")</f>
        <v>Aug</v>
      </c>
      <c r="Q435" s="41">
        <f>YEAR('Data 1'!$A435)</f>
        <v>2022</v>
      </c>
    </row>
    <row r="436" spans="1:17" x14ac:dyDescent="0.3">
      <c r="A436" s="35">
        <v>44800</v>
      </c>
      <c r="B436" s="36" t="s">
        <v>53</v>
      </c>
      <c r="C436" s="37">
        <v>15</v>
      </c>
      <c r="D436" s="37" t="s">
        <v>16</v>
      </c>
      <c r="E436" s="37" t="s">
        <v>17</v>
      </c>
      <c r="F436" s="38">
        <v>0</v>
      </c>
      <c r="G436" s="39" t="str">
        <f>VLOOKUP('Data 1'!$B436,'Data 2'!$A$1:$F$46,MATCH('Data 1'!G$1,'Data 2'!$A$1:$F$1,0),0)</f>
        <v>Product39</v>
      </c>
      <c r="H436" s="39" t="str">
        <f>VLOOKUP('Data 1'!$B436,'Data 2'!$A$1:$F$46,MATCH('Data 1'!H$1,'Data 2'!$A$1:$F$1,0),0)</f>
        <v>Category05</v>
      </c>
      <c r="I436" s="39" t="str">
        <f>VLOOKUP('Data 1'!$B436,'Data 2'!$A$1:$F$46,MATCH('Data 1'!I$1,'Data 2'!$A$1:$F$1,0),0)</f>
        <v>No.</v>
      </c>
      <c r="J436" s="39">
        <f>VLOOKUP('Data 1'!$B436,'Data 2'!$A$1:$F$46,MATCH('Data 1'!J$1,'Data 2'!$A$1:$F$1,0),0)</f>
        <v>37</v>
      </c>
      <c r="K436" s="39">
        <f>VLOOKUP('Data 1'!$B436,'Data 2'!$A$1:$F$46,MATCH('Data 1'!K$1,'Data 2'!$A$1:$F$1,0),0)</f>
        <v>42.55</v>
      </c>
      <c r="L436" s="40">
        <f>SUM('Data 1'!$J436*'Data 1'!$C436)</f>
        <v>555</v>
      </c>
      <c r="M436" s="40">
        <f>'Data 1'!$C436*'Data 1'!$K436</f>
        <v>638.25</v>
      </c>
      <c r="N436" s="40">
        <f>'Data 1'!$M436-'Data 1'!$L436</f>
        <v>83.25</v>
      </c>
      <c r="O436" s="37">
        <f>DAY('Data 1'!$A436)</f>
        <v>27</v>
      </c>
      <c r="P436" s="37" t="str">
        <f>TEXT('Data 1'!$A436,"mmm")</f>
        <v>Aug</v>
      </c>
      <c r="Q436" s="41">
        <f>YEAR('Data 1'!$A436)</f>
        <v>2022</v>
      </c>
    </row>
    <row r="437" spans="1:17" x14ac:dyDescent="0.3">
      <c r="A437" s="35">
        <v>44801</v>
      </c>
      <c r="B437" s="36" t="s">
        <v>43</v>
      </c>
      <c r="C437" s="37">
        <v>9</v>
      </c>
      <c r="D437" s="37" t="s">
        <v>17</v>
      </c>
      <c r="E437" s="37" t="s">
        <v>17</v>
      </c>
      <c r="F437" s="38">
        <v>0</v>
      </c>
      <c r="G437" s="42" t="str">
        <f>VLOOKUP('Data 1'!$B437,'Data 2'!$A$1:$F$46,MATCH('Data 1'!G$1,'Data 2'!$A$1:$F$1,0),0)</f>
        <v>Product05</v>
      </c>
      <c r="H437" s="42" t="str">
        <f>VLOOKUP('Data 1'!$B437,'Data 2'!$A$1:$F$46,MATCH('Data 1'!H$1,'Data 2'!$A$1:$F$1,0),0)</f>
        <v>Category01</v>
      </c>
      <c r="I437" s="42" t="str">
        <f>VLOOKUP('Data 1'!$B437,'Data 2'!$A$1:$F$46,MATCH('Data 1'!I$1,'Data 2'!$A$1:$F$1,0),0)</f>
        <v>Ft</v>
      </c>
      <c r="J437" s="42">
        <f>VLOOKUP('Data 1'!$B437,'Data 2'!$A$1:$F$46,MATCH('Data 1'!J$1,'Data 2'!$A$1:$F$1,0),0)</f>
        <v>133</v>
      </c>
      <c r="K437" s="42">
        <f>VLOOKUP('Data 1'!$B437,'Data 2'!$A$1:$F$46,MATCH('Data 1'!K$1,'Data 2'!$A$1:$F$1,0),0)</f>
        <v>155.61000000000001</v>
      </c>
      <c r="L437" s="40">
        <f>SUM('Data 1'!$J437*'Data 1'!$C437)</f>
        <v>1197</v>
      </c>
      <c r="M437" s="40">
        <f>'Data 1'!$C437*'Data 1'!$K437</f>
        <v>1400.4900000000002</v>
      </c>
      <c r="N437" s="40">
        <f>'Data 1'!$M437-'Data 1'!$L437</f>
        <v>203.49000000000024</v>
      </c>
      <c r="O437" s="37">
        <f>DAY('Data 1'!$A437)</f>
        <v>28</v>
      </c>
      <c r="P437" s="37" t="str">
        <f>TEXT('Data 1'!$A437,"mmm")</f>
        <v>Aug</v>
      </c>
      <c r="Q437" s="41">
        <f>YEAR('Data 1'!$A437)</f>
        <v>2022</v>
      </c>
    </row>
    <row r="438" spans="1:17" x14ac:dyDescent="0.3">
      <c r="A438" s="35">
        <v>44801</v>
      </c>
      <c r="B438" s="36" t="s">
        <v>53</v>
      </c>
      <c r="C438" s="37">
        <v>5</v>
      </c>
      <c r="D438" s="37" t="s">
        <v>21</v>
      </c>
      <c r="E438" s="37" t="s">
        <v>17</v>
      </c>
      <c r="F438" s="38">
        <v>0</v>
      </c>
      <c r="G438" s="39" t="str">
        <f>VLOOKUP('Data 1'!$B438,'Data 2'!$A$1:$F$46,MATCH('Data 1'!G$1,'Data 2'!$A$1:$F$1,0),0)</f>
        <v>Product39</v>
      </c>
      <c r="H438" s="39" t="str">
        <f>VLOOKUP('Data 1'!$B438,'Data 2'!$A$1:$F$46,MATCH('Data 1'!H$1,'Data 2'!$A$1:$F$1,0),0)</f>
        <v>Category05</v>
      </c>
      <c r="I438" s="39" t="str">
        <f>VLOOKUP('Data 1'!$B438,'Data 2'!$A$1:$F$46,MATCH('Data 1'!I$1,'Data 2'!$A$1:$F$1,0),0)</f>
        <v>No.</v>
      </c>
      <c r="J438" s="39">
        <f>VLOOKUP('Data 1'!$B438,'Data 2'!$A$1:$F$46,MATCH('Data 1'!J$1,'Data 2'!$A$1:$F$1,0),0)</f>
        <v>37</v>
      </c>
      <c r="K438" s="39">
        <f>VLOOKUP('Data 1'!$B438,'Data 2'!$A$1:$F$46,MATCH('Data 1'!K$1,'Data 2'!$A$1:$F$1,0),0)</f>
        <v>42.55</v>
      </c>
      <c r="L438" s="40">
        <f>SUM('Data 1'!$J438*'Data 1'!$C438)</f>
        <v>185</v>
      </c>
      <c r="M438" s="40">
        <f>'Data 1'!$C438*'Data 1'!$K438</f>
        <v>212.75</v>
      </c>
      <c r="N438" s="40">
        <f>'Data 1'!$M438-'Data 1'!$L438</f>
        <v>27.75</v>
      </c>
      <c r="O438" s="37">
        <f>DAY('Data 1'!$A438)</f>
        <v>28</v>
      </c>
      <c r="P438" s="37" t="str">
        <f>TEXT('Data 1'!$A438,"mmm")</f>
        <v>Aug</v>
      </c>
      <c r="Q438" s="41">
        <f>YEAR('Data 1'!$A438)</f>
        <v>2022</v>
      </c>
    </row>
    <row r="439" spans="1:17" x14ac:dyDescent="0.3">
      <c r="A439" s="35">
        <v>44803</v>
      </c>
      <c r="B439" s="36" t="s">
        <v>34</v>
      </c>
      <c r="C439" s="37">
        <v>6</v>
      </c>
      <c r="D439" s="37" t="s">
        <v>17</v>
      </c>
      <c r="E439" s="37" t="s">
        <v>19</v>
      </c>
      <c r="F439" s="38">
        <v>0</v>
      </c>
      <c r="G439" s="42" t="str">
        <f>VLOOKUP('Data 1'!$B439,'Data 2'!$A$1:$F$46,MATCH('Data 1'!G$1,'Data 2'!$A$1:$F$1,0),0)</f>
        <v>Product06</v>
      </c>
      <c r="H439" s="42" t="str">
        <f>VLOOKUP('Data 1'!$B439,'Data 2'!$A$1:$F$46,MATCH('Data 1'!H$1,'Data 2'!$A$1:$F$1,0),0)</f>
        <v>Category01</v>
      </c>
      <c r="I439" s="42" t="str">
        <f>VLOOKUP('Data 1'!$B439,'Data 2'!$A$1:$F$46,MATCH('Data 1'!I$1,'Data 2'!$A$1:$F$1,0),0)</f>
        <v>Kg</v>
      </c>
      <c r="J439" s="42">
        <f>VLOOKUP('Data 1'!$B439,'Data 2'!$A$1:$F$46,MATCH('Data 1'!J$1,'Data 2'!$A$1:$F$1,0),0)</f>
        <v>75</v>
      </c>
      <c r="K439" s="42">
        <f>VLOOKUP('Data 1'!$B439,'Data 2'!$A$1:$F$46,MATCH('Data 1'!K$1,'Data 2'!$A$1:$F$1,0),0)</f>
        <v>85.5</v>
      </c>
      <c r="L439" s="40">
        <f>SUM('Data 1'!$J439*'Data 1'!$C439)</f>
        <v>450</v>
      </c>
      <c r="M439" s="40">
        <f>'Data 1'!$C439*'Data 1'!$K439</f>
        <v>513</v>
      </c>
      <c r="N439" s="40">
        <f>'Data 1'!$M439-'Data 1'!$L439</f>
        <v>63</v>
      </c>
      <c r="O439" s="37">
        <f>DAY('Data 1'!$A439)</f>
        <v>30</v>
      </c>
      <c r="P439" s="37" t="str">
        <f>TEXT('Data 1'!$A439,"mmm")</f>
        <v>Aug</v>
      </c>
      <c r="Q439" s="41">
        <f>YEAR('Data 1'!$A439)</f>
        <v>2022</v>
      </c>
    </row>
    <row r="440" spans="1:17" x14ac:dyDescent="0.3">
      <c r="A440" s="35">
        <v>44803</v>
      </c>
      <c r="B440" s="36" t="s">
        <v>42</v>
      </c>
      <c r="C440" s="37">
        <v>6</v>
      </c>
      <c r="D440" s="37" t="s">
        <v>21</v>
      </c>
      <c r="E440" s="37" t="s">
        <v>19</v>
      </c>
      <c r="F440" s="38">
        <v>0</v>
      </c>
      <c r="G440" s="39" t="str">
        <f>VLOOKUP('Data 1'!$B440,'Data 2'!$A$1:$F$46,MATCH('Data 1'!G$1,'Data 2'!$A$1:$F$1,0),0)</f>
        <v>Product43</v>
      </c>
      <c r="H440" s="39" t="str">
        <f>VLOOKUP('Data 1'!$B440,'Data 2'!$A$1:$F$46,MATCH('Data 1'!H$1,'Data 2'!$A$1:$F$1,0),0)</f>
        <v>Category05</v>
      </c>
      <c r="I440" s="39" t="str">
        <f>VLOOKUP('Data 1'!$B440,'Data 2'!$A$1:$F$46,MATCH('Data 1'!I$1,'Data 2'!$A$1:$F$1,0),0)</f>
        <v>Kg</v>
      </c>
      <c r="J440" s="39">
        <f>VLOOKUP('Data 1'!$B440,'Data 2'!$A$1:$F$46,MATCH('Data 1'!J$1,'Data 2'!$A$1:$F$1,0),0)</f>
        <v>67</v>
      </c>
      <c r="K440" s="39">
        <f>VLOOKUP('Data 1'!$B440,'Data 2'!$A$1:$F$46,MATCH('Data 1'!K$1,'Data 2'!$A$1:$F$1,0),0)</f>
        <v>83.08</v>
      </c>
      <c r="L440" s="40">
        <f>SUM('Data 1'!$J440*'Data 1'!$C440)</f>
        <v>402</v>
      </c>
      <c r="M440" s="40">
        <f>'Data 1'!$C440*'Data 1'!$K440</f>
        <v>498.48</v>
      </c>
      <c r="N440" s="40">
        <f>'Data 1'!$M440-'Data 1'!$L440</f>
        <v>96.480000000000018</v>
      </c>
      <c r="O440" s="37">
        <f>DAY('Data 1'!$A440)</f>
        <v>30</v>
      </c>
      <c r="P440" s="37" t="str">
        <f>TEXT('Data 1'!$A440,"mmm")</f>
        <v>Aug</v>
      </c>
      <c r="Q440" s="41">
        <f>YEAR('Data 1'!$A440)</f>
        <v>2022</v>
      </c>
    </row>
    <row r="441" spans="1:17" x14ac:dyDescent="0.3">
      <c r="A441" s="35">
        <v>44803</v>
      </c>
      <c r="B441" s="36" t="s">
        <v>26</v>
      </c>
      <c r="C441" s="37">
        <v>5</v>
      </c>
      <c r="D441" s="37" t="s">
        <v>21</v>
      </c>
      <c r="E441" s="37" t="s">
        <v>19</v>
      </c>
      <c r="F441" s="38">
        <v>0</v>
      </c>
      <c r="G441" s="42" t="str">
        <f>VLOOKUP('Data 1'!$B441,'Data 2'!$A$1:$F$46,MATCH('Data 1'!G$1,'Data 2'!$A$1:$F$1,0),0)</f>
        <v>Product25</v>
      </c>
      <c r="H441" s="42" t="str">
        <f>VLOOKUP('Data 1'!$B441,'Data 2'!$A$1:$F$46,MATCH('Data 1'!H$1,'Data 2'!$A$1:$F$1,0),0)</f>
        <v>Category03</v>
      </c>
      <c r="I441" s="42" t="str">
        <f>VLOOKUP('Data 1'!$B441,'Data 2'!$A$1:$F$46,MATCH('Data 1'!I$1,'Data 2'!$A$1:$F$1,0),0)</f>
        <v>No.</v>
      </c>
      <c r="J441" s="42">
        <f>VLOOKUP('Data 1'!$B441,'Data 2'!$A$1:$F$46,MATCH('Data 1'!J$1,'Data 2'!$A$1:$F$1,0),0)</f>
        <v>7</v>
      </c>
      <c r="K441" s="42">
        <f>VLOOKUP('Data 1'!$B441,'Data 2'!$A$1:$F$46,MATCH('Data 1'!K$1,'Data 2'!$A$1:$F$1,0),0)</f>
        <v>8.33</v>
      </c>
      <c r="L441" s="40">
        <f>SUM('Data 1'!$J441*'Data 1'!$C441)</f>
        <v>35</v>
      </c>
      <c r="M441" s="40">
        <f>'Data 1'!$C441*'Data 1'!$K441</f>
        <v>41.65</v>
      </c>
      <c r="N441" s="40">
        <f>'Data 1'!$M441-'Data 1'!$L441</f>
        <v>6.6499999999999986</v>
      </c>
      <c r="O441" s="37">
        <f>DAY('Data 1'!$A441)</f>
        <v>30</v>
      </c>
      <c r="P441" s="37" t="str">
        <f>TEXT('Data 1'!$A441,"mmm")</f>
        <v>Aug</v>
      </c>
      <c r="Q441" s="41">
        <f>YEAR('Data 1'!$A441)</f>
        <v>2022</v>
      </c>
    </row>
    <row r="442" spans="1:17" x14ac:dyDescent="0.3">
      <c r="A442" s="35">
        <v>44804</v>
      </c>
      <c r="B442" s="36" t="s">
        <v>46</v>
      </c>
      <c r="C442" s="37">
        <v>13</v>
      </c>
      <c r="D442" s="37" t="s">
        <v>21</v>
      </c>
      <c r="E442" s="37" t="s">
        <v>19</v>
      </c>
      <c r="F442" s="38">
        <v>0</v>
      </c>
      <c r="G442" s="39" t="str">
        <f>VLOOKUP('Data 1'!$B442,'Data 2'!$A$1:$F$46,MATCH('Data 1'!G$1,'Data 2'!$A$1:$F$1,0),0)</f>
        <v>Product15</v>
      </c>
      <c r="H442" s="39" t="str">
        <f>VLOOKUP('Data 1'!$B442,'Data 2'!$A$1:$F$46,MATCH('Data 1'!H$1,'Data 2'!$A$1:$F$1,0),0)</f>
        <v>Category02</v>
      </c>
      <c r="I442" s="39" t="str">
        <f>VLOOKUP('Data 1'!$B442,'Data 2'!$A$1:$F$46,MATCH('Data 1'!I$1,'Data 2'!$A$1:$F$1,0),0)</f>
        <v>No.</v>
      </c>
      <c r="J442" s="39">
        <f>VLOOKUP('Data 1'!$B442,'Data 2'!$A$1:$F$46,MATCH('Data 1'!J$1,'Data 2'!$A$1:$F$1,0),0)</f>
        <v>12</v>
      </c>
      <c r="K442" s="39">
        <f>VLOOKUP('Data 1'!$B442,'Data 2'!$A$1:$F$46,MATCH('Data 1'!K$1,'Data 2'!$A$1:$F$1,0),0)</f>
        <v>15.719999999999999</v>
      </c>
      <c r="L442" s="40">
        <f>SUM('Data 1'!$J442*'Data 1'!$C442)</f>
        <v>156</v>
      </c>
      <c r="M442" s="40">
        <f>'Data 1'!$C442*'Data 1'!$K442</f>
        <v>204.35999999999999</v>
      </c>
      <c r="N442" s="40">
        <f>'Data 1'!$M442-'Data 1'!$L442</f>
        <v>48.359999999999985</v>
      </c>
      <c r="O442" s="37">
        <f>DAY('Data 1'!$A442)</f>
        <v>31</v>
      </c>
      <c r="P442" s="37" t="str">
        <f>TEXT('Data 1'!$A442,"mmm")</f>
        <v>Aug</v>
      </c>
      <c r="Q442" s="41">
        <f>YEAR('Data 1'!$A442)</f>
        <v>2022</v>
      </c>
    </row>
    <row r="443" spans="1:17" x14ac:dyDescent="0.3">
      <c r="A443" s="35">
        <v>44808</v>
      </c>
      <c r="B443" s="36" t="s">
        <v>48</v>
      </c>
      <c r="C443" s="37">
        <v>1</v>
      </c>
      <c r="D443" s="37" t="s">
        <v>21</v>
      </c>
      <c r="E443" s="37" t="s">
        <v>19</v>
      </c>
      <c r="F443" s="38">
        <v>0</v>
      </c>
      <c r="G443" s="42" t="str">
        <f>VLOOKUP('Data 1'!$B443,'Data 2'!$A$1:$F$46,MATCH('Data 1'!G$1,'Data 2'!$A$1:$F$1,0),0)</f>
        <v>Product02</v>
      </c>
      <c r="H443" s="42" t="str">
        <f>VLOOKUP('Data 1'!$B443,'Data 2'!$A$1:$F$46,MATCH('Data 1'!H$1,'Data 2'!$A$1:$F$1,0),0)</f>
        <v>Category01</v>
      </c>
      <c r="I443" s="42" t="str">
        <f>VLOOKUP('Data 1'!$B443,'Data 2'!$A$1:$F$46,MATCH('Data 1'!I$1,'Data 2'!$A$1:$F$1,0),0)</f>
        <v>Kg</v>
      </c>
      <c r="J443" s="42">
        <f>VLOOKUP('Data 1'!$B443,'Data 2'!$A$1:$F$46,MATCH('Data 1'!J$1,'Data 2'!$A$1:$F$1,0),0)</f>
        <v>105</v>
      </c>
      <c r="K443" s="42">
        <f>VLOOKUP('Data 1'!$B443,'Data 2'!$A$1:$F$46,MATCH('Data 1'!K$1,'Data 2'!$A$1:$F$1,0),0)</f>
        <v>142.80000000000001</v>
      </c>
      <c r="L443" s="40">
        <f>SUM('Data 1'!$J443*'Data 1'!$C443)</f>
        <v>105</v>
      </c>
      <c r="M443" s="40">
        <f>'Data 1'!$C443*'Data 1'!$K443</f>
        <v>142.80000000000001</v>
      </c>
      <c r="N443" s="40">
        <f>'Data 1'!$M443-'Data 1'!$L443</f>
        <v>37.800000000000011</v>
      </c>
      <c r="O443" s="37">
        <f>DAY('Data 1'!$A443)</f>
        <v>4</v>
      </c>
      <c r="P443" s="37" t="str">
        <f>TEXT('Data 1'!$A443,"mmm")</f>
        <v>Sep</v>
      </c>
      <c r="Q443" s="41">
        <f>YEAR('Data 1'!$A443)</f>
        <v>2022</v>
      </c>
    </row>
    <row r="444" spans="1:17" x14ac:dyDescent="0.3">
      <c r="A444" s="35">
        <v>44810</v>
      </c>
      <c r="B444" s="36" t="s">
        <v>43</v>
      </c>
      <c r="C444" s="37">
        <v>12</v>
      </c>
      <c r="D444" s="37" t="s">
        <v>16</v>
      </c>
      <c r="E444" s="37" t="s">
        <v>17</v>
      </c>
      <c r="F444" s="38">
        <v>0</v>
      </c>
      <c r="G444" s="39" t="str">
        <f>VLOOKUP('Data 1'!$B444,'Data 2'!$A$1:$F$46,MATCH('Data 1'!G$1,'Data 2'!$A$1:$F$1,0),0)</f>
        <v>Product05</v>
      </c>
      <c r="H444" s="39" t="str">
        <f>VLOOKUP('Data 1'!$B444,'Data 2'!$A$1:$F$46,MATCH('Data 1'!H$1,'Data 2'!$A$1:$F$1,0),0)</f>
        <v>Category01</v>
      </c>
      <c r="I444" s="39" t="str">
        <f>VLOOKUP('Data 1'!$B444,'Data 2'!$A$1:$F$46,MATCH('Data 1'!I$1,'Data 2'!$A$1:$F$1,0),0)</f>
        <v>Ft</v>
      </c>
      <c r="J444" s="39">
        <f>VLOOKUP('Data 1'!$B444,'Data 2'!$A$1:$F$46,MATCH('Data 1'!J$1,'Data 2'!$A$1:$F$1,0),0)</f>
        <v>133</v>
      </c>
      <c r="K444" s="39">
        <f>VLOOKUP('Data 1'!$B444,'Data 2'!$A$1:$F$46,MATCH('Data 1'!K$1,'Data 2'!$A$1:$F$1,0),0)</f>
        <v>155.61000000000001</v>
      </c>
      <c r="L444" s="40">
        <f>SUM('Data 1'!$J444*'Data 1'!$C444)</f>
        <v>1596</v>
      </c>
      <c r="M444" s="40">
        <f>'Data 1'!$C444*'Data 1'!$K444</f>
        <v>1867.3200000000002</v>
      </c>
      <c r="N444" s="40">
        <f>'Data 1'!$M444-'Data 1'!$L444</f>
        <v>271.32000000000016</v>
      </c>
      <c r="O444" s="37">
        <f>DAY('Data 1'!$A444)</f>
        <v>6</v>
      </c>
      <c r="P444" s="37" t="str">
        <f>TEXT('Data 1'!$A444,"mmm")</f>
        <v>Sep</v>
      </c>
      <c r="Q444" s="41">
        <f>YEAR('Data 1'!$A444)</f>
        <v>2022</v>
      </c>
    </row>
    <row r="445" spans="1:17" x14ac:dyDescent="0.3">
      <c r="A445" s="35">
        <v>44813</v>
      </c>
      <c r="B445" s="36" t="s">
        <v>60</v>
      </c>
      <c r="C445" s="37">
        <v>9</v>
      </c>
      <c r="D445" s="37" t="s">
        <v>21</v>
      </c>
      <c r="E445" s="37" t="s">
        <v>17</v>
      </c>
      <c r="F445" s="38">
        <v>0</v>
      </c>
      <c r="G445" s="42" t="str">
        <f>VLOOKUP('Data 1'!$B445,'Data 2'!$A$1:$F$46,MATCH('Data 1'!G$1,'Data 2'!$A$1:$F$1,0),0)</f>
        <v>Product41</v>
      </c>
      <c r="H445" s="42" t="str">
        <f>VLOOKUP('Data 1'!$B445,'Data 2'!$A$1:$F$46,MATCH('Data 1'!H$1,'Data 2'!$A$1:$F$1,0),0)</f>
        <v>Category05</v>
      </c>
      <c r="I445" s="42" t="str">
        <f>VLOOKUP('Data 1'!$B445,'Data 2'!$A$1:$F$46,MATCH('Data 1'!I$1,'Data 2'!$A$1:$F$1,0),0)</f>
        <v>Ft</v>
      </c>
      <c r="J445" s="42">
        <f>VLOOKUP('Data 1'!$B445,'Data 2'!$A$1:$F$46,MATCH('Data 1'!J$1,'Data 2'!$A$1:$F$1,0),0)</f>
        <v>138</v>
      </c>
      <c r="K445" s="42">
        <f>VLOOKUP('Data 1'!$B445,'Data 2'!$A$1:$F$46,MATCH('Data 1'!K$1,'Data 2'!$A$1:$F$1,0),0)</f>
        <v>173.88</v>
      </c>
      <c r="L445" s="40">
        <f>SUM('Data 1'!$J445*'Data 1'!$C445)</f>
        <v>1242</v>
      </c>
      <c r="M445" s="40">
        <f>'Data 1'!$C445*'Data 1'!$K445</f>
        <v>1564.92</v>
      </c>
      <c r="N445" s="40">
        <f>'Data 1'!$M445-'Data 1'!$L445</f>
        <v>322.92000000000007</v>
      </c>
      <c r="O445" s="37">
        <f>DAY('Data 1'!$A445)</f>
        <v>9</v>
      </c>
      <c r="P445" s="37" t="str">
        <f>TEXT('Data 1'!$A445,"mmm")</f>
        <v>Sep</v>
      </c>
      <c r="Q445" s="41">
        <f>YEAR('Data 1'!$A445)</f>
        <v>2022</v>
      </c>
    </row>
    <row r="446" spans="1:17" x14ac:dyDescent="0.3">
      <c r="A446" s="35">
        <v>44813</v>
      </c>
      <c r="B446" s="36" t="s">
        <v>25</v>
      </c>
      <c r="C446" s="37">
        <v>3</v>
      </c>
      <c r="D446" s="37" t="s">
        <v>21</v>
      </c>
      <c r="E446" s="37" t="s">
        <v>17</v>
      </c>
      <c r="F446" s="38">
        <v>0</v>
      </c>
      <c r="G446" s="39" t="str">
        <f>VLOOKUP('Data 1'!$B446,'Data 2'!$A$1:$F$46,MATCH('Data 1'!G$1,'Data 2'!$A$1:$F$1,0),0)</f>
        <v>Product03</v>
      </c>
      <c r="H446" s="39" t="str">
        <f>VLOOKUP('Data 1'!$B446,'Data 2'!$A$1:$F$46,MATCH('Data 1'!H$1,'Data 2'!$A$1:$F$1,0),0)</f>
        <v>Category01</v>
      </c>
      <c r="I446" s="39" t="str">
        <f>VLOOKUP('Data 1'!$B446,'Data 2'!$A$1:$F$46,MATCH('Data 1'!I$1,'Data 2'!$A$1:$F$1,0),0)</f>
        <v>Kg</v>
      </c>
      <c r="J446" s="39">
        <f>VLOOKUP('Data 1'!$B446,'Data 2'!$A$1:$F$46,MATCH('Data 1'!J$1,'Data 2'!$A$1:$F$1,0),0)</f>
        <v>71</v>
      </c>
      <c r="K446" s="39">
        <f>VLOOKUP('Data 1'!$B446,'Data 2'!$A$1:$F$46,MATCH('Data 1'!K$1,'Data 2'!$A$1:$F$1,0),0)</f>
        <v>80.94</v>
      </c>
      <c r="L446" s="40">
        <f>SUM('Data 1'!$J446*'Data 1'!$C446)</f>
        <v>213</v>
      </c>
      <c r="M446" s="40">
        <f>'Data 1'!$C446*'Data 1'!$K446</f>
        <v>242.82</v>
      </c>
      <c r="N446" s="40">
        <f>'Data 1'!$M446-'Data 1'!$L446</f>
        <v>29.819999999999993</v>
      </c>
      <c r="O446" s="37">
        <f>DAY('Data 1'!$A446)</f>
        <v>9</v>
      </c>
      <c r="P446" s="37" t="str">
        <f>TEXT('Data 1'!$A446,"mmm")</f>
        <v>Sep</v>
      </c>
      <c r="Q446" s="41">
        <f>YEAR('Data 1'!$A446)</f>
        <v>2022</v>
      </c>
    </row>
    <row r="447" spans="1:17" x14ac:dyDescent="0.3">
      <c r="A447" s="35">
        <v>44814</v>
      </c>
      <c r="B447" s="36" t="s">
        <v>23</v>
      </c>
      <c r="C447" s="37">
        <v>15</v>
      </c>
      <c r="D447" s="37" t="s">
        <v>17</v>
      </c>
      <c r="E447" s="37" t="s">
        <v>19</v>
      </c>
      <c r="F447" s="38">
        <v>0</v>
      </c>
      <c r="G447" s="42" t="str">
        <f>VLOOKUP('Data 1'!$B447,'Data 2'!$A$1:$F$46,MATCH('Data 1'!G$1,'Data 2'!$A$1:$F$1,0),0)</f>
        <v>Product35</v>
      </c>
      <c r="H447" s="42" t="str">
        <f>VLOOKUP('Data 1'!$B447,'Data 2'!$A$1:$F$46,MATCH('Data 1'!H$1,'Data 2'!$A$1:$F$1,0),0)</f>
        <v>Category04</v>
      </c>
      <c r="I447" s="42" t="str">
        <f>VLOOKUP('Data 1'!$B447,'Data 2'!$A$1:$F$46,MATCH('Data 1'!I$1,'Data 2'!$A$1:$F$1,0),0)</f>
        <v>No.</v>
      </c>
      <c r="J447" s="42">
        <f>VLOOKUP('Data 1'!$B447,'Data 2'!$A$1:$F$46,MATCH('Data 1'!J$1,'Data 2'!$A$1:$F$1,0),0)</f>
        <v>5</v>
      </c>
      <c r="K447" s="42">
        <f>VLOOKUP('Data 1'!$B447,'Data 2'!$A$1:$F$46,MATCH('Data 1'!K$1,'Data 2'!$A$1:$F$1,0),0)</f>
        <v>6.7</v>
      </c>
      <c r="L447" s="40">
        <f>SUM('Data 1'!$J447*'Data 1'!$C447)</f>
        <v>75</v>
      </c>
      <c r="M447" s="40">
        <f>'Data 1'!$C447*'Data 1'!$K447</f>
        <v>100.5</v>
      </c>
      <c r="N447" s="40">
        <f>'Data 1'!$M447-'Data 1'!$L447</f>
        <v>25.5</v>
      </c>
      <c r="O447" s="37">
        <f>DAY('Data 1'!$A447)</f>
        <v>10</v>
      </c>
      <c r="P447" s="37" t="str">
        <f>TEXT('Data 1'!$A447,"mmm")</f>
        <v>Sep</v>
      </c>
      <c r="Q447" s="41">
        <f>YEAR('Data 1'!$A447)</f>
        <v>2022</v>
      </c>
    </row>
    <row r="448" spans="1:17" x14ac:dyDescent="0.3">
      <c r="A448" s="35">
        <v>44814</v>
      </c>
      <c r="B448" s="36" t="s">
        <v>18</v>
      </c>
      <c r="C448" s="37">
        <v>4</v>
      </c>
      <c r="D448" s="37" t="s">
        <v>21</v>
      </c>
      <c r="E448" s="37" t="s">
        <v>19</v>
      </c>
      <c r="F448" s="38">
        <v>0</v>
      </c>
      <c r="G448" s="39" t="str">
        <f>VLOOKUP('Data 1'!$B448,'Data 2'!$A$1:$F$46,MATCH('Data 1'!G$1,'Data 2'!$A$1:$F$1,0),0)</f>
        <v>Product38</v>
      </c>
      <c r="H448" s="39" t="str">
        <f>VLOOKUP('Data 1'!$B448,'Data 2'!$A$1:$F$46,MATCH('Data 1'!H$1,'Data 2'!$A$1:$F$1,0),0)</f>
        <v>Category05</v>
      </c>
      <c r="I448" s="39" t="str">
        <f>VLOOKUP('Data 1'!$B448,'Data 2'!$A$1:$F$46,MATCH('Data 1'!I$1,'Data 2'!$A$1:$F$1,0),0)</f>
        <v>Kg</v>
      </c>
      <c r="J448" s="39">
        <f>VLOOKUP('Data 1'!$B448,'Data 2'!$A$1:$F$46,MATCH('Data 1'!J$1,'Data 2'!$A$1:$F$1,0),0)</f>
        <v>72</v>
      </c>
      <c r="K448" s="39">
        <f>VLOOKUP('Data 1'!$B448,'Data 2'!$A$1:$F$46,MATCH('Data 1'!K$1,'Data 2'!$A$1:$F$1,0),0)</f>
        <v>79.92</v>
      </c>
      <c r="L448" s="40">
        <f>SUM('Data 1'!$J448*'Data 1'!$C448)</f>
        <v>288</v>
      </c>
      <c r="M448" s="40">
        <f>'Data 1'!$C448*'Data 1'!$K448</f>
        <v>319.68</v>
      </c>
      <c r="N448" s="40">
        <f>'Data 1'!$M448-'Data 1'!$L448</f>
        <v>31.680000000000007</v>
      </c>
      <c r="O448" s="37">
        <f>DAY('Data 1'!$A448)</f>
        <v>10</v>
      </c>
      <c r="P448" s="37" t="str">
        <f>TEXT('Data 1'!$A448,"mmm")</f>
        <v>Sep</v>
      </c>
      <c r="Q448" s="41">
        <f>YEAR('Data 1'!$A448)</f>
        <v>2022</v>
      </c>
    </row>
    <row r="449" spans="1:17" x14ac:dyDescent="0.3">
      <c r="A449" s="35">
        <v>44818</v>
      </c>
      <c r="B449" s="36" t="s">
        <v>38</v>
      </c>
      <c r="C449" s="37">
        <v>3</v>
      </c>
      <c r="D449" s="37" t="s">
        <v>21</v>
      </c>
      <c r="E449" s="37" t="s">
        <v>19</v>
      </c>
      <c r="F449" s="38">
        <v>0</v>
      </c>
      <c r="G449" s="42" t="str">
        <f>VLOOKUP('Data 1'!$B449,'Data 2'!$A$1:$F$46,MATCH('Data 1'!G$1,'Data 2'!$A$1:$F$1,0),0)</f>
        <v>Product29</v>
      </c>
      <c r="H449" s="42" t="str">
        <f>VLOOKUP('Data 1'!$B449,'Data 2'!$A$1:$F$46,MATCH('Data 1'!H$1,'Data 2'!$A$1:$F$1,0),0)</f>
        <v>Category04</v>
      </c>
      <c r="I449" s="42" t="str">
        <f>VLOOKUP('Data 1'!$B449,'Data 2'!$A$1:$F$46,MATCH('Data 1'!I$1,'Data 2'!$A$1:$F$1,0),0)</f>
        <v>Lt</v>
      </c>
      <c r="J449" s="42">
        <f>VLOOKUP('Data 1'!$B449,'Data 2'!$A$1:$F$46,MATCH('Data 1'!J$1,'Data 2'!$A$1:$F$1,0),0)</f>
        <v>47</v>
      </c>
      <c r="K449" s="42">
        <f>VLOOKUP('Data 1'!$B449,'Data 2'!$A$1:$F$46,MATCH('Data 1'!K$1,'Data 2'!$A$1:$F$1,0),0)</f>
        <v>53.11</v>
      </c>
      <c r="L449" s="40">
        <f>SUM('Data 1'!$J449*'Data 1'!$C449)</f>
        <v>141</v>
      </c>
      <c r="M449" s="40">
        <f>'Data 1'!$C449*'Data 1'!$K449</f>
        <v>159.32999999999998</v>
      </c>
      <c r="N449" s="40">
        <f>'Data 1'!$M449-'Data 1'!$L449</f>
        <v>18.329999999999984</v>
      </c>
      <c r="O449" s="37">
        <f>DAY('Data 1'!$A449)</f>
        <v>14</v>
      </c>
      <c r="P449" s="37" t="str">
        <f>TEXT('Data 1'!$A449,"mmm")</f>
        <v>Sep</v>
      </c>
      <c r="Q449" s="41">
        <f>YEAR('Data 1'!$A449)</f>
        <v>2022</v>
      </c>
    </row>
    <row r="450" spans="1:17" x14ac:dyDescent="0.3">
      <c r="A450" s="35">
        <v>44819</v>
      </c>
      <c r="B450" s="36" t="s">
        <v>27</v>
      </c>
      <c r="C450" s="37">
        <v>15</v>
      </c>
      <c r="D450" s="37" t="s">
        <v>17</v>
      </c>
      <c r="E450" s="37" t="s">
        <v>17</v>
      </c>
      <c r="F450" s="38">
        <v>0</v>
      </c>
      <c r="G450" s="39" t="str">
        <f>VLOOKUP('Data 1'!$B450,'Data 2'!$A$1:$F$46,MATCH('Data 1'!G$1,'Data 2'!$A$1:$F$1,0),0)</f>
        <v>Product37</v>
      </c>
      <c r="H450" s="39" t="str">
        <f>VLOOKUP('Data 1'!$B450,'Data 2'!$A$1:$F$46,MATCH('Data 1'!H$1,'Data 2'!$A$1:$F$1,0),0)</f>
        <v>Category05</v>
      </c>
      <c r="I450" s="39" t="str">
        <f>VLOOKUP('Data 1'!$B450,'Data 2'!$A$1:$F$46,MATCH('Data 1'!I$1,'Data 2'!$A$1:$F$1,0),0)</f>
        <v>Kg</v>
      </c>
      <c r="J450" s="39">
        <f>VLOOKUP('Data 1'!$B450,'Data 2'!$A$1:$F$46,MATCH('Data 1'!J$1,'Data 2'!$A$1:$F$1,0),0)</f>
        <v>67</v>
      </c>
      <c r="K450" s="39">
        <f>VLOOKUP('Data 1'!$B450,'Data 2'!$A$1:$F$46,MATCH('Data 1'!K$1,'Data 2'!$A$1:$F$1,0),0)</f>
        <v>85.76</v>
      </c>
      <c r="L450" s="40">
        <f>SUM('Data 1'!$J450*'Data 1'!$C450)</f>
        <v>1005</v>
      </c>
      <c r="M450" s="40">
        <f>'Data 1'!$C450*'Data 1'!$K450</f>
        <v>1286.4000000000001</v>
      </c>
      <c r="N450" s="40">
        <f>'Data 1'!$M450-'Data 1'!$L450</f>
        <v>281.40000000000009</v>
      </c>
      <c r="O450" s="37">
        <f>DAY('Data 1'!$A450)</f>
        <v>15</v>
      </c>
      <c r="P450" s="37" t="str">
        <f>TEXT('Data 1'!$A450,"mmm")</f>
        <v>Sep</v>
      </c>
      <c r="Q450" s="41">
        <f>YEAR('Data 1'!$A450)</f>
        <v>2022</v>
      </c>
    </row>
    <row r="451" spans="1:17" x14ac:dyDescent="0.3">
      <c r="A451" s="35">
        <v>44822</v>
      </c>
      <c r="B451" s="36" t="s">
        <v>61</v>
      </c>
      <c r="C451" s="37">
        <v>14</v>
      </c>
      <c r="D451" s="37" t="s">
        <v>17</v>
      </c>
      <c r="E451" s="37" t="s">
        <v>19</v>
      </c>
      <c r="F451" s="38">
        <v>0</v>
      </c>
      <c r="G451" s="42" t="str">
        <f>VLOOKUP('Data 1'!$B451,'Data 2'!$A$1:$F$46,MATCH('Data 1'!G$1,'Data 2'!$A$1:$F$1,0),0)</f>
        <v>Product26</v>
      </c>
      <c r="H451" s="42" t="str">
        <f>VLOOKUP('Data 1'!$B451,'Data 2'!$A$1:$F$46,MATCH('Data 1'!H$1,'Data 2'!$A$1:$F$1,0),0)</f>
        <v>Category04</v>
      </c>
      <c r="I451" s="42" t="str">
        <f>VLOOKUP('Data 1'!$B451,'Data 2'!$A$1:$F$46,MATCH('Data 1'!I$1,'Data 2'!$A$1:$F$1,0),0)</f>
        <v>No.</v>
      </c>
      <c r="J451" s="42">
        <f>VLOOKUP('Data 1'!$B451,'Data 2'!$A$1:$F$46,MATCH('Data 1'!J$1,'Data 2'!$A$1:$F$1,0),0)</f>
        <v>18</v>
      </c>
      <c r="K451" s="42">
        <f>VLOOKUP('Data 1'!$B451,'Data 2'!$A$1:$F$46,MATCH('Data 1'!K$1,'Data 2'!$A$1:$F$1,0),0)</f>
        <v>24.66</v>
      </c>
      <c r="L451" s="40">
        <f>SUM('Data 1'!$J451*'Data 1'!$C451)</f>
        <v>252</v>
      </c>
      <c r="M451" s="40">
        <f>'Data 1'!$C451*'Data 1'!$K451</f>
        <v>345.24</v>
      </c>
      <c r="N451" s="40">
        <f>'Data 1'!$M451-'Data 1'!$L451</f>
        <v>93.240000000000009</v>
      </c>
      <c r="O451" s="37">
        <f>DAY('Data 1'!$A451)</f>
        <v>18</v>
      </c>
      <c r="P451" s="37" t="str">
        <f>TEXT('Data 1'!$A451,"mmm")</f>
        <v>Sep</v>
      </c>
      <c r="Q451" s="41">
        <f>YEAR('Data 1'!$A451)</f>
        <v>2022</v>
      </c>
    </row>
    <row r="452" spans="1:17" x14ac:dyDescent="0.3">
      <c r="A452" s="35">
        <v>44823</v>
      </c>
      <c r="B452" s="36" t="s">
        <v>57</v>
      </c>
      <c r="C452" s="37">
        <v>8</v>
      </c>
      <c r="D452" s="37" t="s">
        <v>16</v>
      </c>
      <c r="E452" s="37" t="s">
        <v>19</v>
      </c>
      <c r="F452" s="38">
        <v>0</v>
      </c>
      <c r="G452" s="39" t="str">
        <f>VLOOKUP('Data 1'!$B452,'Data 2'!$A$1:$F$46,MATCH('Data 1'!G$1,'Data 2'!$A$1:$F$1,0),0)</f>
        <v>Product33</v>
      </c>
      <c r="H452" s="39" t="str">
        <f>VLOOKUP('Data 1'!$B452,'Data 2'!$A$1:$F$46,MATCH('Data 1'!H$1,'Data 2'!$A$1:$F$1,0),0)</f>
        <v>Category04</v>
      </c>
      <c r="I452" s="39" t="str">
        <f>VLOOKUP('Data 1'!$B452,'Data 2'!$A$1:$F$46,MATCH('Data 1'!I$1,'Data 2'!$A$1:$F$1,0),0)</f>
        <v>Kg</v>
      </c>
      <c r="J452" s="39">
        <f>VLOOKUP('Data 1'!$B452,'Data 2'!$A$1:$F$46,MATCH('Data 1'!J$1,'Data 2'!$A$1:$F$1,0),0)</f>
        <v>95</v>
      </c>
      <c r="K452" s="39">
        <f>VLOOKUP('Data 1'!$B452,'Data 2'!$A$1:$F$46,MATCH('Data 1'!K$1,'Data 2'!$A$1:$F$1,0),0)</f>
        <v>119.7</v>
      </c>
      <c r="L452" s="40">
        <f>SUM('Data 1'!$J452*'Data 1'!$C452)</f>
        <v>760</v>
      </c>
      <c r="M452" s="40">
        <f>'Data 1'!$C452*'Data 1'!$K452</f>
        <v>957.6</v>
      </c>
      <c r="N452" s="40">
        <f>'Data 1'!$M452-'Data 1'!$L452</f>
        <v>197.60000000000002</v>
      </c>
      <c r="O452" s="37">
        <f>DAY('Data 1'!$A452)</f>
        <v>19</v>
      </c>
      <c r="P452" s="37" t="str">
        <f>TEXT('Data 1'!$A452,"mmm")</f>
        <v>Sep</v>
      </c>
      <c r="Q452" s="41">
        <f>YEAR('Data 1'!$A452)</f>
        <v>2022</v>
      </c>
    </row>
    <row r="453" spans="1:17" x14ac:dyDescent="0.3">
      <c r="A453" s="35">
        <v>44824</v>
      </c>
      <c r="B453" s="36" t="s">
        <v>57</v>
      </c>
      <c r="C453" s="37">
        <v>6</v>
      </c>
      <c r="D453" s="37" t="s">
        <v>21</v>
      </c>
      <c r="E453" s="37" t="s">
        <v>17</v>
      </c>
      <c r="F453" s="38">
        <v>0</v>
      </c>
      <c r="G453" s="42" t="str">
        <f>VLOOKUP('Data 1'!$B453,'Data 2'!$A$1:$F$46,MATCH('Data 1'!G$1,'Data 2'!$A$1:$F$1,0),0)</f>
        <v>Product33</v>
      </c>
      <c r="H453" s="42" t="str">
        <f>VLOOKUP('Data 1'!$B453,'Data 2'!$A$1:$F$46,MATCH('Data 1'!H$1,'Data 2'!$A$1:$F$1,0),0)</f>
        <v>Category04</v>
      </c>
      <c r="I453" s="42" t="str">
        <f>VLOOKUP('Data 1'!$B453,'Data 2'!$A$1:$F$46,MATCH('Data 1'!I$1,'Data 2'!$A$1:$F$1,0),0)</f>
        <v>Kg</v>
      </c>
      <c r="J453" s="42">
        <f>VLOOKUP('Data 1'!$B453,'Data 2'!$A$1:$F$46,MATCH('Data 1'!J$1,'Data 2'!$A$1:$F$1,0),0)</f>
        <v>95</v>
      </c>
      <c r="K453" s="42">
        <f>VLOOKUP('Data 1'!$B453,'Data 2'!$A$1:$F$46,MATCH('Data 1'!K$1,'Data 2'!$A$1:$F$1,0),0)</f>
        <v>119.7</v>
      </c>
      <c r="L453" s="40">
        <f>SUM('Data 1'!$J453*'Data 1'!$C453)</f>
        <v>570</v>
      </c>
      <c r="M453" s="40">
        <f>'Data 1'!$C453*'Data 1'!$K453</f>
        <v>718.2</v>
      </c>
      <c r="N453" s="40">
        <f>'Data 1'!$M453-'Data 1'!$L453</f>
        <v>148.20000000000005</v>
      </c>
      <c r="O453" s="37">
        <f>DAY('Data 1'!$A453)</f>
        <v>20</v>
      </c>
      <c r="P453" s="37" t="str">
        <f>TEXT('Data 1'!$A453,"mmm")</f>
        <v>Sep</v>
      </c>
      <c r="Q453" s="41">
        <f>YEAR('Data 1'!$A453)</f>
        <v>2022</v>
      </c>
    </row>
    <row r="454" spans="1:17" x14ac:dyDescent="0.3">
      <c r="A454" s="35">
        <v>44824</v>
      </c>
      <c r="B454" s="36" t="s">
        <v>35</v>
      </c>
      <c r="C454" s="37">
        <v>10</v>
      </c>
      <c r="D454" s="37" t="s">
        <v>21</v>
      </c>
      <c r="E454" s="37" t="s">
        <v>17</v>
      </c>
      <c r="F454" s="38">
        <v>0</v>
      </c>
      <c r="G454" s="39" t="str">
        <f>VLOOKUP('Data 1'!$B454,'Data 2'!$A$1:$F$46,MATCH('Data 1'!G$1,'Data 2'!$A$1:$F$1,0),0)</f>
        <v>Product01</v>
      </c>
      <c r="H454" s="39" t="str">
        <f>VLOOKUP('Data 1'!$B454,'Data 2'!$A$1:$F$46,MATCH('Data 1'!H$1,'Data 2'!$A$1:$F$1,0),0)</f>
        <v>Category01</v>
      </c>
      <c r="I454" s="39" t="str">
        <f>VLOOKUP('Data 1'!$B454,'Data 2'!$A$1:$F$46,MATCH('Data 1'!I$1,'Data 2'!$A$1:$F$1,0),0)</f>
        <v>Kg</v>
      </c>
      <c r="J454" s="39">
        <f>VLOOKUP('Data 1'!$B454,'Data 2'!$A$1:$F$46,MATCH('Data 1'!J$1,'Data 2'!$A$1:$F$1,0),0)</f>
        <v>98</v>
      </c>
      <c r="K454" s="39">
        <f>VLOOKUP('Data 1'!$B454,'Data 2'!$A$1:$F$46,MATCH('Data 1'!K$1,'Data 2'!$A$1:$F$1,0),0)</f>
        <v>103.88</v>
      </c>
      <c r="L454" s="40">
        <f>SUM('Data 1'!$J454*'Data 1'!$C454)</f>
        <v>980</v>
      </c>
      <c r="M454" s="40">
        <f>'Data 1'!$C454*'Data 1'!$K454</f>
        <v>1038.8</v>
      </c>
      <c r="N454" s="40">
        <f>'Data 1'!$M454-'Data 1'!$L454</f>
        <v>58.799999999999955</v>
      </c>
      <c r="O454" s="37">
        <f>DAY('Data 1'!$A454)</f>
        <v>20</v>
      </c>
      <c r="P454" s="37" t="str">
        <f>TEXT('Data 1'!$A454,"mmm")</f>
        <v>Sep</v>
      </c>
      <c r="Q454" s="41">
        <f>YEAR('Data 1'!$A454)</f>
        <v>2022</v>
      </c>
    </row>
    <row r="455" spans="1:17" x14ac:dyDescent="0.3">
      <c r="A455" s="35">
        <v>44825</v>
      </c>
      <c r="B455" s="36" t="s">
        <v>49</v>
      </c>
      <c r="C455" s="37">
        <v>14</v>
      </c>
      <c r="D455" s="37" t="s">
        <v>17</v>
      </c>
      <c r="E455" s="37" t="s">
        <v>17</v>
      </c>
      <c r="F455" s="38">
        <v>0</v>
      </c>
      <c r="G455" s="42" t="str">
        <f>VLOOKUP('Data 1'!$B455,'Data 2'!$A$1:$F$46,MATCH('Data 1'!G$1,'Data 2'!$A$1:$F$1,0),0)</f>
        <v>Product18</v>
      </c>
      <c r="H455" s="42" t="str">
        <f>VLOOKUP('Data 1'!$B455,'Data 2'!$A$1:$F$46,MATCH('Data 1'!H$1,'Data 2'!$A$1:$F$1,0),0)</f>
        <v>Category02</v>
      </c>
      <c r="I455" s="42" t="str">
        <f>VLOOKUP('Data 1'!$B455,'Data 2'!$A$1:$F$46,MATCH('Data 1'!I$1,'Data 2'!$A$1:$F$1,0),0)</f>
        <v>No.</v>
      </c>
      <c r="J455" s="42">
        <f>VLOOKUP('Data 1'!$B455,'Data 2'!$A$1:$F$46,MATCH('Data 1'!J$1,'Data 2'!$A$1:$F$1,0),0)</f>
        <v>37</v>
      </c>
      <c r="K455" s="42">
        <f>VLOOKUP('Data 1'!$B455,'Data 2'!$A$1:$F$46,MATCH('Data 1'!K$1,'Data 2'!$A$1:$F$1,0),0)</f>
        <v>49.21</v>
      </c>
      <c r="L455" s="40">
        <f>SUM('Data 1'!$J455*'Data 1'!$C455)</f>
        <v>518</v>
      </c>
      <c r="M455" s="40">
        <f>'Data 1'!$C455*'Data 1'!$K455</f>
        <v>688.94</v>
      </c>
      <c r="N455" s="40">
        <f>'Data 1'!$M455-'Data 1'!$L455</f>
        <v>170.94000000000005</v>
      </c>
      <c r="O455" s="37">
        <f>DAY('Data 1'!$A455)</f>
        <v>21</v>
      </c>
      <c r="P455" s="37" t="str">
        <f>TEXT('Data 1'!$A455,"mmm")</f>
        <v>Sep</v>
      </c>
      <c r="Q455" s="41">
        <f>YEAR('Data 1'!$A455)</f>
        <v>2022</v>
      </c>
    </row>
    <row r="456" spans="1:17" x14ac:dyDescent="0.3">
      <c r="A456" s="35">
        <v>44825</v>
      </c>
      <c r="B456" s="36" t="s">
        <v>61</v>
      </c>
      <c r="C456" s="37">
        <v>5</v>
      </c>
      <c r="D456" s="37" t="s">
        <v>21</v>
      </c>
      <c r="E456" s="37" t="s">
        <v>19</v>
      </c>
      <c r="F456" s="38">
        <v>0</v>
      </c>
      <c r="G456" s="39" t="str">
        <f>VLOOKUP('Data 1'!$B456,'Data 2'!$A$1:$F$46,MATCH('Data 1'!G$1,'Data 2'!$A$1:$F$1,0),0)</f>
        <v>Product26</v>
      </c>
      <c r="H456" s="39" t="str">
        <f>VLOOKUP('Data 1'!$B456,'Data 2'!$A$1:$F$46,MATCH('Data 1'!H$1,'Data 2'!$A$1:$F$1,0),0)</f>
        <v>Category04</v>
      </c>
      <c r="I456" s="39" t="str">
        <f>VLOOKUP('Data 1'!$B456,'Data 2'!$A$1:$F$46,MATCH('Data 1'!I$1,'Data 2'!$A$1:$F$1,0),0)</f>
        <v>No.</v>
      </c>
      <c r="J456" s="39">
        <f>VLOOKUP('Data 1'!$B456,'Data 2'!$A$1:$F$46,MATCH('Data 1'!J$1,'Data 2'!$A$1:$F$1,0),0)</f>
        <v>18</v>
      </c>
      <c r="K456" s="39">
        <f>VLOOKUP('Data 1'!$B456,'Data 2'!$A$1:$F$46,MATCH('Data 1'!K$1,'Data 2'!$A$1:$F$1,0),0)</f>
        <v>24.66</v>
      </c>
      <c r="L456" s="40">
        <f>SUM('Data 1'!$J456*'Data 1'!$C456)</f>
        <v>90</v>
      </c>
      <c r="M456" s="40">
        <f>'Data 1'!$C456*'Data 1'!$K456</f>
        <v>123.3</v>
      </c>
      <c r="N456" s="40">
        <f>'Data 1'!$M456-'Data 1'!$L456</f>
        <v>33.299999999999997</v>
      </c>
      <c r="O456" s="37">
        <f>DAY('Data 1'!$A456)</f>
        <v>21</v>
      </c>
      <c r="P456" s="37" t="str">
        <f>TEXT('Data 1'!$A456,"mmm")</f>
        <v>Sep</v>
      </c>
      <c r="Q456" s="41">
        <f>YEAR('Data 1'!$A456)</f>
        <v>2022</v>
      </c>
    </row>
    <row r="457" spans="1:17" x14ac:dyDescent="0.3">
      <c r="A457" s="35">
        <v>44826</v>
      </c>
      <c r="B457" s="36" t="s">
        <v>42</v>
      </c>
      <c r="C457" s="37">
        <v>12</v>
      </c>
      <c r="D457" s="37" t="s">
        <v>17</v>
      </c>
      <c r="E457" s="37" t="s">
        <v>17</v>
      </c>
      <c r="F457" s="38">
        <v>0</v>
      </c>
      <c r="G457" s="42" t="str">
        <f>VLOOKUP('Data 1'!$B457,'Data 2'!$A$1:$F$46,MATCH('Data 1'!G$1,'Data 2'!$A$1:$F$1,0),0)</f>
        <v>Product43</v>
      </c>
      <c r="H457" s="42" t="str">
        <f>VLOOKUP('Data 1'!$B457,'Data 2'!$A$1:$F$46,MATCH('Data 1'!H$1,'Data 2'!$A$1:$F$1,0),0)</f>
        <v>Category05</v>
      </c>
      <c r="I457" s="42" t="str">
        <f>VLOOKUP('Data 1'!$B457,'Data 2'!$A$1:$F$46,MATCH('Data 1'!I$1,'Data 2'!$A$1:$F$1,0),0)</f>
        <v>Kg</v>
      </c>
      <c r="J457" s="42">
        <f>VLOOKUP('Data 1'!$B457,'Data 2'!$A$1:$F$46,MATCH('Data 1'!J$1,'Data 2'!$A$1:$F$1,0),0)</f>
        <v>67</v>
      </c>
      <c r="K457" s="42">
        <f>VLOOKUP('Data 1'!$B457,'Data 2'!$A$1:$F$46,MATCH('Data 1'!K$1,'Data 2'!$A$1:$F$1,0),0)</f>
        <v>83.08</v>
      </c>
      <c r="L457" s="40">
        <f>SUM('Data 1'!$J457*'Data 1'!$C457)</f>
        <v>804</v>
      </c>
      <c r="M457" s="40">
        <f>'Data 1'!$C457*'Data 1'!$K457</f>
        <v>996.96</v>
      </c>
      <c r="N457" s="40">
        <f>'Data 1'!$M457-'Data 1'!$L457</f>
        <v>192.96000000000004</v>
      </c>
      <c r="O457" s="37">
        <f>DAY('Data 1'!$A457)</f>
        <v>22</v>
      </c>
      <c r="P457" s="37" t="str">
        <f>TEXT('Data 1'!$A457,"mmm")</f>
        <v>Sep</v>
      </c>
      <c r="Q457" s="41">
        <f>YEAR('Data 1'!$A457)</f>
        <v>2022</v>
      </c>
    </row>
    <row r="458" spans="1:17" x14ac:dyDescent="0.3">
      <c r="A458" s="35">
        <v>44827</v>
      </c>
      <c r="B458" s="36" t="s">
        <v>54</v>
      </c>
      <c r="C458" s="37">
        <v>12</v>
      </c>
      <c r="D458" s="37" t="s">
        <v>21</v>
      </c>
      <c r="E458" s="37" t="s">
        <v>17</v>
      </c>
      <c r="F458" s="38">
        <v>0</v>
      </c>
      <c r="G458" s="39" t="str">
        <f>VLOOKUP('Data 1'!$B458,'Data 2'!$A$1:$F$46,MATCH('Data 1'!G$1,'Data 2'!$A$1:$F$1,0),0)</f>
        <v>Product12</v>
      </c>
      <c r="H458" s="39" t="str">
        <f>VLOOKUP('Data 1'!$B458,'Data 2'!$A$1:$F$46,MATCH('Data 1'!H$1,'Data 2'!$A$1:$F$1,0),0)</f>
        <v>Category02</v>
      </c>
      <c r="I458" s="39" t="str">
        <f>VLOOKUP('Data 1'!$B458,'Data 2'!$A$1:$F$46,MATCH('Data 1'!I$1,'Data 2'!$A$1:$F$1,0),0)</f>
        <v>Kg</v>
      </c>
      <c r="J458" s="39">
        <f>VLOOKUP('Data 1'!$B458,'Data 2'!$A$1:$F$46,MATCH('Data 1'!J$1,'Data 2'!$A$1:$F$1,0),0)</f>
        <v>73</v>
      </c>
      <c r="K458" s="39">
        <f>VLOOKUP('Data 1'!$B458,'Data 2'!$A$1:$F$46,MATCH('Data 1'!K$1,'Data 2'!$A$1:$F$1,0),0)</f>
        <v>94.17</v>
      </c>
      <c r="L458" s="40">
        <f>SUM('Data 1'!$J458*'Data 1'!$C458)</f>
        <v>876</v>
      </c>
      <c r="M458" s="40">
        <f>'Data 1'!$C458*'Data 1'!$K458</f>
        <v>1130.04</v>
      </c>
      <c r="N458" s="40">
        <f>'Data 1'!$M458-'Data 1'!$L458</f>
        <v>254.03999999999996</v>
      </c>
      <c r="O458" s="37">
        <f>DAY('Data 1'!$A458)</f>
        <v>23</v>
      </c>
      <c r="P458" s="37" t="str">
        <f>TEXT('Data 1'!$A458,"mmm")</f>
        <v>Sep</v>
      </c>
      <c r="Q458" s="41">
        <f>YEAR('Data 1'!$A458)</f>
        <v>2022</v>
      </c>
    </row>
    <row r="459" spans="1:17" x14ac:dyDescent="0.3">
      <c r="A459" s="35">
        <v>44828</v>
      </c>
      <c r="B459" s="36" t="s">
        <v>37</v>
      </c>
      <c r="C459" s="37">
        <v>14</v>
      </c>
      <c r="D459" s="37" t="s">
        <v>21</v>
      </c>
      <c r="E459" s="37" t="s">
        <v>17</v>
      </c>
      <c r="F459" s="38">
        <v>0</v>
      </c>
      <c r="G459" s="42" t="str">
        <f>VLOOKUP('Data 1'!$B459,'Data 2'!$A$1:$F$46,MATCH('Data 1'!G$1,'Data 2'!$A$1:$F$1,0),0)</f>
        <v>Product32</v>
      </c>
      <c r="H459" s="42" t="str">
        <f>VLOOKUP('Data 1'!$B459,'Data 2'!$A$1:$F$46,MATCH('Data 1'!H$1,'Data 2'!$A$1:$F$1,0),0)</f>
        <v>Category04</v>
      </c>
      <c r="I459" s="42" t="str">
        <f>VLOOKUP('Data 1'!$B459,'Data 2'!$A$1:$F$46,MATCH('Data 1'!I$1,'Data 2'!$A$1:$F$1,0),0)</f>
        <v>Kg</v>
      </c>
      <c r="J459" s="42">
        <f>VLOOKUP('Data 1'!$B459,'Data 2'!$A$1:$F$46,MATCH('Data 1'!J$1,'Data 2'!$A$1:$F$1,0),0)</f>
        <v>89</v>
      </c>
      <c r="K459" s="42">
        <f>VLOOKUP('Data 1'!$B459,'Data 2'!$A$1:$F$46,MATCH('Data 1'!K$1,'Data 2'!$A$1:$F$1,0),0)</f>
        <v>117.48</v>
      </c>
      <c r="L459" s="40">
        <f>SUM('Data 1'!$J459*'Data 1'!$C459)</f>
        <v>1246</v>
      </c>
      <c r="M459" s="40">
        <f>'Data 1'!$C459*'Data 1'!$K459</f>
        <v>1644.72</v>
      </c>
      <c r="N459" s="40">
        <f>'Data 1'!$M459-'Data 1'!$L459</f>
        <v>398.72</v>
      </c>
      <c r="O459" s="37">
        <f>DAY('Data 1'!$A459)</f>
        <v>24</v>
      </c>
      <c r="P459" s="37" t="str">
        <f>TEXT('Data 1'!$A459,"mmm")</f>
        <v>Sep</v>
      </c>
      <c r="Q459" s="41">
        <f>YEAR('Data 1'!$A459)</f>
        <v>2022</v>
      </c>
    </row>
    <row r="460" spans="1:17" x14ac:dyDescent="0.3">
      <c r="A460" s="35">
        <v>44828</v>
      </c>
      <c r="B460" s="36" t="s">
        <v>37</v>
      </c>
      <c r="C460" s="37">
        <v>8</v>
      </c>
      <c r="D460" s="37" t="s">
        <v>21</v>
      </c>
      <c r="E460" s="37" t="s">
        <v>19</v>
      </c>
      <c r="F460" s="38">
        <v>0</v>
      </c>
      <c r="G460" s="39" t="str">
        <f>VLOOKUP('Data 1'!$B460,'Data 2'!$A$1:$F$46,MATCH('Data 1'!G$1,'Data 2'!$A$1:$F$1,0),0)</f>
        <v>Product32</v>
      </c>
      <c r="H460" s="39" t="str">
        <f>VLOOKUP('Data 1'!$B460,'Data 2'!$A$1:$F$46,MATCH('Data 1'!H$1,'Data 2'!$A$1:$F$1,0),0)</f>
        <v>Category04</v>
      </c>
      <c r="I460" s="39" t="str">
        <f>VLOOKUP('Data 1'!$B460,'Data 2'!$A$1:$F$46,MATCH('Data 1'!I$1,'Data 2'!$A$1:$F$1,0),0)</f>
        <v>Kg</v>
      </c>
      <c r="J460" s="39">
        <f>VLOOKUP('Data 1'!$B460,'Data 2'!$A$1:$F$46,MATCH('Data 1'!J$1,'Data 2'!$A$1:$F$1,0),0)</f>
        <v>89</v>
      </c>
      <c r="K460" s="39">
        <f>VLOOKUP('Data 1'!$B460,'Data 2'!$A$1:$F$46,MATCH('Data 1'!K$1,'Data 2'!$A$1:$F$1,0),0)</f>
        <v>117.48</v>
      </c>
      <c r="L460" s="40">
        <f>SUM('Data 1'!$J460*'Data 1'!$C460)</f>
        <v>712</v>
      </c>
      <c r="M460" s="40">
        <f>'Data 1'!$C460*'Data 1'!$K460</f>
        <v>939.84</v>
      </c>
      <c r="N460" s="40">
        <f>'Data 1'!$M460-'Data 1'!$L460</f>
        <v>227.84000000000003</v>
      </c>
      <c r="O460" s="37">
        <f>DAY('Data 1'!$A460)</f>
        <v>24</v>
      </c>
      <c r="P460" s="37" t="str">
        <f>TEXT('Data 1'!$A460,"mmm")</f>
        <v>Sep</v>
      </c>
      <c r="Q460" s="41">
        <f>YEAR('Data 1'!$A460)</f>
        <v>2022</v>
      </c>
    </row>
    <row r="461" spans="1:17" x14ac:dyDescent="0.3">
      <c r="A461" s="35">
        <v>44831</v>
      </c>
      <c r="B461" s="36" t="s">
        <v>62</v>
      </c>
      <c r="C461" s="37">
        <v>4</v>
      </c>
      <c r="D461" s="37" t="s">
        <v>21</v>
      </c>
      <c r="E461" s="37" t="s">
        <v>19</v>
      </c>
      <c r="F461" s="38">
        <v>0</v>
      </c>
      <c r="G461" s="42" t="str">
        <f>VLOOKUP('Data 1'!$B461,'Data 2'!$A$1:$F$46,MATCH('Data 1'!G$1,'Data 2'!$A$1:$F$1,0),0)</f>
        <v>Product36</v>
      </c>
      <c r="H461" s="42" t="str">
        <f>VLOOKUP('Data 1'!$B461,'Data 2'!$A$1:$F$46,MATCH('Data 1'!H$1,'Data 2'!$A$1:$F$1,0),0)</f>
        <v>Category04</v>
      </c>
      <c r="I461" s="42" t="str">
        <f>VLOOKUP('Data 1'!$B461,'Data 2'!$A$1:$F$46,MATCH('Data 1'!I$1,'Data 2'!$A$1:$F$1,0),0)</f>
        <v>Kg</v>
      </c>
      <c r="J461" s="42">
        <f>VLOOKUP('Data 1'!$B461,'Data 2'!$A$1:$F$46,MATCH('Data 1'!J$1,'Data 2'!$A$1:$F$1,0),0)</f>
        <v>90</v>
      </c>
      <c r="K461" s="42">
        <f>VLOOKUP('Data 1'!$B461,'Data 2'!$A$1:$F$46,MATCH('Data 1'!K$1,'Data 2'!$A$1:$F$1,0),0)</f>
        <v>96.3</v>
      </c>
      <c r="L461" s="40">
        <f>SUM('Data 1'!$J461*'Data 1'!$C461)</f>
        <v>360</v>
      </c>
      <c r="M461" s="40">
        <f>'Data 1'!$C461*'Data 1'!$K461</f>
        <v>385.2</v>
      </c>
      <c r="N461" s="40">
        <f>'Data 1'!$M461-'Data 1'!$L461</f>
        <v>25.199999999999989</v>
      </c>
      <c r="O461" s="37">
        <f>DAY('Data 1'!$A461)</f>
        <v>27</v>
      </c>
      <c r="P461" s="37" t="str">
        <f>TEXT('Data 1'!$A461,"mmm")</f>
        <v>Sep</v>
      </c>
      <c r="Q461" s="41">
        <f>YEAR('Data 1'!$A461)</f>
        <v>2022</v>
      </c>
    </row>
    <row r="462" spans="1:17" x14ac:dyDescent="0.3">
      <c r="A462" s="35">
        <v>44831</v>
      </c>
      <c r="B462" s="36" t="s">
        <v>30</v>
      </c>
      <c r="C462" s="37">
        <v>9</v>
      </c>
      <c r="D462" s="37" t="s">
        <v>21</v>
      </c>
      <c r="E462" s="37" t="s">
        <v>19</v>
      </c>
      <c r="F462" s="38">
        <v>0</v>
      </c>
      <c r="G462" s="39" t="str">
        <f>VLOOKUP('Data 1'!$B462,'Data 2'!$A$1:$F$46,MATCH('Data 1'!G$1,'Data 2'!$A$1:$F$1,0),0)</f>
        <v>Product44</v>
      </c>
      <c r="H462" s="39" t="str">
        <f>VLOOKUP('Data 1'!$B462,'Data 2'!$A$1:$F$46,MATCH('Data 1'!H$1,'Data 2'!$A$1:$F$1,0),0)</f>
        <v>Category05</v>
      </c>
      <c r="I462" s="39" t="str">
        <f>VLOOKUP('Data 1'!$B462,'Data 2'!$A$1:$F$46,MATCH('Data 1'!I$1,'Data 2'!$A$1:$F$1,0),0)</f>
        <v>Kg</v>
      </c>
      <c r="J462" s="39">
        <f>VLOOKUP('Data 1'!$B462,'Data 2'!$A$1:$F$46,MATCH('Data 1'!J$1,'Data 2'!$A$1:$F$1,0),0)</f>
        <v>76</v>
      </c>
      <c r="K462" s="39">
        <f>VLOOKUP('Data 1'!$B462,'Data 2'!$A$1:$F$46,MATCH('Data 1'!K$1,'Data 2'!$A$1:$F$1,0),0)</f>
        <v>82.08</v>
      </c>
      <c r="L462" s="40">
        <f>SUM('Data 1'!$J462*'Data 1'!$C462)</f>
        <v>684</v>
      </c>
      <c r="M462" s="40">
        <f>'Data 1'!$C462*'Data 1'!$K462</f>
        <v>738.72</v>
      </c>
      <c r="N462" s="40">
        <f>'Data 1'!$M462-'Data 1'!$L462</f>
        <v>54.720000000000027</v>
      </c>
      <c r="O462" s="37">
        <f>DAY('Data 1'!$A462)</f>
        <v>27</v>
      </c>
      <c r="P462" s="37" t="str">
        <f>TEXT('Data 1'!$A462,"mmm")</f>
        <v>Sep</v>
      </c>
      <c r="Q462" s="41">
        <f>YEAR('Data 1'!$A462)</f>
        <v>2022</v>
      </c>
    </row>
    <row r="463" spans="1:17" x14ac:dyDescent="0.3">
      <c r="A463" s="35">
        <v>44831</v>
      </c>
      <c r="B463" s="36" t="s">
        <v>18</v>
      </c>
      <c r="C463" s="37">
        <v>3</v>
      </c>
      <c r="D463" s="37" t="s">
        <v>16</v>
      </c>
      <c r="E463" s="37" t="s">
        <v>19</v>
      </c>
      <c r="F463" s="38">
        <v>0</v>
      </c>
      <c r="G463" s="42" t="str">
        <f>VLOOKUP('Data 1'!$B463,'Data 2'!$A$1:$F$46,MATCH('Data 1'!G$1,'Data 2'!$A$1:$F$1,0),0)</f>
        <v>Product38</v>
      </c>
      <c r="H463" s="42" t="str">
        <f>VLOOKUP('Data 1'!$B463,'Data 2'!$A$1:$F$46,MATCH('Data 1'!H$1,'Data 2'!$A$1:$F$1,0),0)</f>
        <v>Category05</v>
      </c>
      <c r="I463" s="42" t="str">
        <f>VLOOKUP('Data 1'!$B463,'Data 2'!$A$1:$F$46,MATCH('Data 1'!I$1,'Data 2'!$A$1:$F$1,0),0)</f>
        <v>Kg</v>
      </c>
      <c r="J463" s="42">
        <f>VLOOKUP('Data 1'!$B463,'Data 2'!$A$1:$F$46,MATCH('Data 1'!J$1,'Data 2'!$A$1:$F$1,0),0)</f>
        <v>72</v>
      </c>
      <c r="K463" s="42">
        <f>VLOOKUP('Data 1'!$B463,'Data 2'!$A$1:$F$46,MATCH('Data 1'!K$1,'Data 2'!$A$1:$F$1,0),0)</f>
        <v>79.92</v>
      </c>
      <c r="L463" s="40">
        <f>SUM('Data 1'!$J463*'Data 1'!$C463)</f>
        <v>216</v>
      </c>
      <c r="M463" s="40">
        <f>'Data 1'!$C463*'Data 1'!$K463</f>
        <v>239.76</v>
      </c>
      <c r="N463" s="40">
        <f>'Data 1'!$M463-'Data 1'!$L463</f>
        <v>23.759999999999991</v>
      </c>
      <c r="O463" s="37">
        <f>DAY('Data 1'!$A463)</f>
        <v>27</v>
      </c>
      <c r="P463" s="37" t="str">
        <f>TEXT('Data 1'!$A463,"mmm")</f>
        <v>Sep</v>
      </c>
      <c r="Q463" s="41">
        <f>YEAR('Data 1'!$A463)</f>
        <v>2022</v>
      </c>
    </row>
    <row r="464" spans="1:17" x14ac:dyDescent="0.3">
      <c r="A464" s="35">
        <v>44833</v>
      </c>
      <c r="B464" s="36" t="s">
        <v>32</v>
      </c>
      <c r="C464" s="37">
        <v>13</v>
      </c>
      <c r="D464" s="37" t="s">
        <v>21</v>
      </c>
      <c r="E464" s="37" t="s">
        <v>17</v>
      </c>
      <c r="F464" s="38">
        <v>0</v>
      </c>
      <c r="G464" s="39" t="str">
        <f>VLOOKUP('Data 1'!$B464,'Data 2'!$A$1:$F$46,MATCH('Data 1'!G$1,'Data 2'!$A$1:$F$1,0),0)</f>
        <v>Product34</v>
      </c>
      <c r="H464" s="39" t="str">
        <f>VLOOKUP('Data 1'!$B464,'Data 2'!$A$1:$F$46,MATCH('Data 1'!H$1,'Data 2'!$A$1:$F$1,0),0)</f>
        <v>Category04</v>
      </c>
      <c r="I464" s="39" t="str">
        <f>VLOOKUP('Data 1'!$B464,'Data 2'!$A$1:$F$46,MATCH('Data 1'!I$1,'Data 2'!$A$1:$F$1,0),0)</f>
        <v>Lt</v>
      </c>
      <c r="J464" s="39">
        <f>VLOOKUP('Data 1'!$B464,'Data 2'!$A$1:$F$46,MATCH('Data 1'!J$1,'Data 2'!$A$1:$F$1,0),0)</f>
        <v>55</v>
      </c>
      <c r="K464" s="39">
        <f>VLOOKUP('Data 1'!$B464,'Data 2'!$A$1:$F$46,MATCH('Data 1'!K$1,'Data 2'!$A$1:$F$1,0),0)</f>
        <v>58.3</v>
      </c>
      <c r="L464" s="40">
        <f>SUM('Data 1'!$J464*'Data 1'!$C464)</f>
        <v>715</v>
      </c>
      <c r="M464" s="40">
        <f>'Data 1'!$C464*'Data 1'!$K464</f>
        <v>757.9</v>
      </c>
      <c r="N464" s="40">
        <f>'Data 1'!$M464-'Data 1'!$L464</f>
        <v>42.899999999999977</v>
      </c>
      <c r="O464" s="37">
        <f>DAY('Data 1'!$A464)</f>
        <v>29</v>
      </c>
      <c r="P464" s="37" t="str">
        <f>TEXT('Data 1'!$A464,"mmm")</f>
        <v>Sep</v>
      </c>
      <c r="Q464" s="41">
        <f>YEAR('Data 1'!$A464)</f>
        <v>2022</v>
      </c>
    </row>
    <row r="465" spans="1:17" x14ac:dyDescent="0.3">
      <c r="A465" s="35">
        <v>44837</v>
      </c>
      <c r="B465" s="36" t="s">
        <v>50</v>
      </c>
      <c r="C465" s="37">
        <v>5</v>
      </c>
      <c r="D465" s="37" t="s">
        <v>21</v>
      </c>
      <c r="E465" s="37" t="s">
        <v>19</v>
      </c>
      <c r="F465" s="38">
        <v>0</v>
      </c>
      <c r="G465" s="42" t="str">
        <f>VLOOKUP('Data 1'!$B465,'Data 2'!$A$1:$F$46,MATCH('Data 1'!G$1,'Data 2'!$A$1:$F$1,0),0)</f>
        <v>Product11</v>
      </c>
      <c r="H465" s="42" t="str">
        <f>VLOOKUP('Data 1'!$B465,'Data 2'!$A$1:$F$46,MATCH('Data 1'!H$1,'Data 2'!$A$1:$F$1,0),0)</f>
        <v>Category02</v>
      </c>
      <c r="I465" s="42" t="str">
        <f>VLOOKUP('Data 1'!$B465,'Data 2'!$A$1:$F$46,MATCH('Data 1'!I$1,'Data 2'!$A$1:$F$1,0),0)</f>
        <v>Lt</v>
      </c>
      <c r="J465" s="42">
        <f>VLOOKUP('Data 1'!$B465,'Data 2'!$A$1:$F$46,MATCH('Data 1'!J$1,'Data 2'!$A$1:$F$1,0),0)</f>
        <v>44</v>
      </c>
      <c r="K465" s="42">
        <f>VLOOKUP('Data 1'!$B465,'Data 2'!$A$1:$F$46,MATCH('Data 1'!K$1,'Data 2'!$A$1:$F$1,0),0)</f>
        <v>48.4</v>
      </c>
      <c r="L465" s="40">
        <f>SUM('Data 1'!$J465*'Data 1'!$C465)</f>
        <v>220</v>
      </c>
      <c r="M465" s="40">
        <f>'Data 1'!$C465*'Data 1'!$K465</f>
        <v>242</v>
      </c>
      <c r="N465" s="40">
        <f>'Data 1'!$M465-'Data 1'!$L465</f>
        <v>22</v>
      </c>
      <c r="O465" s="37">
        <f>DAY('Data 1'!$A465)</f>
        <v>3</v>
      </c>
      <c r="P465" s="37" t="str">
        <f>TEXT('Data 1'!$A465,"mmm")</f>
        <v>Oct</v>
      </c>
      <c r="Q465" s="41">
        <f>YEAR('Data 1'!$A465)</f>
        <v>2022</v>
      </c>
    </row>
    <row r="466" spans="1:17" x14ac:dyDescent="0.3">
      <c r="A466" s="35">
        <v>44838</v>
      </c>
      <c r="B466" s="36" t="s">
        <v>55</v>
      </c>
      <c r="C466" s="37">
        <v>15</v>
      </c>
      <c r="D466" s="37" t="s">
        <v>21</v>
      </c>
      <c r="E466" s="37" t="s">
        <v>17</v>
      </c>
      <c r="F466" s="38">
        <v>0</v>
      </c>
      <c r="G466" s="39" t="str">
        <f>VLOOKUP('Data 1'!$B466,'Data 2'!$A$1:$F$46,MATCH('Data 1'!G$1,'Data 2'!$A$1:$F$1,0),0)</f>
        <v>Product07</v>
      </c>
      <c r="H466" s="39" t="str">
        <f>VLOOKUP('Data 1'!$B466,'Data 2'!$A$1:$F$46,MATCH('Data 1'!H$1,'Data 2'!$A$1:$F$1,0),0)</f>
        <v>Category01</v>
      </c>
      <c r="I466" s="39" t="str">
        <f>VLOOKUP('Data 1'!$B466,'Data 2'!$A$1:$F$46,MATCH('Data 1'!I$1,'Data 2'!$A$1:$F$1,0),0)</f>
        <v>Lt</v>
      </c>
      <c r="J466" s="39">
        <f>VLOOKUP('Data 1'!$B466,'Data 2'!$A$1:$F$46,MATCH('Data 1'!J$1,'Data 2'!$A$1:$F$1,0),0)</f>
        <v>43</v>
      </c>
      <c r="K466" s="39">
        <f>VLOOKUP('Data 1'!$B466,'Data 2'!$A$1:$F$46,MATCH('Data 1'!K$1,'Data 2'!$A$1:$F$1,0),0)</f>
        <v>47.730000000000004</v>
      </c>
      <c r="L466" s="40">
        <f>SUM('Data 1'!$J466*'Data 1'!$C466)</f>
        <v>645</v>
      </c>
      <c r="M466" s="40">
        <f>'Data 1'!$C466*'Data 1'!$K466</f>
        <v>715.95</v>
      </c>
      <c r="N466" s="40">
        <f>'Data 1'!$M466-'Data 1'!$L466</f>
        <v>70.950000000000045</v>
      </c>
      <c r="O466" s="37">
        <f>DAY('Data 1'!$A466)</f>
        <v>4</v>
      </c>
      <c r="P466" s="37" t="str">
        <f>TEXT('Data 1'!$A466,"mmm")</f>
        <v>Oct</v>
      </c>
      <c r="Q466" s="41">
        <f>YEAR('Data 1'!$A466)</f>
        <v>2022</v>
      </c>
    </row>
    <row r="467" spans="1:17" x14ac:dyDescent="0.3">
      <c r="A467" s="35">
        <v>44840</v>
      </c>
      <c r="B467" s="36" t="s">
        <v>23</v>
      </c>
      <c r="C467" s="37">
        <v>1</v>
      </c>
      <c r="D467" s="37" t="s">
        <v>21</v>
      </c>
      <c r="E467" s="37" t="s">
        <v>17</v>
      </c>
      <c r="F467" s="38">
        <v>0</v>
      </c>
      <c r="G467" s="42" t="str">
        <f>VLOOKUP('Data 1'!$B467,'Data 2'!$A$1:$F$46,MATCH('Data 1'!G$1,'Data 2'!$A$1:$F$1,0),0)</f>
        <v>Product35</v>
      </c>
      <c r="H467" s="42" t="str">
        <f>VLOOKUP('Data 1'!$B467,'Data 2'!$A$1:$F$46,MATCH('Data 1'!H$1,'Data 2'!$A$1:$F$1,0),0)</f>
        <v>Category04</v>
      </c>
      <c r="I467" s="42" t="str">
        <f>VLOOKUP('Data 1'!$B467,'Data 2'!$A$1:$F$46,MATCH('Data 1'!I$1,'Data 2'!$A$1:$F$1,0),0)</f>
        <v>No.</v>
      </c>
      <c r="J467" s="42">
        <f>VLOOKUP('Data 1'!$B467,'Data 2'!$A$1:$F$46,MATCH('Data 1'!J$1,'Data 2'!$A$1:$F$1,0),0)</f>
        <v>5</v>
      </c>
      <c r="K467" s="42">
        <f>VLOOKUP('Data 1'!$B467,'Data 2'!$A$1:$F$46,MATCH('Data 1'!K$1,'Data 2'!$A$1:$F$1,0),0)</f>
        <v>6.7</v>
      </c>
      <c r="L467" s="40">
        <f>SUM('Data 1'!$J467*'Data 1'!$C467)</f>
        <v>5</v>
      </c>
      <c r="M467" s="40">
        <f>'Data 1'!$C467*'Data 1'!$K467</f>
        <v>6.7</v>
      </c>
      <c r="N467" s="40">
        <f>'Data 1'!$M467-'Data 1'!$L467</f>
        <v>1.7000000000000002</v>
      </c>
      <c r="O467" s="37">
        <f>DAY('Data 1'!$A467)</f>
        <v>6</v>
      </c>
      <c r="P467" s="37" t="str">
        <f>TEXT('Data 1'!$A467,"mmm")</f>
        <v>Oct</v>
      </c>
      <c r="Q467" s="41">
        <f>YEAR('Data 1'!$A467)</f>
        <v>2022</v>
      </c>
    </row>
    <row r="468" spans="1:17" x14ac:dyDescent="0.3">
      <c r="A468" s="35">
        <v>44843</v>
      </c>
      <c r="B468" s="36" t="s">
        <v>18</v>
      </c>
      <c r="C468" s="37">
        <v>14</v>
      </c>
      <c r="D468" s="37" t="s">
        <v>17</v>
      </c>
      <c r="E468" s="37" t="s">
        <v>17</v>
      </c>
      <c r="F468" s="38">
        <v>0</v>
      </c>
      <c r="G468" s="39" t="str">
        <f>VLOOKUP('Data 1'!$B468,'Data 2'!$A$1:$F$46,MATCH('Data 1'!G$1,'Data 2'!$A$1:$F$1,0),0)</f>
        <v>Product38</v>
      </c>
      <c r="H468" s="39" t="str">
        <f>VLOOKUP('Data 1'!$B468,'Data 2'!$A$1:$F$46,MATCH('Data 1'!H$1,'Data 2'!$A$1:$F$1,0),0)</f>
        <v>Category05</v>
      </c>
      <c r="I468" s="39" t="str">
        <f>VLOOKUP('Data 1'!$B468,'Data 2'!$A$1:$F$46,MATCH('Data 1'!I$1,'Data 2'!$A$1:$F$1,0),0)</f>
        <v>Kg</v>
      </c>
      <c r="J468" s="39">
        <f>VLOOKUP('Data 1'!$B468,'Data 2'!$A$1:$F$46,MATCH('Data 1'!J$1,'Data 2'!$A$1:$F$1,0),0)</f>
        <v>72</v>
      </c>
      <c r="K468" s="39">
        <f>VLOOKUP('Data 1'!$B468,'Data 2'!$A$1:$F$46,MATCH('Data 1'!K$1,'Data 2'!$A$1:$F$1,0),0)</f>
        <v>79.92</v>
      </c>
      <c r="L468" s="40">
        <f>SUM('Data 1'!$J468*'Data 1'!$C468)</f>
        <v>1008</v>
      </c>
      <c r="M468" s="40">
        <f>'Data 1'!$C468*'Data 1'!$K468</f>
        <v>1118.8800000000001</v>
      </c>
      <c r="N468" s="40">
        <f>'Data 1'!$M468-'Data 1'!$L468</f>
        <v>110.88000000000011</v>
      </c>
      <c r="O468" s="37">
        <f>DAY('Data 1'!$A468)</f>
        <v>9</v>
      </c>
      <c r="P468" s="37" t="str">
        <f>TEXT('Data 1'!$A468,"mmm")</f>
        <v>Oct</v>
      </c>
      <c r="Q468" s="41">
        <f>YEAR('Data 1'!$A468)</f>
        <v>2022</v>
      </c>
    </row>
    <row r="469" spans="1:17" x14ac:dyDescent="0.3">
      <c r="A469" s="35">
        <v>44844</v>
      </c>
      <c r="B469" s="36" t="s">
        <v>59</v>
      </c>
      <c r="C469" s="37">
        <v>9</v>
      </c>
      <c r="D469" s="37" t="s">
        <v>21</v>
      </c>
      <c r="E469" s="37" t="s">
        <v>17</v>
      </c>
      <c r="F469" s="38">
        <v>0</v>
      </c>
      <c r="G469" s="42" t="str">
        <f>VLOOKUP('Data 1'!$B469,'Data 2'!$A$1:$F$46,MATCH('Data 1'!G$1,'Data 2'!$A$1:$F$1,0),0)</f>
        <v>Product19</v>
      </c>
      <c r="H469" s="42" t="str">
        <f>VLOOKUP('Data 1'!$B469,'Data 2'!$A$1:$F$46,MATCH('Data 1'!H$1,'Data 2'!$A$1:$F$1,0),0)</f>
        <v>Category02</v>
      </c>
      <c r="I469" s="42" t="str">
        <f>VLOOKUP('Data 1'!$B469,'Data 2'!$A$1:$F$46,MATCH('Data 1'!I$1,'Data 2'!$A$1:$F$1,0),0)</f>
        <v>Ft</v>
      </c>
      <c r="J469" s="42">
        <f>VLOOKUP('Data 1'!$B469,'Data 2'!$A$1:$F$46,MATCH('Data 1'!J$1,'Data 2'!$A$1:$F$1,0),0)</f>
        <v>150</v>
      </c>
      <c r="K469" s="42">
        <f>VLOOKUP('Data 1'!$B469,'Data 2'!$A$1:$F$46,MATCH('Data 1'!K$1,'Data 2'!$A$1:$F$1,0),0)</f>
        <v>210</v>
      </c>
      <c r="L469" s="40">
        <f>SUM('Data 1'!$J469*'Data 1'!$C469)</f>
        <v>1350</v>
      </c>
      <c r="M469" s="40">
        <f>'Data 1'!$C469*'Data 1'!$K469</f>
        <v>1890</v>
      </c>
      <c r="N469" s="40">
        <f>'Data 1'!$M469-'Data 1'!$L469</f>
        <v>540</v>
      </c>
      <c r="O469" s="37">
        <f>DAY('Data 1'!$A469)</f>
        <v>10</v>
      </c>
      <c r="P469" s="37" t="str">
        <f>TEXT('Data 1'!$A469,"mmm")</f>
        <v>Oct</v>
      </c>
      <c r="Q469" s="41">
        <f>YEAR('Data 1'!$A469)</f>
        <v>2022</v>
      </c>
    </row>
    <row r="470" spans="1:17" x14ac:dyDescent="0.3">
      <c r="A470" s="35">
        <v>44844</v>
      </c>
      <c r="B470" s="36" t="s">
        <v>30</v>
      </c>
      <c r="C470" s="37">
        <v>12</v>
      </c>
      <c r="D470" s="37" t="s">
        <v>17</v>
      </c>
      <c r="E470" s="37" t="s">
        <v>17</v>
      </c>
      <c r="F470" s="38">
        <v>0</v>
      </c>
      <c r="G470" s="39" t="str">
        <f>VLOOKUP('Data 1'!$B470,'Data 2'!$A$1:$F$46,MATCH('Data 1'!G$1,'Data 2'!$A$1:$F$1,0),0)</f>
        <v>Product44</v>
      </c>
      <c r="H470" s="39" t="str">
        <f>VLOOKUP('Data 1'!$B470,'Data 2'!$A$1:$F$46,MATCH('Data 1'!H$1,'Data 2'!$A$1:$F$1,0),0)</f>
        <v>Category05</v>
      </c>
      <c r="I470" s="39" t="str">
        <f>VLOOKUP('Data 1'!$B470,'Data 2'!$A$1:$F$46,MATCH('Data 1'!I$1,'Data 2'!$A$1:$F$1,0),0)</f>
        <v>Kg</v>
      </c>
      <c r="J470" s="39">
        <f>VLOOKUP('Data 1'!$B470,'Data 2'!$A$1:$F$46,MATCH('Data 1'!J$1,'Data 2'!$A$1:$F$1,0),0)</f>
        <v>76</v>
      </c>
      <c r="K470" s="39">
        <f>VLOOKUP('Data 1'!$B470,'Data 2'!$A$1:$F$46,MATCH('Data 1'!K$1,'Data 2'!$A$1:$F$1,0),0)</f>
        <v>82.08</v>
      </c>
      <c r="L470" s="40">
        <f>SUM('Data 1'!$J470*'Data 1'!$C470)</f>
        <v>912</v>
      </c>
      <c r="M470" s="40">
        <f>'Data 1'!$C470*'Data 1'!$K470</f>
        <v>984.96</v>
      </c>
      <c r="N470" s="40">
        <f>'Data 1'!$M470-'Data 1'!$L470</f>
        <v>72.960000000000036</v>
      </c>
      <c r="O470" s="37">
        <f>DAY('Data 1'!$A470)</f>
        <v>10</v>
      </c>
      <c r="P470" s="37" t="str">
        <f>TEXT('Data 1'!$A470,"mmm")</f>
        <v>Oct</v>
      </c>
      <c r="Q470" s="41">
        <f>YEAR('Data 1'!$A470)</f>
        <v>2022</v>
      </c>
    </row>
    <row r="471" spans="1:17" x14ac:dyDescent="0.3">
      <c r="A471" s="35">
        <v>44845</v>
      </c>
      <c r="B471" s="36" t="s">
        <v>44</v>
      </c>
      <c r="C471" s="37">
        <v>10</v>
      </c>
      <c r="D471" s="37" t="s">
        <v>21</v>
      </c>
      <c r="E471" s="37" t="s">
        <v>17</v>
      </c>
      <c r="F471" s="38">
        <v>0</v>
      </c>
      <c r="G471" s="42" t="str">
        <f>VLOOKUP('Data 1'!$B471,'Data 2'!$A$1:$F$46,MATCH('Data 1'!G$1,'Data 2'!$A$1:$F$1,0),0)</f>
        <v>Product08</v>
      </c>
      <c r="H471" s="42" t="str">
        <f>VLOOKUP('Data 1'!$B471,'Data 2'!$A$1:$F$46,MATCH('Data 1'!H$1,'Data 2'!$A$1:$F$1,0),0)</f>
        <v>Category01</v>
      </c>
      <c r="I471" s="42" t="str">
        <f>VLOOKUP('Data 1'!$B471,'Data 2'!$A$1:$F$46,MATCH('Data 1'!I$1,'Data 2'!$A$1:$F$1,0),0)</f>
        <v>Kg</v>
      </c>
      <c r="J471" s="42">
        <f>VLOOKUP('Data 1'!$B471,'Data 2'!$A$1:$F$46,MATCH('Data 1'!J$1,'Data 2'!$A$1:$F$1,0),0)</f>
        <v>83</v>
      </c>
      <c r="K471" s="42">
        <f>VLOOKUP('Data 1'!$B471,'Data 2'!$A$1:$F$46,MATCH('Data 1'!K$1,'Data 2'!$A$1:$F$1,0),0)</f>
        <v>94.62</v>
      </c>
      <c r="L471" s="40">
        <f>SUM('Data 1'!$J471*'Data 1'!$C471)</f>
        <v>830</v>
      </c>
      <c r="M471" s="40">
        <f>'Data 1'!$C471*'Data 1'!$K471</f>
        <v>946.2</v>
      </c>
      <c r="N471" s="40">
        <f>'Data 1'!$M471-'Data 1'!$L471</f>
        <v>116.20000000000005</v>
      </c>
      <c r="O471" s="37">
        <f>DAY('Data 1'!$A471)</f>
        <v>11</v>
      </c>
      <c r="P471" s="37" t="str">
        <f>TEXT('Data 1'!$A471,"mmm")</f>
        <v>Oct</v>
      </c>
      <c r="Q471" s="41">
        <f>YEAR('Data 1'!$A471)</f>
        <v>2022</v>
      </c>
    </row>
    <row r="472" spans="1:17" x14ac:dyDescent="0.3">
      <c r="A472" s="35">
        <v>44847</v>
      </c>
      <c r="B472" s="36" t="s">
        <v>48</v>
      </c>
      <c r="C472" s="37">
        <v>15</v>
      </c>
      <c r="D472" s="37" t="s">
        <v>17</v>
      </c>
      <c r="E472" s="37" t="s">
        <v>17</v>
      </c>
      <c r="F472" s="38">
        <v>0</v>
      </c>
      <c r="G472" s="39" t="str">
        <f>VLOOKUP('Data 1'!$B472,'Data 2'!$A$1:$F$46,MATCH('Data 1'!G$1,'Data 2'!$A$1:$F$1,0),0)</f>
        <v>Product02</v>
      </c>
      <c r="H472" s="39" t="str">
        <f>VLOOKUP('Data 1'!$B472,'Data 2'!$A$1:$F$46,MATCH('Data 1'!H$1,'Data 2'!$A$1:$F$1,0),0)</f>
        <v>Category01</v>
      </c>
      <c r="I472" s="39" t="str">
        <f>VLOOKUP('Data 1'!$B472,'Data 2'!$A$1:$F$46,MATCH('Data 1'!I$1,'Data 2'!$A$1:$F$1,0),0)</f>
        <v>Kg</v>
      </c>
      <c r="J472" s="39">
        <f>VLOOKUP('Data 1'!$B472,'Data 2'!$A$1:$F$46,MATCH('Data 1'!J$1,'Data 2'!$A$1:$F$1,0),0)</f>
        <v>105</v>
      </c>
      <c r="K472" s="39">
        <f>VLOOKUP('Data 1'!$B472,'Data 2'!$A$1:$F$46,MATCH('Data 1'!K$1,'Data 2'!$A$1:$F$1,0),0)</f>
        <v>142.80000000000001</v>
      </c>
      <c r="L472" s="40">
        <f>SUM('Data 1'!$J472*'Data 1'!$C472)</f>
        <v>1575</v>
      </c>
      <c r="M472" s="40">
        <f>'Data 1'!$C472*'Data 1'!$K472</f>
        <v>2142</v>
      </c>
      <c r="N472" s="40">
        <f>'Data 1'!$M472-'Data 1'!$L472</f>
        <v>567</v>
      </c>
      <c r="O472" s="37">
        <f>DAY('Data 1'!$A472)</f>
        <v>13</v>
      </c>
      <c r="P472" s="37" t="str">
        <f>TEXT('Data 1'!$A472,"mmm")</f>
        <v>Oct</v>
      </c>
      <c r="Q472" s="41">
        <f>YEAR('Data 1'!$A472)</f>
        <v>2022</v>
      </c>
    </row>
    <row r="473" spans="1:17" x14ac:dyDescent="0.3">
      <c r="A473" s="35">
        <v>44848</v>
      </c>
      <c r="B473" s="36" t="s">
        <v>30</v>
      </c>
      <c r="C473" s="37">
        <v>15</v>
      </c>
      <c r="D473" s="37" t="s">
        <v>16</v>
      </c>
      <c r="E473" s="37" t="s">
        <v>17</v>
      </c>
      <c r="F473" s="38">
        <v>0</v>
      </c>
      <c r="G473" s="42" t="str">
        <f>VLOOKUP('Data 1'!$B473,'Data 2'!$A$1:$F$46,MATCH('Data 1'!G$1,'Data 2'!$A$1:$F$1,0),0)</f>
        <v>Product44</v>
      </c>
      <c r="H473" s="42" t="str">
        <f>VLOOKUP('Data 1'!$B473,'Data 2'!$A$1:$F$46,MATCH('Data 1'!H$1,'Data 2'!$A$1:$F$1,0),0)</f>
        <v>Category05</v>
      </c>
      <c r="I473" s="42" t="str">
        <f>VLOOKUP('Data 1'!$B473,'Data 2'!$A$1:$F$46,MATCH('Data 1'!I$1,'Data 2'!$A$1:$F$1,0),0)</f>
        <v>Kg</v>
      </c>
      <c r="J473" s="42">
        <f>VLOOKUP('Data 1'!$B473,'Data 2'!$A$1:$F$46,MATCH('Data 1'!J$1,'Data 2'!$A$1:$F$1,0),0)</f>
        <v>76</v>
      </c>
      <c r="K473" s="42">
        <f>VLOOKUP('Data 1'!$B473,'Data 2'!$A$1:$F$46,MATCH('Data 1'!K$1,'Data 2'!$A$1:$F$1,0),0)</f>
        <v>82.08</v>
      </c>
      <c r="L473" s="40">
        <f>SUM('Data 1'!$J473*'Data 1'!$C473)</f>
        <v>1140</v>
      </c>
      <c r="M473" s="40">
        <f>'Data 1'!$C473*'Data 1'!$K473</f>
        <v>1231.2</v>
      </c>
      <c r="N473" s="40">
        <f>'Data 1'!$M473-'Data 1'!$L473</f>
        <v>91.200000000000045</v>
      </c>
      <c r="O473" s="37">
        <f>DAY('Data 1'!$A473)</f>
        <v>14</v>
      </c>
      <c r="P473" s="37" t="str">
        <f>TEXT('Data 1'!$A473,"mmm")</f>
        <v>Oct</v>
      </c>
      <c r="Q473" s="41">
        <f>YEAR('Data 1'!$A473)</f>
        <v>2022</v>
      </c>
    </row>
    <row r="474" spans="1:17" x14ac:dyDescent="0.3">
      <c r="A474" s="35">
        <v>44849</v>
      </c>
      <c r="B474" s="36" t="s">
        <v>46</v>
      </c>
      <c r="C474" s="37">
        <v>10</v>
      </c>
      <c r="D474" s="37" t="s">
        <v>21</v>
      </c>
      <c r="E474" s="37" t="s">
        <v>19</v>
      </c>
      <c r="F474" s="38">
        <v>0</v>
      </c>
      <c r="G474" s="39" t="str">
        <f>VLOOKUP('Data 1'!$B474,'Data 2'!$A$1:$F$46,MATCH('Data 1'!G$1,'Data 2'!$A$1:$F$1,0),0)</f>
        <v>Product15</v>
      </c>
      <c r="H474" s="39" t="str">
        <f>VLOOKUP('Data 1'!$B474,'Data 2'!$A$1:$F$46,MATCH('Data 1'!H$1,'Data 2'!$A$1:$F$1,0),0)</f>
        <v>Category02</v>
      </c>
      <c r="I474" s="39" t="str">
        <f>VLOOKUP('Data 1'!$B474,'Data 2'!$A$1:$F$46,MATCH('Data 1'!I$1,'Data 2'!$A$1:$F$1,0),0)</f>
        <v>No.</v>
      </c>
      <c r="J474" s="39">
        <f>VLOOKUP('Data 1'!$B474,'Data 2'!$A$1:$F$46,MATCH('Data 1'!J$1,'Data 2'!$A$1:$F$1,0),0)</f>
        <v>12</v>
      </c>
      <c r="K474" s="39">
        <f>VLOOKUP('Data 1'!$B474,'Data 2'!$A$1:$F$46,MATCH('Data 1'!K$1,'Data 2'!$A$1:$F$1,0),0)</f>
        <v>15.719999999999999</v>
      </c>
      <c r="L474" s="40">
        <f>SUM('Data 1'!$J474*'Data 1'!$C474)</f>
        <v>120</v>
      </c>
      <c r="M474" s="40">
        <f>'Data 1'!$C474*'Data 1'!$K474</f>
        <v>157.19999999999999</v>
      </c>
      <c r="N474" s="40">
        <f>'Data 1'!$M474-'Data 1'!$L474</f>
        <v>37.199999999999989</v>
      </c>
      <c r="O474" s="37">
        <f>DAY('Data 1'!$A474)</f>
        <v>15</v>
      </c>
      <c r="P474" s="37" t="str">
        <f>TEXT('Data 1'!$A474,"mmm")</f>
        <v>Oct</v>
      </c>
      <c r="Q474" s="41">
        <f>YEAR('Data 1'!$A474)</f>
        <v>2022</v>
      </c>
    </row>
    <row r="475" spans="1:17" x14ac:dyDescent="0.3">
      <c r="A475" s="35">
        <v>44850</v>
      </c>
      <c r="B475" s="36" t="s">
        <v>62</v>
      </c>
      <c r="C475" s="37">
        <v>3</v>
      </c>
      <c r="D475" s="37" t="s">
        <v>17</v>
      </c>
      <c r="E475" s="37" t="s">
        <v>17</v>
      </c>
      <c r="F475" s="38">
        <v>0</v>
      </c>
      <c r="G475" s="42" t="str">
        <f>VLOOKUP('Data 1'!$B475,'Data 2'!$A$1:$F$46,MATCH('Data 1'!G$1,'Data 2'!$A$1:$F$1,0),0)</f>
        <v>Product36</v>
      </c>
      <c r="H475" s="42" t="str">
        <f>VLOOKUP('Data 1'!$B475,'Data 2'!$A$1:$F$46,MATCH('Data 1'!H$1,'Data 2'!$A$1:$F$1,0),0)</f>
        <v>Category04</v>
      </c>
      <c r="I475" s="42" t="str">
        <f>VLOOKUP('Data 1'!$B475,'Data 2'!$A$1:$F$46,MATCH('Data 1'!I$1,'Data 2'!$A$1:$F$1,0),0)</f>
        <v>Kg</v>
      </c>
      <c r="J475" s="42">
        <f>VLOOKUP('Data 1'!$B475,'Data 2'!$A$1:$F$46,MATCH('Data 1'!J$1,'Data 2'!$A$1:$F$1,0),0)</f>
        <v>90</v>
      </c>
      <c r="K475" s="42">
        <f>VLOOKUP('Data 1'!$B475,'Data 2'!$A$1:$F$46,MATCH('Data 1'!K$1,'Data 2'!$A$1:$F$1,0),0)</f>
        <v>96.3</v>
      </c>
      <c r="L475" s="40">
        <f>SUM('Data 1'!$J475*'Data 1'!$C475)</f>
        <v>270</v>
      </c>
      <c r="M475" s="40">
        <f>'Data 1'!$C475*'Data 1'!$K475</f>
        <v>288.89999999999998</v>
      </c>
      <c r="N475" s="40">
        <f>'Data 1'!$M475-'Data 1'!$L475</f>
        <v>18.899999999999977</v>
      </c>
      <c r="O475" s="37">
        <f>DAY('Data 1'!$A475)</f>
        <v>16</v>
      </c>
      <c r="P475" s="37" t="str">
        <f>TEXT('Data 1'!$A475,"mmm")</f>
        <v>Oct</v>
      </c>
      <c r="Q475" s="41">
        <f>YEAR('Data 1'!$A475)</f>
        <v>2022</v>
      </c>
    </row>
    <row r="476" spans="1:17" x14ac:dyDescent="0.3">
      <c r="A476" s="35">
        <v>44857</v>
      </c>
      <c r="B476" s="36" t="s">
        <v>15</v>
      </c>
      <c r="C476" s="37">
        <v>14</v>
      </c>
      <c r="D476" s="37" t="s">
        <v>17</v>
      </c>
      <c r="E476" s="37" t="s">
        <v>19</v>
      </c>
      <c r="F476" s="38">
        <v>0</v>
      </c>
      <c r="G476" s="39" t="str">
        <f>VLOOKUP('Data 1'!$B476,'Data 2'!$A$1:$F$46,MATCH('Data 1'!G$1,'Data 2'!$A$1:$F$1,0),0)</f>
        <v>Product24</v>
      </c>
      <c r="H476" s="39" t="str">
        <f>VLOOKUP('Data 1'!$B476,'Data 2'!$A$1:$F$46,MATCH('Data 1'!H$1,'Data 2'!$A$1:$F$1,0),0)</f>
        <v>Category03</v>
      </c>
      <c r="I476" s="39" t="str">
        <f>VLOOKUP('Data 1'!$B476,'Data 2'!$A$1:$F$46,MATCH('Data 1'!I$1,'Data 2'!$A$1:$F$1,0),0)</f>
        <v>Ft</v>
      </c>
      <c r="J476" s="39">
        <f>VLOOKUP('Data 1'!$B476,'Data 2'!$A$1:$F$46,MATCH('Data 1'!J$1,'Data 2'!$A$1:$F$1,0),0)</f>
        <v>144</v>
      </c>
      <c r="K476" s="39">
        <f>VLOOKUP('Data 1'!$B476,'Data 2'!$A$1:$F$46,MATCH('Data 1'!K$1,'Data 2'!$A$1:$F$1,0),0)</f>
        <v>156.96</v>
      </c>
      <c r="L476" s="40">
        <f>SUM('Data 1'!$J476*'Data 1'!$C476)</f>
        <v>2016</v>
      </c>
      <c r="M476" s="40">
        <f>'Data 1'!$C476*'Data 1'!$K476</f>
        <v>2197.44</v>
      </c>
      <c r="N476" s="40">
        <f>'Data 1'!$M476-'Data 1'!$L476</f>
        <v>181.44000000000005</v>
      </c>
      <c r="O476" s="37">
        <f>DAY('Data 1'!$A476)</f>
        <v>23</v>
      </c>
      <c r="P476" s="37" t="str">
        <f>TEXT('Data 1'!$A476,"mmm")</f>
        <v>Oct</v>
      </c>
      <c r="Q476" s="41">
        <f>YEAR('Data 1'!$A476)</f>
        <v>2022</v>
      </c>
    </row>
    <row r="477" spans="1:17" x14ac:dyDescent="0.3">
      <c r="A477" s="35">
        <v>44864</v>
      </c>
      <c r="B477" s="36" t="s">
        <v>29</v>
      </c>
      <c r="C477" s="37">
        <v>3</v>
      </c>
      <c r="D477" s="37" t="s">
        <v>21</v>
      </c>
      <c r="E477" s="37" t="s">
        <v>19</v>
      </c>
      <c r="F477" s="38">
        <v>0</v>
      </c>
      <c r="G477" s="42" t="str">
        <f>VLOOKUP('Data 1'!$B477,'Data 2'!$A$1:$F$46,MATCH('Data 1'!G$1,'Data 2'!$A$1:$F$1,0),0)</f>
        <v>Product42</v>
      </c>
      <c r="H477" s="42" t="str">
        <f>VLOOKUP('Data 1'!$B477,'Data 2'!$A$1:$F$46,MATCH('Data 1'!H$1,'Data 2'!$A$1:$F$1,0),0)</f>
        <v>Category05</v>
      </c>
      <c r="I477" s="42" t="str">
        <f>VLOOKUP('Data 1'!$B477,'Data 2'!$A$1:$F$46,MATCH('Data 1'!I$1,'Data 2'!$A$1:$F$1,0),0)</f>
        <v>Ft</v>
      </c>
      <c r="J477" s="42">
        <f>VLOOKUP('Data 1'!$B477,'Data 2'!$A$1:$F$46,MATCH('Data 1'!J$1,'Data 2'!$A$1:$F$1,0),0)</f>
        <v>120</v>
      </c>
      <c r="K477" s="42">
        <f>VLOOKUP('Data 1'!$B477,'Data 2'!$A$1:$F$46,MATCH('Data 1'!K$1,'Data 2'!$A$1:$F$1,0),0)</f>
        <v>162</v>
      </c>
      <c r="L477" s="40">
        <f>SUM('Data 1'!$J477*'Data 1'!$C477)</f>
        <v>360</v>
      </c>
      <c r="M477" s="40">
        <f>'Data 1'!$C477*'Data 1'!$K477</f>
        <v>486</v>
      </c>
      <c r="N477" s="40">
        <f>'Data 1'!$M477-'Data 1'!$L477</f>
        <v>126</v>
      </c>
      <c r="O477" s="37">
        <f>DAY('Data 1'!$A477)</f>
        <v>30</v>
      </c>
      <c r="P477" s="37" t="str">
        <f>TEXT('Data 1'!$A477,"mmm")</f>
        <v>Oct</v>
      </c>
      <c r="Q477" s="41">
        <f>YEAR('Data 1'!$A477)</f>
        <v>2022</v>
      </c>
    </row>
    <row r="478" spans="1:17" x14ac:dyDescent="0.3">
      <c r="A478" s="35">
        <v>44865</v>
      </c>
      <c r="B478" s="36" t="s">
        <v>18</v>
      </c>
      <c r="C478" s="37">
        <v>8</v>
      </c>
      <c r="D478" s="37" t="s">
        <v>21</v>
      </c>
      <c r="E478" s="37" t="s">
        <v>17</v>
      </c>
      <c r="F478" s="38">
        <v>0</v>
      </c>
      <c r="G478" s="39" t="str">
        <f>VLOOKUP('Data 1'!$B478,'Data 2'!$A$1:$F$46,MATCH('Data 1'!G$1,'Data 2'!$A$1:$F$1,0),0)</f>
        <v>Product38</v>
      </c>
      <c r="H478" s="39" t="str">
        <f>VLOOKUP('Data 1'!$B478,'Data 2'!$A$1:$F$46,MATCH('Data 1'!H$1,'Data 2'!$A$1:$F$1,0),0)</f>
        <v>Category05</v>
      </c>
      <c r="I478" s="39" t="str">
        <f>VLOOKUP('Data 1'!$B478,'Data 2'!$A$1:$F$46,MATCH('Data 1'!I$1,'Data 2'!$A$1:$F$1,0),0)</f>
        <v>Kg</v>
      </c>
      <c r="J478" s="39">
        <f>VLOOKUP('Data 1'!$B478,'Data 2'!$A$1:$F$46,MATCH('Data 1'!J$1,'Data 2'!$A$1:$F$1,0),0)</f>
        <v>72</v>
      </c>
      <c r="K478" s="39">
        <f>VLOOKUP('Data 1'!$B478,'Data 2'!$A$1:$F$46,MATCH('Data 1'!K$1,'Data 2'!$A$1:$F$1,0),0)</f>
        <v>79.92</v>
      </c>
      <c r="L478" s="40">
        <f>SUM('Data 1'!$J478*'Data 1'!$C478)</f>
        <v>576</v>
      </c>
      <c r="M478" s="40">
        <f>'Data 1'!$C478*'Data 1'!$K478</f>
        <v>639.36</v>
      </c>
      <c r="N478" s="40">
        <f>'Data 1'!$M478-'Data 1'!$L478</f>
        <v>63.360000000000014</v>
      </c>
      <c r="O478" s="37">
        <f>DAY('Data 1'!$A478)</f>
        <v>31</v>
      </c>
      <c r="P478" s="37" t="str">
        <f>TEXT('Data 1'!$A478,"mmm")</f>
        <v>Oct</v>
      </c>
      <c r="Q478" s="41">
        <f>YEAR('Data 1'!$A478)</f>
        <v>2022</v>
      </c>
    </row>
    <row r="479" spans="1:17" x14ac:dyDescent="0.3">
      <c r="A479" s="35">
        <v>44866</v>
      </c>
      <c r="B479" s="36" t="s">
        <v>54</v>
      </c>
      <c r="C479" s="37">
        <v>15</v>
      </c>
      <c r="D479" s="37" t="s">
        <v>16</v>
      </c>
      <c r="E479" s="37" t="s">
        <v>17</v>
      </c>
      <c r="F479" s="38">
        <v>0</v>
      </c>
      <c r="G479" s="42" t="str">
        <f>VLOOKUP('Data 1'!$B479,'Data 2'!$A$1:$F$46,MATCH('Data 1'!G$1,'Data 2'!$A$1:$F$1,0),0)</f>
        <v>Product12</v>
      </c>
      <c r="H479" s="42" t="str">
        <f>VLOOKUP('Data 1'!$B479,'Data 2'!$A$1:$F$46,MATCH('Data 1'!H$1,'Data 2'!$A$1:$F$1,0),0)</f>
        <v>Category02</v>
      </c>
      <c r="I479" s="42" t="str">
        <f>VLOOKUP('Data 1'!$B479,'Data 2'!$A$1:$F$46,MATCH('Data 1'!I$1,'Data 2'!$A$1:$F$1,0),0)</f>
        <v>Kg</v>
      </c>
      <c r="J479" s="42">
        <f>VLOOKUP('Data 1'!$B479,'Data 2'!$A$1:$F$46,MATCH('Data 1'!J$1,'Data 2'!$A$1:$F$1,0),0)</f>
        <v>73</v>
      </c>
      <c r="K479" s="42">
        <f>VLOOKUP('Data 1'!$B479,'Data 2'!$A$1:$F$46,MATCH('Data 1'!K$1,'Data 2'!$A$1:$F$1,0),0)</f>
        <v>94.17</v>
      </c>
      <c r="L479" s="40">
        <f>SUM('Data 1'!$J479*'Data 1'!$C479)</f>
        <v>1095</v>
      </c>
      <c r="M479" s="40">
        <f>'Data 1'!$C479*'Data 1'!$K479</f>
        <v>1412.55</v>
      </c>
      <c r="N479" s="40">
        <f>'Data 1'!$M479-'Data 1'!$L479</f>
        <v>317.54999999999995</v>
      </c>
      <c r="O479" s="37">
        <f>DAY('Data 1'!$A479)</f>
        <v>1</v>
      </c>
      <c r="P479" s="37" t="str">
        <f>TEXT('Data 1'!$A479,"mmm")</f>
        <v>Nov</v>
      </c>
      <c r="Q479" s="41">
        <f>YEAR('Data 1'!$A479)</f>
        <v>2022</v>
      </c>
    </row>
    <row r="480" spans="1:17" x14ac:dyDescent="0.3">
      <c r="A480" s="35">
        <v>44867</v>
      </c>
      <c r="B480" s="36" t="s">
        <v>46</v>
      </c>
      <c r="C480" s="37">
        <v>15</v>
      </c>
      <c r="D480" s="37" t="s">
        <v>16</v>
      </c>
      <c r="E480" s="37" t="s">
        <v>19</v>
      </c>
      <c r="F480" s="38">
        <v>0</v>
      </c>
      <c r="G480" s="39" t="str">
        <f>VLOOKUP('Data 1'!$B480,'Data 2'!$A$1:$F$46,MATCH('Data 1'!G$1,'Data 2'!$A$1:$F$1,0),0)</f>
        <v>Product15</v>
      </c>
      <c r="H480" s="39" t="str">
        <f>VLOOKUP('Data 1'!$B480,'Data 2'!$A$1:$F$46,MATCH('Data 1'!H$1,'Data 2'!$A$1:$F$1,0),0)</f>
        <v>Category02</v>
      </c>
      <c r="I480" s="39" t="str">
        <f>VLOOKUP('Data 1'!$B480,'Data 2'!$A$1:$F$46,MATCH('Data 1'!I$1,'Data 2'!$A$1:$F$1,0),0)</f>
        <v>No.</v>
      </c>
      <c r="J480" s="39">
        <f>VLOOKUP('Data 1'!$B480,'Data 2'!$A$1:$F$46,MATCH('Data 1'!J$1,'Data 2'!$A$1:$F$1,0),0)</f>
        <v>12</v>
      </c>
      <c r="K480" s="39">
        <f>VLOOKUP('Data 1'!$B480,'Data 2'!$A$1:$F$46,MATCH('Data 1'!K$1,'Data 2'!$A$1:$F$1,0),0)</f>
        <v>15.719999999999999</v>
      </c>
      <c r="L480" s="40">
        <f>SUM('Data 1'!$J480*'Data 1'!$C480)</f>
        <v>180</v>
      </c>
      <c r="M480" s="40">
        <f>'Data 1'!$C480*'Data 1'!$K480</f>
        <v>235.79999999999998</v>
      </c>
      <c r="N480" s="40">
        <f>'Data 1'!$M480-'Data 1'!$L480</f>
        <v>55.799999999999983</v>
      </c>
      <c r="O480" s="37">
        <f>DAY('Data 1'!$A480)</f>
        <v>2</v>
      </c>
      <c r="P480" s="37" t="str">
        <f>TEXT('Data 1'!$A480,"mmm")</f>
        <v>Nov</v>
      </c>
      <c r="Q480" s="41">
        <f>YEAR('Data 1'!$A480)</f>
        <v>2022</v>
      </c>
    </row>
    <row r="481" spans="1:17" x14ac:dyDescent="0.3">
      <c r="A481" s="35">
        <v>44867</v>
      </c>
      <c r="B481" s="36" t="s">
        <v>47</v>
      </c>
      <c r="C481" s="37">
        <v>15</v>
      </c>
      <c r="D481" s="37" t="s">
        <v>21</v>
      </c>
      <c r="E481" s="37" t="s">
        <v>19</v>
      </c>
      <c r="F481" s="38">
        <v>0</v>
      </c>
      <c r="G481" s="42" t="str">
        <f>VLOOKUP('Data 1'!$B481,'Data 2'!$A$1:$F$46,MATCH('Data 1'!G$1,'Data 2'!$A$1:$F$1,0),0)</f>
        <v>Product30</v>
      </c>
      <c r="H481" s="42" t="str">
        <f>VLOOKUP('Data 1'!$B481,'Data 2'!$A$1:$F$46,MATCH('Data 1'!H$1,'Data 2'!$A$1:$F$1,0),0)</f>
        <v>Category04</v>
      </c>
      <c r="I481" s="42" t="str">
        <f>VLOOKUP('Data 1'!$B481,'Data 2'!$A$1:$F$46,MATCH('Data 1'!I$1,'Data 2'!$A$1:$F$1,0),0)</f>
        <v>Ft</v>
      </c>
      <c r="J481" s="42">
        <f>VLOOKUP('Data 1'!$B481,'Data 2'!$A$1:$F$46,MATCH('Data 1'!J$1,'Data 2'!$A$1:$F$1,0),0)</f>
        <v>148</v>
      </c>
      <c r="K481" s="42">
        <f>VLOOKUP('Data 1'!$B481,'Data 2'!$A$1:$F$46,MATCH('Data 1'!K$1,'Data 2'!$A$1:$F$1,0),0)</f>
        <v>201.28</v>
      </c>
      <c r="L481" s="40">
        <f>SUM('Data 1'!$J481*'Data 1'!$C481)</f>
        <v>2220</v>
      </c>
      <c r="M481" s="40">
        <f>'Data 1'!$C481*'Data 1'!$K481</f>
        <v>3019.2</v>
      </c>
      <c r="N481" s="40">
        <f>'Data 1'!$M481-'Data 1'!$L481</f>
        <v>799.19999999999982</v>
      </c>
      <c r="O481" s="37">
        <f>DAY('Data 1'!$A481)</f>
        <v>2</v>
      </c>
      <c r="P481" s="37" t="str">
        <f>TEXT('Data 1'!$A481,"mmm")</f>
        <v>Nov</v>
      </c>
      <c r="Q481" s="41">
        <f>YEAR('Data 1'!$A481)</f>
        <v>2022</v>
      </c>
    </row>
    <row r="482" spans="1:17" x14ac:dyDescent="0.3">
      <c r="A482" s="35">
        <v>44867</v>
      </c>
      <c r="B482" s="36" t="s">
        <v>23</v>
      </c>
      <c r="C482" s="37">
        <v>5</v>
      </c>
      <c r="D482" s="37" t="s">
        <v>21</v>
      </c>
      <c r="E482" s="37" t="s">
        <v>19</v>
      </c>
      <c r="F482" s="38">
        <v>0</v>
      </c>
      <c r="G482" s="39" t="str">
        <f>VLOOKUP('Data 1'!$B482,'Data 2'!$A$1:$F$46,MATCH('Data 1'!G$1,'Data 2'!$A$1:$F$1,0),0)</f>
        <v>Product35</v>
      </c>
      <c r="H482" s="39" t="str">
        <f>VLOOKUP('Data 1'!$B482,'Data 2'!$A$1:$F$46,MATCH('Data 1'!H$1,'Data 2'!$A$1:$F$1,0),0)</f>
        <v>Category04</v>
      </c>
      <c r="I482" s="39" t="str">
        <f>VLOOKUP('Data 1'!$B482,'Data 2'!$A$1:$F$46,MATCH('Data 1'!I$1,'Data 2'!$A$1:$F$1,0),0)</f>
        <v>No.</v>
      </c>
      <c r="J482" s="39">
        <f>VLOOKUP('Data 1'!$B482,'Data 2'!$A$1:$F$46,MATCH('Data 1'!J$1,'Data 2'!$A$1:$F$1,0),0)</f>
        <v>5</v>
      </c>
      <c r="K482" s="39">
        <f>VLOOKUP('Data 1'!$B482,'Data 2'!$A$1:$F$46,MATCH('Data 1'!K$1,'Data 2'!$A$1:$F$1,0),0)</f>
        <v>6.7</v>
      </c>
      <c r="L482" s="40">
        <f>SUM('Data 1'!$J482*'Data 1'!$C482)</f>
        <v>25</v>
      </c>
      <c r="M482" s="40">
        <f>'Data 1'!$C482*'Data 1'!$K482</f>
        <v>33.5</v>
      </c>
      <c r="N482" s="40">
        <f>'Data 1'!$M482-'Data 1'!$L482</f>
        <v>8.5</v>
      </c>
      <c r="O482" s="37">
        <f>DAY('Data 1'!$A482)</f>
        <v>2</v>
      </c>
      <c r="P482" s="37" t="str">
        <f>TEXT('Data 1'!$A482,"mmm")</f>
        <v>Nov</v>
      </c>
      <c r="Q482" s="41">
        <f>YEAR('Data 1'!$A482)</f>
        <v>2022</v>
      </c>
    </row>
    <row r="483" spans="1:17" x14ac:dyDescent="0.3">
      <c r="A483" s="35">
        <v>44868</v>
      </c>
      <c r="B483" s="36" t="s">
        <v>33</v>
      </c>
      <c r="C483" s="37">
        <v>11</v>
      </c>
      <c r="D483" s="37" t="s">
        <v>17</v>
      </c>
      <c r="E483" s="37" t="s">
        <v>17</v>
      </c>
      <c r="F483" s="38">
        <v>0</v>
      </c>
      <c r="G483" s="42" t="str">
        <f>VLOOKUP('Data 1'!$B483,'Data 2'!$A$1:$F$46,MATCH('Data 1'!G$1,'Data 2'!$A$1:$F$1,0),0)</f>
        <v>Product20</v>
      </c>
      <c r="H483" s="42" t="str">
        <f>VLOOKUP('Data 1'!$B483,'Data 2'!$A$1:$F$46,MATCH('Data 1'!H$1,'Data 2'!$A$1:$F$1,0),0)</f>
        <v>Category03</v>
      </c>
      <c r="I483" s="42" t="str">
        <f>VLOOKUP('Data 1'!$B483,'Data 2'!$A$1:$F$46,MATCH('Data 1'!I$1,'Data 2'!$A$1:$F$1,0),0)</f>
        <v>Lt</v>
      </c>
      <c r="J483" s="42">
        <f>VLOOKUP('Data 1'!$B483,'Data 2'!$A$1:$F$46,MATCH('Data 1'!J$1,'Data 2'!$A$1:$F$1,0),0)</f>
        <v>61</v>
      </c>
      <c r="K483" s="42">
        <f>VLOOKUP('Data 1'!$B483,'Data 2'!$A$1:$F$46,MATCH('Data 1'!K$1,'Data 2'!$A$1:$F$1,0),0)</f>
        <v>76.25</v>
      </c>
      <c r="L483" s="40">
        <f>SUM('Data 1'!$J483*'Data 1'!$C483)</f>
        <v>671</v>
      </c>
      <c r="M483" s="40">
        <f>'Data 1'!$C483*'Data 1'!$K483</f>
        <v>838.75</v>
      </c>
      <c r="N483" s="40">
        <f>'Data 1'!$M483-'Data 1'!$L483</f>
        <v>167.75</v>
      </c>
      <c r="O483" s="37">
        <f>DAY('Data 1'!$A483)</f>
        <v>3</v>
      </c>
      <c r="P483" s="37" t="str">
        <f>TEXT('Data 1'!$A483,"mmm")</f>
        <v>Nov</v>
      </c>
      <c r="Q483" s="41">
        <f>YEAR('Data 1'!$A483)</f>
        <v>2022</v>
      </c>
    </row>
    <row r="484" spans="1:17" x14ac:dyDescent="0.3">
      <c r="A484" s="35">
        <v>44869</v>
      </c>
      <c r="B484" s="36" t="s">
        <v>44</v>
      </c>
      <c r="C484" s="37">
        <v>10</v>
      </c>
      <c r="D484" s="37" t="s">
        <v>21</v>
      </c>
      <c r="E484" s="37" t="s">
        <v>17</v>
      </c>
      <c r="F484" s="38">
        <v>0</v>
      </c>
      <c r="G484" s="39" t="str">
        <f>VLOOKUP('Data 1'!$B484,'Data 2'!$A$1:$F$46,MATCH('Data 1'!G$1,'Data 2'!$A$1:$F$1,0),0)</f>
        <v>Product08</v>
      </c>
      <c r="H484" s="39" t="str">
        <f>VLOOKUP('Data 1'!$B484,'Data 2'!$A$1:$F$46,MATCH('Data 1'!H$1,'Data 2'!$A$1:$F$1,0),0)</f>
        <v>Category01</v>
      </c>
      <c r="I484" s="39" t="str">
        <f>VLOOKUP('Data 1'!$B484,'Data 2'!$A$1:$F$46,MATCH('Data 1'!I$1,'Data 2'!$A$1:$F$1,0),0)</f>
        <v>Kg</v>
      </c>
      <c r="J484" s="39">
        <f>VLOOKUP('Data 1'!$B484,'Data 2'!$A$1:$F$46,MATCH('Data 1'!J$1,'Data 2'!$A$1:$F$1,0),0)</f>
        <v>83</v>
      </c>
      <c r="K484" s="39">
        <f>VLOOKUP('Data 1'!$B484,'Data 2'!$A$1:$F$46,MATCH('Data 1'!K$1,'Data 2'!$A$1:$F$1,0),0)</f>
        <v>94.62</v>
      </c>
      <c r="L484" s="40">
        <f>SUM('Data 1'!$J484*'Data 1'!$C484)</f>
        <v>830</v>
      </c>
      <c r="M484" s="40">
        <f>'Data 1'!$C484*'Data 1'!$K484</f>
        <v>946.2</v>
      </c>
      <c r="N484" s="40">
        <f>'Data 1'!$M484-'Data 1'!$L484</f>
        <v>116.20000000000005</v>
      </c>
      <c r="O484" s="37">
        <f>DAY('Data 1'!$A484)</f>
        <v>4</v>
      </c>
      <c r="P484" s="37" t="str">
        <f>TEXT('Data 1'!$A484,"mmm")</f>
        <v>Nov</v>
      </c>
      <c r="Q484" s="41">
        <f>YEAR('Data 1'!$A484)</f>
        <v>2022</v>
      </c>
    </row>
    <row r="485" spans="1:17" x14ac:dyDescent="0.3">
      <c r="A485" s="35">
        <v>44870</v>
      </c>
      <c r="B485" s="36" t="s">
        <v>59</v>
      </c>
      <c r="C485" s="37">
        <v>15</v>
      </c>
      <c r="D485" s="37" t="s">
        <v>21</v>
      </c>
      <c r="E485" s="37" t="s">
        <v>19</v>
      </c>
      <c r="F485" s="38">
        <v>0</v>
      </c>
      <c r="G485" s="42" t="str">
        <f>VLOOKUP('Data 1'!$B485,'Data 2'!$A$1:$F$46,MATCH('Data 1'!G$1,'Data 2'!$A$1:$F$1,0),0)</f>
        <v>Product19</v>
      </c>
      <c r="H485" s="42" t="str">
        <f>VLOOKUP('Data 1'!$B485,'Data 2'!$A$1:$F$46,MATCH('Data 1'!H$1,'Data 2'!$A$1:$F$1,0),0)</f>
        <v>Category02</v>
      </c>
      <c r="I485" s="42" t="str">
        <f>VLOOKUP('Data 1'!$B485,'Data 2'!$A$1:$F$46,MATCH('Data 1'!I$1,'Data 2'!$A$1:$F$1,0),0)</f>
        <v>Ft</v>
      </c>
      <c r="J485" s="42">
        <f>VLOOKUP('Data 1'!$B485,'Data 2'!$A$1:$F$46,MATCH('Data 1'!J$1,'Data 2'!$A$1:$F$1,0),0)</f>
        <v>150</v>
      </c>
      <c r="K485" s="42">
        <f>VLOOKUP('Data 1'!$B485,'Data 2'!$A$1:$F$46,MATCH('Data 1'!K$1,'Data 2'!$A$1:$F$1,0),0)</f>
        <v>210</v>
      </c>
      <c r="L485" s="40">
        <f>SUM('Data 1'!$J485*'Data 1'!$C485)</f>
        <v>2250</v>
      </c>
      <c r="M485" s="40">
        <f>'Data 1'!$C485*'Data 1'!$K485</f>
        <v>3150</v>
      </c>
      <c r="N485" s="40">
        <f>'Data 1'!$M485-'Data 1'!$L485</f>
        <v>900</v>
      </c>
      <c r="O485" s="37">
        <f>DAY('Data 1'!$A485)</f>
        <v>5</v>
      </c>
      <c r="P485" s="37" t="str">
        <f>TEXT('Data 1'!$A485,"mmm")</f>
        <v>Nov</v>
      </c>
      <c r="Q485" s="41">
        <f>YEAR('Data 1'!$A485)</f>
        <v>2022</v>
      </c>
    </row>
    <row r="486" spans="1:17" x14ac:dyDescent="0.3">
      <c r="A486" s="35">
        <v>44871</v>
      </c>
      <c r="B486" s="36" t="s">
        <v>42</v>
      </c>
      <c r="C486" s="37">
        <v>13</v>
      </c>
      <c r="D486" s="37" t="s">
        <v>21</v>
      </c>
      <c r="E486" s="37" t="s">
        <v>19</v>
      </c>
      <c r="F486" s="38">
        <v>0</v>
      </c>
      <c r="G486" s="39" t="str">
        <f>VLOOKUP('Data 1'!$B486,'Data 2'!$A$1:$F$46,MATCH('Data 1'!G$1,'Data 2'!$A$1:$F$1,0),0)</f>
        <v>Product43</v>
      </c>
      <c r="H486" s="39" t="str">
        <f>VLOOKUP('Data 1'!$B486,'Data 2'!$A$1:$F$46,MATCH('Data 1'!H$1,'Data 2'!$A$1:$F$1,0),0)</f>
        <v>Category05</v>
      </c>
      <c r="I486" s="39" t="str">
        <f>VLOOKUP('Data 1'!$B486,'Data 2'!$A$1:$F$46,MATCH('Data 1'!I$1,'Data 2'!$A$1:$F$1,0),0)</f>
        <v>Kg</v>
      </c>
      <c r="J486" s="39">
        <f>VLOOKUP('Data 1'!$B486,'Data 2'!$A$1:$F$46,MATCH('Data 1'!J$1,'Data 2'!$A$1:$F$1,0),0)</f>
        <v>67</v>
      </c>
      <c r="K486" s="39">
        <f>VLOOKUP('Data 1'!$B486,'Data 2'!$A$1:$F$46,MATCH('Data 1'!K$1,'Data 2'!$A$1:$F$1,0),0)</f>
        <v>83.08</v>
      </c>
      <c r="L486" s="40">
        <f>SUM('Data 1'!$J486*'Data 1'!$C486)</f>
        <v>871</v>
      </c>
      <c r="M486" s="40">
        <f>'Data 1'!$C486*'Data 1'!$K486</f>
        <v>1080.04</v>
      </c>
      <c r="N486" s="40">
        <f>'Data 1'!$M486-'Data 1'!$L486</f>
        <v>209.03999999999996</v>
      </c>
      <c r="O486" s="37">
        <f>DAY('Data 1'!$A486)</f>
        <v>6</v>
      </c>
      <c r="P486" s="37" t="str">
        <f>TEXT('Data 1'!$A486,"mmm")</f>
        <v>Nov</v>
      </c>
      <c r="Q486" s="41">
        <f>YEAR('Data 1'!$A486)</f>
        <v>2022</v>
      </c>
    </row>
    <row r="487" spans="1:17" x14ac:dyDescent="0.3">
      <c r="A487" s="35">
        <v>44871</v>
      </c>
      <c r="B487" s="36" t="s">
        <v>46</v>
      </c>
      <c r="C487" s="37">
        <v>13</v>
      </c>
      <c r="D487" s="37" t="s">
        <v>17</v>
      </c>
      <c r="E487" s="37" t="s">
        <v>17</v>
      </c>
      <c r="F487" s="38">
        <v>0</v>
      </c>
      <c r="G487" s="42" t="str">
        <f>VLOOKUP('Data 1'!$B487,'Data 2'!$A$1:$F$46,MATCH('Data 1'!G$1,'Data 2'!$A$1:$F$1,0),0)</f>
        <v>Product15</v>
      </c>
      <c r="H487" s="42" t="str">
        <f>VLOOKUP('Data 1'!$B487,'Data 2'!$A$1:$F$46,MATCH('Data 1'!H$1,'Data 2'!$A$1:$F$1,0),0)</f>
        <v>Category02</v>
      </c>
      <c r="I487" s="42" t="str">
        <f>VLOOKUP('Data 1'!$B487,'Data 2'!$A$1:$F$46,MATCH('Data 1'!I$1,'Data 2'!$A$1:$F$1,0),0)</f>
        <v>No.</v>
      </c>
      <c r="J487" s="42">
        <f>VLOOKUP('Data 1'!$B487,'Data 2'!$A$1:$F$46,MATCH('Data 1'!J$1,'Data 2'!$A$1:$F$1,0),0)</f>
        <v>12</v>
      </c>
      <c r="K487" s="42">
        <f>VLOOKUP('Data 1'!$B487,'Data 2'!$A$1:$F$46,MATCH('Data 1'!K$1,'Data 2'!$A$1:$F$1,0),0)</f>
        <v>15.719999999999999</v>
      </c>
      <c r="L487" s="40">
        <f>SUM('Data 1'!$J487*'Data 1'!$C487)</f>
        <v>156</v>
      </c>
      <c r="M487" s="40">
        <f>'Data 1'!$C487*'Data 1'!$K487</f>
        <v>204.35999999999999</v>
      </c>
      <c r="N487" s="40">
        <f>'Data 1'!$M487-'Data 1'!$L487</f>
        <v>48.359999999999985</v>
      </c>
      <c r="O487" s="37">
        <f>DAY('Data 1'!$A487)</f>
        <v>6</v>
      </c>
      <c r="P487" s="37" t="str">
        <f>TEXT('Data 1'!$A487,"mmm")</f>
        <v>Nov</v>
      </c>
      <c r="Q487" s="41">
        <f>YEAR('Data 1'!$A487)</f>
        <v>2022</v>
      </c>
    </row>
    <row r="488" spans="1:17" x14ac:dyDescent="0.3">
      <c r="A488" s="35">
        <v>44871</v>
      </c>
      <c r="B488" s="36" t="s">
        <v>29</v>
      </c>
      <c r="C488" s="37">
        <v>13</v>
      </c>
      <c r="D488" s="37" t="s">
        <v>21</v>
      </c>
      <c r="E488" s="37" t="s">
        <v>19</v>
      </c>
      <c r="F488" s="38">
        <v>0</v>
      </c>
      <c r="G488" s="39" t="str">
        <f>VLOOKUP('Data 1'!$B488,'Data 2'!$A$1:$F$46,MATCH('Data 1'!G$1,'Data 2'!$A$1:$F$1,0),0)</f>
        <v>Product42</v>
      </c>
      <c r="H488" s="39" t="str">
        <f>VLOOKUP('Data 1'!$B488,'Data 2'!$A$1:$F$46,MATCH('Data 1'!H$1,'Data 2'!$A$1:$F$1,0),0)</f>
        <v>Category05</v>
      </c>
      <c r="I488" s="39" t="str">
        <f>VLOOKUP('Data 1'!$B488,'Data 2'!$A$1:$F$46,MATCH('Data 1'!I$1,'Data 2'!$A$1:$F$1,0),0)</f>
        <v>Ft</v>
      </c>
      <c r="J488" s="39">
        <f>VLOOKUP('Data 1'!$B488,'Data 2'!$A$1:$F$46,MATCH('Data 1'!J$1,'Data 2'!$A$1:$F$1,0),0)</f>
        <v>120</v>
      </c>
      <c r="K488" s="39">
        <f>VLOOKUP('Data 1'!$B488,'Data 2'!$A$1:$F$46,MATCH('Data 1'!K$1,'Data 2'!$A$1:$F$1,0),0)</f>
        <v>162</v>
      </c>
      <c r="L488" s="40">
        <f>SUM('Data 1'!$J488*'Data 1'!$C488)</f>
        <v>1560</v>
      </c>
      <c r="M488" s="40">
        <f>'Data 1'!$C488*'Data 1'!$K488</f>
        <v>2106</v>
      </c>
      <c r="N488" s="40">
        <f>'Data 1'!$M488-'Data 1'!$L488</f>
        <v>546</v>
      </c>
      <c r="O488" s="37">
        <f>DAY('Data 1'!$A488)</f>
        <v>6</v>
      </c>
      <c r="P488" s="37" t="str">
        <f>TEXT('Data 1'!$A488,"mmm")</f>
        <v>Nov</v>
      </c>
      <c r="Q488" s="41">
        <f>YEAR('Data 1'!$A488)</f>
        <v>2022</v>
      </c>
    </row>
    <row r="489" spans="1:17" x14ac:dyDescent="0.3">
      <c r="A489" s="35">
        <v>44872</v>
      </c>
      <c r="B489" s="36" t="s">
        <v>36</v>
      </c>
      <c r="C489" s="37">
        <v>13</v>
      </c>
      <c r="D489" s="37" t="s">
        <v>17</v>
      </c>
      <c r="E489" s="37" t="s">
        <v>19</v>
      </c>
      <c r="F489" s="38">
        <v>0</v>
      </c>
      <c r="G489" s="42" t="str">
        <f>VLOOKUP('Data 1'!$B489,'Data 2'!$A$1:$F$46,MATCH('Data 1'!G$1,'Data 2'!$A$1:$F$1,0),0)</f>
        <v>Product40</v>
      </c>
      <c r="H489" s="42" t="str">
        <f>VLOOKUP('Data 1'!$B489,'Data 2'!$A$1:$F$46,MATCH('Data 1'!H$1,'Data 2'!$A$1:$F$1,0),0)</f>
        <v>Category05</v>
      </c>
      <c r="I489" s="42" t="str">
        <f>VLOOKUP('Data 1'!$B489,'Data 2'!$A$1:$F$46,MATCH('Data 1'!I$1,'Data 2'!$A$1:$F$1,0),0)</f>
        <v>Kg</v>
      </c>
      <c r="J489" s="42">
        <f>VLOOKUP('Data 1'!$B489,'Data 2'!$A$1:$F$46,MATCH('Data 1'!J$1,'Data 2'!$A$1:$F$1,0),0)</f>
        <v>90</v>
      </c>
      <c r="K489" s="42">
        <f>VLOOKUP('Data 1'!$B489,'Data 2'!$A$1:$F$46,MATCH('Data 1'!K$1,'Data 2'!$A$1:$F$1,0),0)</f>
        <v>115.2</v>
      </c>
      <c r="L489" s="40">
        <f>SUM('Data 1'!$J489*'Data 1'!$C489)</f>
        <v>1170</v>
      </c>
      <c r="M489" s="40">
        <f>'Data 1'!$C489*'Data 1'!$K489</f>
        <v>1497.6000000000001</v>
      </c>
      <c r="N489" s="40">
        <f>'Data 1'!$M489-'Data 1'!$L489</f>
        <v>327.60000000000014</v>
      </c>
      <c r="O489" s="37">
        <f>DAY('Data 1'!$A489)</f>
        <v>7</v>
      </c>
      <c r="P489" s="37" t="str">
        <f>TEXT('Data 1'!$A489,"mmm")</f>
        <v>Nov</v>
      </c>
      <c r="Q489" s="41">
        <f>YEAR('Data 1'!$A489)</f>
        <v>2022</v>
      </c>
    </row>
    <row r="490" spans="1:17" x14ac:dyDescent="0.3">
      <c r="A490" s="35">
        <v>44873</v>
      </c>
      <c r="B490" s="36" t="s">
        <v>62</v>
      </c>
      <c r="C490" s="37">
        <v>11</v>
      </c>
      <c r="D490" s="37" t="s">
        <v>16</v>
      </c>
      <c r="E490" s="37" t="s">
        <v>19</v>
      </c>
      <c r="F490" s="38">
        <v>0</v>
      </c>
      <c r="G490" s="39" t="str">
        <f>VLOOKUP('Data 1'!$B490,'Data 2'!$A$1:$F$46,MATCH('Data 1'!G$1,'Data 2'!$A$1:$F$1,0),0)</f>
        <v>Product36</v>
      </c>
      <c r="H490" s="39" t="str">
        <f>VLOOKUP('Data 1'!$B490,'Data 2'!$A$1:$F$46,MATCH('Data 1'!H$1,'Data 2'!$A$1:$F$1,0),0)</f>
        <v>Category04</v>
      </c>
      <c r="I490" s="39" t="str">
        <f>VLOOKUP('Data 1'!$B490,'Data 2'!$A$1:$F$46,MATCH('Data 1'!I$1,'Data 2'!$A$1:$F$1,0),0)</f>
        <v>Kg</v>
      </c>
      <c r="J490" s="39">
        <f>VLOOKUP('Data 1'!$B490,'Data 2'!$A$1:$F$46,MATCH('Data 1'!J$1,'Data 2'!$A$1:$F$1,0),0)</f>
        <v>90</v>
      </c>
      <c r="K490" s="39">
        <f>VLOOKUP('Data 1'!$B490,'Data 2'!$A$1:$F$46,MATCH('Data 1'!K$1,'Data 2'!$A$1:$F$1,0),0)</f>
        <v>96.3</v>
      </c>
      <c r="L490" s="40">
        <f>SUM('Data 1'!$J490*'Data 1'!$C490)</f>
        <v>990</v>
      </c>
      <c r="M490" s="40">
        <f>'Data 1'!$C490*'Data 1'!$K490</f>
        <v>1059.3</v>
      </c>
      <c r="N490" s="40">
        <f>'Data 1'!$M490-'Data 1'!$L490</f>
        <v>69.299999999999955</v>
      </c>
      <c r="O490" s="37">
        <f>DAY('Data 1'!$A490)</f>
        <v>8</v>
      </c>
      <c r="P490" s="37" t="str">
        <f>TEXT('Data 1'!$A490,"mmm")</f>
        <v>Nov</v>
      </c>
      <c r="Q490" s="41">
        <f>YEAR('Data 1'!$A490)</f>
        <v>2022</v>
      </c>
    </row>
    <row r="491" spans="1:17" x14ac:dyDescent="0.3">
      <c r="A491" s="35">
        <v>44873</v>
      </c>
      <c r="B491" s="36" t="s">
        <v>59</v>
      </c>
      <c r="C491" s="37">
        <v>10</v>
      </c>
      <c r="D491" s="37" t="s">
        <v>16</v>
      </c>
      <c r="E491" s="37" t="s">
        <v>17</v>
      </c>
      <c r="F491" s="38">
        <v>0</v>
      </c>
      <c r="G491" s="42" t="str">
        <f>VLOOKUP('Data 1'!$B491,'Data 2'!$A$1:$F$46,MATCH('Data 1'!G$1,'Data 2'!$A$1:$F$1,0),0)</f>
        <v>Product19</v>
      </c>
      <c r="H491" s="42" t="str">
        <f>VLOOKUP('Data 1'!$B491,'Data 2'!$A$1:$F$46,MATCH('Data 1'!H$1,'Data 2'!$A$1:$F$1,0),0)</f>
        <v>Category02</v>
      </c>
      <c r="I491" s="42" t="str">
        <f>VLOOKUP('Data 1'!$B491,'Data 2'!$A$1:$F$46,MATCH('Data 1'!I$1,'Data 2'!$A$1:$F$1,0),0)</f>
        <v>Ft</v>
      </c>
      <c r="J491" s="42">
        <f>VLOOKUP('Data 1'!$B491,'Data 2'!$A$1:$F$46,MATCH('Data 1'!J$1,'Data 2'!$A$1:$F$1,0),0)</f>
        <v>150</v>
      </c>
      <c r="K491" s="42">
        <f>VLOOKUP('Data 1'!$B491,'Data 2'!$A$1:$F$46,MATCH('Data 1'!K$1,'Data 2'!$A$1:$F$1,0),0)</f>
        <v>210</v>
      </c>
      <c r="L491" s="40">
        <f>SUM('Data 1'!$J491*'Data 1'!$C491)</f>
        <v>1500</v>
      </c>
      <c r="M491" s="40">
        <f>'Data 1'!$C491*'Data 1'!$K491</f>
        <v>2100</v>
      </c>
      <c r="N491" s="40">
        <f>'Data 1'!$M491-'Data 1'!$L491</f>
        <v>600</v>
      </c>
      <c r="O491" s="37">
        <f>DAY('Data 1'!$A491)</f>
        <v>8</v>
      </c>
      <c r="P491" s="37" t="str">
        <f>TEXT('Data 1'!$A491,"mmm")</f>
        <v>Nov</v>
      </c>
      <c r="Q491" s="41">
        <f>YEAR('Data 1'!$A491)</f>
        <v>2022</v>
      </c>
    </row>
    <row r="492" spans="1:17" x14ac:dyDescent="0.3">
      <c r="A492" s="35">
        <v>44874</v>
      </c>
      <c r="B492" s="36" t="s">
        <v>45</v>
      </c>
      <c r="C492" s="37">
        <v>8</v>
      </c>
      <c r="D492" s="37" t="s">
        <v>17</v>
      </c>
      <c r="E492" s="37" t="s">
        <v>19</v>
      </c>
      <c r="F492" s="38">
        <v>0</v>
      </c>
      <c r="G492" s="39" t="str">
        <f>VLOOKUP('Data 1'!$B492,'Data 2'!$A$1:$F$46,MATCH('Data 1'!G$1,'Data 2'!$A$1:$F$1,0),0)</f>
        <v>Product27</v>
      </c>
      <c r="H492" s="39" t="str">
        <f>VLOOKUP('Data 1'!$B492,'Data 2'!$A$1:$F$46,MATCH('Data 1'!H$1,'Data 2'!$A$1:$F$1,0),0)</f>
        <v>Category04</v>
      </c>
      <c r="I492" s="39" t="str">
        <f>VLOOKUP('Data 1'!$B492,'Data 2'!$A$1:$F$46,MATCH('Data 1'!I$1,'Data 2'!$A$1:$F$1,0),0)</f>
        <v>Lt</v>
      </c>
      <c r="J492" s="39">
        <f>VLOOKUP('Data 1'!$B492,'Data 2'!$A$1:$F$46,MATCH('Data 1'!J$1,'Data 2'!$A$1:$F$1,0),0)</f>
        <v>48</v>
      </c>
      <c r="K492" s="39">
        <f>VLOOKUP('Data 1'!$B492,'Data 2'!$A$1:$F$46,MATCH('Data 1'!K$1,'Data 2'!$A$1:$F$1,0),0)</f>
        <v>57.120000000000005</v>
      </c>
      <c r="L492" s="40">
        <f>SUM('Data 1'!$J492*'Data 1'!$C492)</f>
        <v>384</v>
      </c>
      <c r="M492" s="40">
        <f>'Data 1'!$C492*'Data 1'!$K492</f>
        <v>456.96000000000004</v>
      </c>
      <c r="N492" s="40">
        <f>'Data 1'!$M492-'Data 1'!$L492</f>
        <v>72.960000000000036</v>
      </c>
      <c r="O492" s="37">
        <f>DAY('Data 1'!$A492)</f>
        <v>9</v>
      </c>
      <c r="P492" s="37" t="str">
        <f>TEXT('Data 1'!$A492,"mmm")</f>
        <v>Nov</v>
      </c>
      <c r="Q492" s="41">
        <f>YEAR('Data 1'!$A492)</f>
        <v>2022</v>
      </c>
    </row>
    <row r="493" spans="1:17" x14ac:dyDescent="0.3">
      <c r="A493" s="35">
        <v>44875</v>
      </c>
      <c r="B493" s="36" t="s">
        <v>49</v>
      </c>
      <c r="C493" s="37">
        <v>7</v>
      </c>
      <c r="D493" s="37" t="s">
        <v>21</v>
      </c>
      <c r="E493" s="37" t="s">
        <v>17</v>
      </c>
      <c r="F493" s="38">
        <v>0</v>
      </c>
      <c r="G493" s="42" t="str">
        <f>VLOOKUP('Data 1'!$B493,'Data 2'!$A$1:$F$46,MATCH('Data 1'!G$1,'Data 2'!$A$1:$F$1,0),0)</f>
        <v>Product18</v>
      </c>
      <c r="H493" s="42" t="str">
        <f>VLOOKUP('Data 1'!$B493,'Data 2'!$A$1:$F$46,MATCH('Data 1'!H$1,'Data 2'!$A$1:$F$1,0),0)</f>
        <v>Category02</v>
      </c>
      <c r="I493" s="42" t="str">
        <f>VLOOKUP('Data 1'!$B493,'Data 2'!$A$1:$F$46,MATCH('Data 1'!I$1,'Data 2'!$A$1:$F$1,0),0)</f>
        <v>No.</v>
      </c>
      <c r="J493" s="42">
        <f>VLOOKUP('Data 1'!$B493,'Data 2'!$A$1:$F$46,MATCH('Data 1'!J$1,'Data 2'!$A$1:$F$1,0),0)</f>
        <v>37</v>
      </c>
      <c r="K493" s="42">
        <f>VLOOKUP('Data 1'!$B493,'Data 2'!$A$1:$F$46,MATCH('Data 1'!K$1,'Data 2'!$A$1:$F$1,0),0)</f>
        <v>49.21</v>
      </c>
      <c r="L493" s="40">
        <f>SUM('Data 1'!$J493*'Data 1'!$C493)</f>
        <v>259</v>
      </c>
      <c r="M493" s="40">
        <f>'Data 1'!$C493*'Data 1'!$K493</f>
        <v>344.47</v>
      </c>
      <c r="N493" s="40">
        <f>'Data 1'!$M493-'Data 1'!$L493</f>
        <v>85.470000000000027</v>
      </c>
      <c r="O493" s="37">
        <f>DAY('Data 1'!$A493)</f>
        <v>10</v>
      </c>
      <c r="P493" s="37" t="str">
        <f>TEXT('Data 1'!$A493,"mmm")</f>
        <v>Nov</v>
      </c>
      <c r="Q493" s="41">
        <f>YEAR('Data 1'!$A493)</f>
        <v>2022</v>
      </c>
    </row>
    <row r="494" spans="1:17" x14ac:dyDescent="0.3">
      <c r="A494" s="35">
        <v>44878</v>
      </c>
      <c r="B494" s="36" t="s">
        <v>45</v>
      </c>
      <c r="C494" s="37">
        <v>10</v>
      </c>
      <c r="D494" s="37" t="s">
        <v>16</v>
      </c>
      <c r="E494" s="37" t="s">
        <v>19</v>
      </c>
      <c r="F494" s="38">
        <v>0</v>
      </c>
      <c r="G494" s="39" t="str">
        <f>VLOOKUP('Data 1'!$B494,'Data 2'!$A$1:$F$46,MATCH('Data 1'!G$1,'Data 2'!$A$1:$F$1,0),0)</f>
        <v>Product27</v>
      </c>
      <c r="H494" s="39" t="str">
        <f>VLOOKUP('Data 1'!$B494,'Data 2'!$A$1:$F$46,MATCH('Data 1'!H$1,'Data 2'!$A$1:$F$1,0),0)</f>
        <v>Category04</v>
      </c>
      <c r="I494" s="39" t="str">
        <f>VLOOKUP('Data 1'!$B494,'Data 2'!$A$1:$F$46,MATCH('Data 1'!I$1,'Data 2'!$A$1:$F$1,0),0)</f>
        <v>Lt</v>
      </c>
      <c r="J494" s="39">
        <f>VLOOKUP('Data 1'!$B494,'Data 2'!$A$1:$F$46,MATCH('Data 1'!J$1,'Data 2'!$A$1:$F$1,0),0)</f>
        <v>48</v>
      </c>
      <c r="K494" s="39">
        <f>VLOOKUP('Data 1'!$B494,'Data 2'!$A$1:$F$46,MATCH('Data 1'!K$1,'Data 2'!$A$1:$F$1,0),0)</f>
        <v>57.120000000000005</v>
      </c>
      <c r="L494" s="40">
        <f>SUM('Data 1'!$J494*'Data 1'!$C494)</f>
        <v>480</v>
      </c>
      <c r="M494" s="40">
        <f>'Data 1'!$C494*'Data 1'!$K494</f>
        <v>571.20000000000005</v>
      </c>
      <c r="N494" s="40">
        <f>'Data 1'!$M494-'Data 1'!$L494</f>
        <v>91.200000000000045</v>
      </c>
      <c r="O494" s="37">
        <f>DAY('Data 1'!$A494)</f>
        <v>13</v>
      </c>
      <c r="P494" s="37" t="str">
        <f>TEXT('Data 1'!$A494,"mmm")</f>
        <v>Nov</v>
      </c>
      <c r="Q494" s="41">
        <f>YEAR('Data 1'!$A494)</f>
        <v>2022</v>
      </c>
    </row>
    <row r="495" spans="1:17" x14ac:dyDescent="0.3">
      <c r="A495" s="35">
        <v>44879</v>
      </c>
      <c r="B495" s="36" t="s">
        <v>48</v>
      </c>
      <c r="C495" s="37">
        <v>1</v>
      </c>
      <c r="D495" s="37" t="s">
        <v>21</v>
      </c>
      <c r="E495" s="37" t="s">
        <v>19</v>
      </c>
      <c r="F495" s="38">
        <v>0</v>
      </c>
      <c r="G495" s="42" t="str">
        <f>VLOOKUP('Data 1'!$B495,'Data 2'!$A$1:$F$46,MATCH('Data 1'!G$1,'Data 2'!$A$1:$F$1,0),0)</f>
        <v>Product02</v>
      </c>
      <c r="H495" s="42" t="str">
        <f>VLOOKUP('Data 1'!$B495,'Data 2'!$A$1:$F$46,MATCH('Data 1'!H$1,'Data 2'!$A$1:$F$1,0),0)</f>
        <v>Category01</v>
      </c>
      <c r="I495" s="42" t="str">
        <f>VLOOKUP('Data 1'!$B495,'Data 2'!$A$1:$F$46,MATCH('Data 1'!I$1,'Data 2'!$A$1:$F$1,0),0)</f>
        <v>Kg</v>
      </c>
      <c r="J495" s="42">
        <f>VLOOKUP('Data 1'!$B495,'Data 2'!$A$1:$F$46,MATCH('Data 1'!J$1,'Data 2'!$A$1:$F$1,0),0)</f>
        <v>105</v>
      </c>
      <c r="K495" s="42">
        <f>VLOOKUP('Data 1'!$B495,'Data 2'!$A$1:$F$46,MATCH('Data 1'!K$1,'Data 2'!$A$1:$F$1,0),0)</f>
        <v>142.80000000000001</v>
      </c>
      <c r="L495" s="40">
        <f>SUM('Data 1'!$J495*'Data 1'!$C495)</f>
        <v>105</v>
      </c>
      <c r="M495" s="40">
        <f>'Data 1'!$C495*'Data 1'!$K495</f>
        <v>142.80000000000001</v>
      </c>
      <c r="N495" s="40">
        <f>'Data 1'!$M495-'Data 1'!$L495</f>
        <v>37.800000000000011</v>
      </c>
      <c r="O495" s="37">
        <f>DAY('Data 1'!$A495)</f>
        <v>14</v>
      </c>
      <c r="P495" s="37" t="str">
        <f>TEXT('Data 1'!$A495,"mmm")</f>
        <v>Nov</v>
      </c>
      <c r="Q495" s="41">
        <f>YEAR('Data 1'!$A495)</f>
        <v>2022</v>
      </c>
    </row>
    <row r="496" spans="1:17" x14ac:dyDescent="0.3">
      <c r="A496" s="35">
        <v>44880</v>
      </c>
      <c r="B496" s="36" t="s">
        <v>54</v>
      </c>
      <c r="C496" s="37">
        <v>14</v>
      </c>
      <c r="D496" s="37" t="s">
        <v>21</v>
      </c>
      <c r="E496" s="37" t="s">
        <v>19</v>
      </c>
      <c r="F496" s="38">
        <v>0</v>
      </c>
      <c r="G496" s="39" t="str">
        <f>VLOOKUP('Data 1'!$B496,'Data 2'!$A$1:$F$46,MATCH('Data 1'!G$1,'Data 2'!$A$1:$F$1,0),0)</f>
        <v>Product12</v>
      </c>
      <c r="H496" s="39" t="str">
        <f>VLOOKUP('Data 1'!$B496,'Data 2'!$A$1:$F$46,MATCH('Data 1'!H$1,'Data 2'!$A$1:$F$1,0),0)</f>
        <v>Category02</v>
      </c>
      <c r="I496" s="39" t="str">
        <f>VLOOKUP('Data 1'!$B496,'Data 2'!$A$1:$F$46,MATCH('Data 1'!I$1,'Data 2'!$A$1:$F$1,0),0)</f>
        <v>Kg</v>
      </c>
      <c r="J496" s="39">
        <f>VLOOKUP('Data 1'!$B496,'Data 2'!$A$1:$F$46,MATCH('Data 1'!J$1,'Data 2'!$A$1:$F$1,0),0)</f>
        <v>73</v>
      </c>
      <c r="K496" s="39">
        <f>VLOOKUP('Data 1'!$B496,'Data 2'!$A$1:$F$46,MATCH('Data 1'!K$1,'Data 2'!$A$1:$F$1,0),0)</f>
        <v>94.17</v>
      </c>
      <c r="L496" s="40">
        <f>SUM('Data 1'!$J496*'Data 1'!$C496)</f>
        <v>1022</v>
      </c>
      <c r="M496" s="40">
        <f>'Data 1'!$C496*'Data 1'!$K496</f>
        <v>1318.38</v>
      </c>
      <c r="N496" s="40">
        <f>'Data 1'!$M496-'Data 1'!$L496</f>
        <v>296.38000000000011</v>
      </c>
      <c r="O496" s="37">
        <f>DAY('Data 1'!$A496)</f>
        <v>15</v>
      </c>
      <c r="P496" s="37" t="str">
        <f>TEXT('Data 1'!$A496,"mmm")</f>
        <v>Nov</v>
      </c>
      <c r="Q496" s="41">
        <f>YEAR('Data 1'!$A496)</f>
        <v>2022</v>
      </c>
    </row>
    <row r="497" spans="1:17" x14ac:dyDescent="0.3">
      <c r="A497" s="35">
        <v>44881</v>
      </c>
      <c r="B497" s="36" t="s">
        <v>58</v>
      </c>
      <c r="C497" s="37">
        <v>8</v>
      </c>
      <c r="D497" s="37" t="s">
        <v>17</v>
      </c>
      <c r="E497" s="37" t="s">
        <v>17</v>
      </c>
      <c r="F497" s="38">
        <v>0</v>
      </c>
      <c r="G497" s="42" t="str">
        <f>VLOOKUP('Data 1'!$B497,'Data 2'!$A$1:$F$46,MATCH('Data 1'!G$1,'Data 2'!$A$1:$F$1,0),0)</f>
        <v>Product17</v>
      </c>
      <c r="H497" s="42" t="str">
        <f>VLOOKUP('Data 1'!$B497,'Data 2'!$A$1:$F$46,MATCH('Data 1'!H$1,'Data 2'!$A$1:$F$1,0),0)</f>
        <v>Category02</v>
      </c>
      <c r="I497" s="42" t="str">
        <f>VLOOKUP('Data 1'!$B497,'Data 2'!$A$1:$F$46,MATCH('Data 1'!I$1,'Data 2'!$A$1:$F$1,0),0)</f>
        <v>Ft</v>
      </c>
      <c r="J497" s="42">
        <f>VLOOKUP('Data 1'!$B497,'Data 2'!$A$1:$F$46,MATCH('Data 1'!J$1,'Data 2'!$A$1:$F$1,0),0)</f>
        <v>134</v>
      </c>
      <c r="K497" s="42">
        <f>VLOOKUP('Data 1'!$B497,'Data 2'!$A$1:$F$46,MATCH('Data 1'!K$1,'Data 2'!$A$1:$F$1,0),0)</f>
        <v>156.78</v>
      </c>
      <c r="L497" s="40">
        <f>SUM('Data 1'!$J497*'Data 1'!$C497)</f>
        <v>1072</v>
      </c>
      <c r="M497" s="40">
        <f>'Data 1'!$C497*'Data 1'!$K497</f>
        <v>1254.24</v>
      </c>
      <c r="N497" s="40">
        <f>'Data 1'!$M497-'Data 1'!$L497</f>
        <v>182.24</v>
      </c>
      <c r="O497" s="37">
        <f>DAY('Data 1'!$A497)</f>
        <v>16</v>
      </c>
      <c r="P497" s="37" t="str">
        <f>TEXT('Data 1'!$A497,"mmm")</f>
        <v>Nov</v>
      </c>
      <c r="Q497" s="41">
        <f>YEAR('Data 1'!$A497)</f>
        <v>2022</v>
      </c>
    </row>
    <row r="498" spans="1:17" x14ac:dyDescent="0.3">
      <c r="A498" s="35">
        <v>44883</v>
      </c>
      <c r="B498" s="36" t="s">
        <v>32</v>
      </c>
      <c r="C498" s="37">
        <v>8</v>
      </c>
      <c r="D498" s="37" t="s">
        <v>21</v>
      </c>
      <c r="E498" s="37" t="s">
        <v>19</v>
      </c>
      <c r="F498" s="38">
        <v>0</v>
      </c>
      <c r="G498" s="39" t="str">
        <f>VLOOKUP('Data 1'!$B498,'Data 2'!$A$1:$F$46,MATCH('Data 1'!G$1,'Data 2'!$A$1:$F$1,0),0)</f>
        <v>Product34</v>
      </c>
      <c r="H498" s="39" t="str">
        <f>VLOOKUP('Data 1'!$B498,'Data 2'!$A$1:$F$46,MATCH('Data 1'!H$1,'Data 2'!$A$1:$F$1,0),0)</f>
        <v>Category04</v>
      </c>
      <c r="I498" s="39" t="str">
        <f>VLOOKUP('Data 1'!$B498,'Data 2'!$A$1:$F$46,MATCH('Data 1'!I$1,'Data 2'!$A$1:$F$1,0),0)</f>
        <v>Lt</v>
      </c>
      <c r="J498" s="39">
        <f>VLOOKUP('Data 1'!$B498,'Data 2'!$A$1:$F$46,MATCH('Data 1'!J$1,'Data 2'!$A$1:$F$1,0),0)</f>
        <v>55</v>
      </c>
      <c r="K498" s="39">
        <f>VLOOKUP('Data 1'!$B498,'Data 2'!$A$1:$F$46,MATCH('Data 1'!K$1,'Data 2'!$A$1:$F$1,0),0)</f>
        <v>58.3</v>
      </c>
      <c r="L498" s="40">
        <f>SUM('Data 1'!$J498*'Data 1'!$C498)</f>
        <v>440</v>
      </c>
      <c r="M498" s="40">
        <f>'Data 1'!$C498*'Data 1'!$K498</f>
        <v>466.4</v>
      </c>
      <c r="N498" s="40">
        <f>'Data 1'!$M498-'Data 1'!$L498</f>
        <v>26.399999999999977</v>
      </c>
      <c r="O498" s="37">
        <f>DAY('Data 1'!$A498)</f>
        <v>18</v>
      </c>
      <c r="P498" s="37" t="str">
        <f>TEXT('Data 1'!$A498,"mmm")</f>
        <v>Nov</v>
      </c>
      <c r="Q498" s="41">
        <f>YEAR('Data 1'!$A498)</f>
        <v>2022</v>
      </c>
    </row>
    <row r="499" spans="1:17" x14ac:dyDescent="0.3">
      <c r="A499" s="35">
        <v>44886</v>
      </c>
      <c r="B499" s="36" t="s">
        <v>33</v>
      </c>
      <c r="C499" s="37">
        <v>6</v>
      </c>
      <c r="D499" s="37" t="s">
        <v>21</v>
      </c>
      <c r="E499" s="37" t="s">
        <v>19</v>
      </c>
      <c r="F499" s="38">
        <v>0</v>
      </c>
      <c r="G499" s="42" t="str">
        <f>VLOOKUP('Data 1'!$B499,'Data 2'!$A$1:$F$46,MATCH('Data 1'!G$1,'Data 2'!$A$1:$F$1,0),0)</f>
        <v>Product20</v>
      </c>
      <c r="H499" s="42" t="str">
        <f>VLOOKUP('Data 1'!$B499,'Data 2'!$A$1:$F$46,MATCH('Data 1'!H$1,'Data 2'!$A$1:$F$1,0),0)</f>
        <v>Category03</v>
      </c>
      <c r="I499" s="42" t="str">
        <f>VLOOKUP('Data 1'!$B499,'Data 2'!$A$1:$F$46,MATCH('Data 1'!I$1,'Data 2'!$A$1:$F$1,0),0)</f>
        <v>Lt</v>
      </c>
      <c r="J499" s="42">
        <f>VLOOKUP('Data 1'!$B499,'Data 2'!$A$1:$F$46,MATCH('Data 1'!J$1,'Data 2'!$A$1:$F$1,0),0)</f>
        <v>61</v>
      </c>
      <c r="K499" s="42">
        <f>VLOOKUP('Data 1'!$B499,'Data 2'!$A$1:$F$46,MATCH('Data 1'!K$1,'Data 2'!$A$1:$F$1,0),0)</f>
        <v>76.25</v>
      </c>
      <c r="L499" s="40">
        <f>SUM('Data 1'!$J499*'Data 1'!$C499)</f>
        <v>366</v>
      </c>
      <c r="M499" s="40">
        <f>'Data 1'!$C499*'Data 1'!$K499</f>
        <v>457.5</v>
      </c>
      <c r="N499" s="40">
        <f>'Data 1'!$M499-'Data 1'!$L499</f>
        <v>91.5</v>
      </c>
      <c r="O499" s="37">
        <f>DAY('Data 1'!$A499)</f>
        <v>21</v>
      </c>
      <c r="P499" s="37" t="str">
        <f>TEXT('Data 1'!$A499,"mmm")</f>
        <v>Nov</v>
      </c>
      <c r="Q499" s="41">
        <f>YEAR('Data 1'!$A499)</f>
        <v>2022</v>
      </c>
    </row>
    <row r="500" spans="1:17" x14ac:dyDescent="0.3">
      <c r="A500" s="35">
        <v>44888</v>
      </c>
      <c r="B500" s="36" t="s">
        <v>62</v>
      </c>
      <c r="C500" s="37">
        <v>12</v>
      </c>
      <c r="D500" s="37" t="s">
        <v>17</v>
      </c>
      <c r="E500" s="37" t="s">
        <v>17</v>
      </c>
      <c r="F500" s="38">
        <v>0</v>
      </c>
      <c r="G500" s="39" t="str">
        <f>VLOOKUP('Data 1'!$B500,'Data 2'!$A$1:$F$46,MATCH('Data 1'!G$1,'Data 2'!$A$1:$F$1,0),0)</f>
        <v>Product36</v>
      </c>
      <c r="H500" s="39" t="str">
        <f>VLOOKUP('Data 1'!$B500,'Data 2'!$A$1:$F$46,MATCH('Data 1'!H$1,'Data 2'!$A$1:$F$1,0),0)</f>
        <v>Category04</v>
      </c>
      <c r="I500" s="39" t="str">
        <f>VLOOKUP('Data 1'!$B500,'Data 2'!$A$1:$F$46,MATCH('Data 1'!I$1,'Data 2'!$A$1:$F$1,0),0)</f>
        <v>Kg</v>
      </c>
      <c r="J500" s="39">
        <f>VLOOKUP('Data 1'!$B500,'Data 2'!$A$1:$F$46,MATCH('Data 1'!J$1,'Data 2'!$A$1:$F$1,0),0)</f>
        <v>90</v>
      </c>
      <c r="K500" s="39">
        <f>VLOOKUP('Data 1'!$B500,'Data 2'!$A$1:$F$46,MATCH('Data 1'!K$1,'Data 2'!$A$1:$F$1,0),0)</f>
        <v>96.3</v>
      </c>
      <c r="L500" s="40">
        <f>SUM('Data 1'!$J500*'Data 1'!$C500)</f>
        <v>1080</v>
      </c>
      <c r="M500" s="40">
        <f>'Data 1'!$C500*'Data 1'!$K500</f>
        <v>1155.5999999999999</v>
      </c>
      <c r="N500" s="40">
        <f>'Data 1'!$M500-'Data 1'!$L500</f>
        <v>75.599999999999909</v>
      </c>
      <c r="O500" s="37">
        <f>DAY('Data 1'!$A500)</f>
        <v>23</v>
      </c>
      <c r="P500" s="37" t="str">
        <f>TEXT('Data 1'!$A500,"mmm")</f>
        <v>Nov</v>
      </c>
      <c r="Q500" s="41">
        <f>YEAR('Data 1'!$A500)</f>
        <v>2022</v>
      </c>
    </row>
    <row r="501" spans="1:17" x14ac:dyDescent="0.3">
      <c r="A501" s="35">
        <v>44890</v>
      </c>
      <c r="B501" s="36" t="s">
        <v>22</v>
      </c>
      <c r="C501" s="37">
        <v>5</v>
      </c>
      <c r="D501" s="37" t="s">
        <v>21</v>
      </c>
      <c r="E501" s="37" t="s">
        <v>19</v>
      </c>
      <c r="F501" s="38">
        <v>0</v>
      </c>
      <c r="G501" s="42" t="str">
        <f>VLOOKUP('Data 1'!$B501,'Data 2'!$A$1:$F$46,MATCH('Data 1'!G$1,'Data 2'!$A$1:$F$1,0),0)</f>
        <v>Product04</v>
      </c>
      <c r="H501" s="42" t="str">
        <f>VLOOKUP('Data 1'!$B501,'Data 2'!$A$1:$F$46,MATCH('Data 1'!H$1,'Data 2'!$A$1:$F$1,0),0)</f>
        <v>Category01</v>
      </c>
      <c r="I501" s="42" t="str">
        <f>VLOOKUP('Data 1'!$B501,'Data 2'!$A$1:$F$46,MATCH('Data 1'!I$1,'Data 2'!$A$1:$F$1,0),0)</f>
        <v>Lt</v>
      </c>
      <c r="J501" s="42">
        <f>VLOOKUP('Data 1'!$B501,'Data 2'!$A$1:$F$46,MATCH('Data 1'!J$1,'Data 2'!$A$1:$F$1,0),0)</f>
        <v>44</v>
      </c>
      <c r="K501" s="42">
        <f>VLOOKUP('Data 1'!$B501,'Data 2'!$A$1:$F$46,MATCH('Data 1'!K$1,'Data 2'!$A$1:$F$1,0),0)</f>
        <v>48.84</v>
      </c>
      <c r="L501" s="40">
        <f>SUM('Data 1'!$J501*'Data 1'!$C501)</f>
        <v>220</v>
      </c>
      <c r="M501" s="40">
        <f>'Data 1'!$C501*'Data 1'!$K501</f>
        <v>244.20000000000002</v>
      </c>
      <c r="N501" s="40">
        <f>'Data 1'!$M501-'Data 1'!$L501</f>
        <v>24.200000000000017</v>
      </c>
      <c r="O501" s="37">
        <f>DAY('Data 1'!$A501)</f>
        <v>25</v>
      </c>
      <c r="P501" s="37" t="str">
        <f>TEXT('Data 1'!$A501,"mmm")</f>
        <v>Nov</v>
      </c>
      <c r="Q501" s="41">
        <f>YEAR('Data 1'!$A501)</f>
        <v>2022</v>
      </c>
    </row>
    <row r="502" spans="1:17" x14ac:dyDescent="0.3">
      <c r="A502" s="35">
        <v>44891</v>
      </c>
      <c r="B502" s="36" t="s">
        <v>37</v>
      </c>
      <c r="C502" s="37">
        <v>5</v>
      </c>
      <c r="D502" s="37" t="s">
        <v>21</v>
      </c>
      <c r="E502" s="37" t="s">
        <v>17</v>
      </c>
      <c r="F502" s="38">
        <v>0</v>
      </c>
      <c r="G502" s="39" t="str">
        <f>VLOOKUP('Data 1'!$B502,'Data 2'!$A$1:$F$46,MATCH('Data 1'!G$1,'Data 2'!$A$1:$F$1,0),0)</f>
        <v>Product32</v>
      </c>
      <c r="H502" s="39" t="str">
        <f>VLOOKUP('Data 1'!$B502,'Data 2'!$A$1:$F$46,MATCH('Data 1'!H$1,'Data 2'!$A$1:$F$1,0),0)</f>
        <v>Category04</v>
      </c>
      <c r="I502" s="39" t="str">
        <f>VLOOKUP('Data 1'!$B502,'Data 2'!$A$1:$F$46,MATCH('Data 1'!I$1,'Data 2'!$A$1:$F$1,0),0)</f>
        <v>Kg</v>
      </c>
      <c r="J502" s="39">
        <f>VLOOKUP('Data 1'!$B502,'Data 2'!$A$1:$F$46,MATCH('Data 1'!J$1,'Data 2'!$A$1:$F$1,0),0)</f>
        <v>89</v>
      </c>
      <c r="K502" s="39">
        <f>VLOOKUP('Data 1'!$B502,'Data 2'!$A$1:$F$46,MATCH('Data 1'!K$1,'Data 2'!$A$1:$F$1,0),0)</f>
        <v>117.48</v>
      </c>
      <c r="L502" s="40">
        <f>SUM('Data 1'!$J502*'Data 1'!$C502)</f>
        <v>445</v>
      </c>
      <c r="M502" s="40">
        <f>'Data 1'!$C502*'Data 1'!$K502</f>
        <v>587.4</v>
      </c>
      <c r="N502" s="40">
        <f>'Data 1'!$M502-'Data 1'!$L502</f>
        <v>142.39999999999998</v>
      </c>
      <c r="O502" s="37">
        <f>DAY('Data 1'!$A502)</f>
        <v>26</v>
      </c>
      <c r="P502" s="37" t="str">
        <f>TEXT('Data 1'!$A502,"mmm")</f>
        <v>Nov</v>
      </c>
      <c r="Q502" s="41">
        <f>YEAR('Data 1'!$A502)</f>
        <v>2022</v>
      </c>
    </row>
    <row r="503" spans="1:17" x14ac:dyDescent="0.3">
      <c r="A503" s="35">
        <v>44892</v>
      </c>
      <c r="B503" s="36" t="s">
        <v>32</v>
      </c>
      <c r="C503" s="37">
        <v>15</v>
      </c>
      <c r="D503" s="37" t="s">
        <v>21</v>
      </c>
      <c r="E503" s="37" t="s">
        <v>17</v>
      </c>
      <c r="F503" s="38">
        <v>0</v>
      </c>
      <c r="G503" s="42" t="str">
        <f>VLOOKUP('Data 1'!$B503,'Data 2'!$A$1:$F$46,MATCH('Data 1'!G$1,'Data 2'!$A$1:$F$1,0),0)</f>
        <v>Product34</v>
      </c>
      <c r="H503" s="42" t="str">
        <f>VLOOKUP('Data 1'!$B503,'Data 2'!$A$1:$F$46,MATCH('Data 1'!H$1,'Data 2'!$A$1:$F$1,0),0)</f>
        <v>Category04</v>
      </c>
      <c r="I503" s="42" t="str">
        <f>VLOOKUP('Data 1'!$B503,'Data 2'!$A$1:$F$46,MATCH('Data 1'!I$1,'Data 2'!$A$1:$F$1,0),0)</f>
        <v>Lt</v>
      </c>
      <c r="J503" s="42">
        <f>VLOOKUP('Data 1'!$B503,'Data 2'!$A$1:$F$46,MATCH('Data 1'!J$1,'Data 2'!$A$1:$F$1,0),0)</f>
        <v>55</v>
      </c>
      <c r="K503" s="42">
        <f>VLOOKUP('Data 1'!$B503,'Data 2'!$A$1:$F$46,MATCH('Data 1'!K$1,'Data 2'!$A$1:$F$1,0),0)</f>
        <v>58.3</v>
      </c>
      <c r="L503" s="40">
        <f>SUM('Data 1'!$J503*'Data 1'!$C503)</f>
        <v>825</v>
      </c>
      <c r="M503" s="40">
        <f>'Data 1'!$C503*'Data 1'!$K503</f>
        <v>874.5</v>
      </c>
      <c r="N503" s="40">
        <f>'Data 1'!$M503-'Data 1'!$L503</f>
        <v>49.5</v>
      </c>
      <c r="O503" s="37">
        <f>DAY('Data 1'!$A503)</f>
        <v>27</v>
      </c>
      <c r="P503" s="37" t="str">
        <f>TEXT('Data 1'!$A503,"mmm")</f>
        <v>Nov</v>
      </c>
      <c r="Q503" s="41">
        <f>YEAR('Data 1'!$A503)</f>
        <v>2022</v>
      </c>
    </row>
    <row r="504" spans="1:17" x14ac:dyDescent="0.3">
      <c r="A504" s="35">
        <v>44893</v>
      </c>
      <c r="B504" s="36" t="s">
        <v>24</v>
      </c>
      <c r="C504" s="37">
        <v>8</v>
      </c>
      <c r="D504" s="37" t="s">
        <v>21</v>
      </c>
      <c r="E504" s="37" t="s">
        <v>19</v>
      </c>
      <c r="F504" s="38">
        <v>0</v>
      </c>
      <c r="G504" s="39" t="str">
        <f>VLOOKUP('Data 1'!$B504,'Data 2'!$A$1:$F$46,MATCH('Data 1'!G$1,'Data 2'!$A$1:$F$1,0),0)</f>
        <v>Product31</v>
      </c>
      <c r="H504" s="39" t="str">
        <f>VLOOKUP('Data 1'!$B504,'Data 2'!$A$1:$F$46,MATCH('Data 1'!H$1,'Data 2'!$A$1:$F$1,0),0)</f>
        <v>Category04</v>
      </c>
      <c r="I504" s="39" t="str">
        <f>VLOOKUP('Data 1'!$B504,'Data 2'!$A$1:$F$46,MATCH('Data 1'!I$1,'Data 2'!$A$1:$F$1,0),0)</f>
        <v>Kg</v>
      </c>
      <c r="J504" s="39">
        <f>VLOOKUP('Data 1'!$B504,'Data 2'!$A$1:$F$46,MATCH('Data 1'!J$1,'Data 2'!$A$1:$F$1,0),0)</f>
        <v>93</v>
      </c>
      <c r="K504" s="39">
        <f>VLOOKUP('Data 1'!$B504,'Data 2'!$A$1:$F$46,MATCH('Data 1'!K$1,'Data 2'!$A$1:$F$1,0),0)</f>
        <v>104.16</v>
      </c>
      <c r="L504" s="40">
        <f>SUM('Data 1'!$J504*'Data 1'!$C504)</f>
        <v>744</v>
      </c>
      <c r="M504" s="40">
        <f>'Data 1'!$C504*'Data 1'!$K504</f>
        <v>833.28</v>
      </c>
      <c r="N504" s="40">
        <f>'Data 1'!$M504-'Data 1'!$L504</f>
        <v>89.279999999999973</v>
      </c>
      <c r="O504" s="37">
        <f>DAY('Data 1'!$A504)</f>
        <v>28</v>
      </c>
      <c r="P504" s="37" t="str">
        <f>TEXT('Data 1'!$A504,"mmm")</f>
        <v>Nov</v>
      </c>
      <c r="Q504" s="41">
        <f>YEAR('Data 1'!$A504)</f>
        <v>2022</v>
      </c>
    </row>
    <row r="505" spans="1:17" x14ac:dyDescent="0.3">
      <c r="A505" s="35">
        <v>44895</v>
      </c>
      <c r="B505" s="36" t="s">
        <v>46</v>
      </c>
      <c r="C505" s="37">
        <v>2</v>
      </c>
      <c r="D505" s="37" t="s">
        <v>21</v>
      </c>
      <c r="E505" s="37" t="s">
        <v>17</v>
      </c>
      <c r="F505" s="38">
        <v>0</v>
      </c>
      <c r="G505" s="42" t="str">
        <f>VLOOKUP('Data 1'!$B505,'Data 2'!$A$1:$F$46,MATCH('Data 1'!G$1,'Data 2'!$A$1:$F$1,0),0)</f>
        <v>Product15</v>
      </c>
      <c r="H505" s="42" t="str">
        <f>VLOOKUP('Data 1'!$B505,'Data 2'!$A$1:$F$46,MATCH('Data 1'!H$1,'Data 2'!$A$1:$F$1,0),0)</f>
        <v>Category02</v>
      </c>
      <c r="I505" s="42" t="str">
        <f>VLOOKUP('Data 1'!$B505,'Data 2'!$A$1:$F$46,MATCH('Data 1'!I$1,'Data 2'!$A$1:$F$1,0),0)</f>
        <v>No.</v>
      </c>
      <c r="J505" s="42">
        <f>VLOOKUP('Data 1'!$B505,'Data 2'!$A$1:$F$46,MATCH('Data 1'!J$1,'Data 2'!$A$1:$F$1,0),0)</f>
        <v>12</v>
      </c>
      <c r="K505" s="42">
        <f>VLOOKUP('Data 1'!$B505,'Data 2'!$A$1:$F$46,MATCH('Data 1'!K$1,'Data 2'!$A$1:$F$1,0),0)</f>
        <v>15.719999999999999</v>
      </c>
      <c r="L505" s="40">
        <f>SUM('Data 1'!$J505*'Data 1'!$C505)</f>
        <v>24</v>
      </c>
      <c r="M505" s="40">
        <f>'Data 1'!$C505*'Data 1'!$K505</f>
        <v>31.439999999999998</v>
      </c>
      <c r="N505" s="40">
        <f>'Data 1'!$M505-'Data 1'!$L505</f>
        <v>7.4399999999999977</v>
      </c>
      <c r="O505" s="37">
        <f>DAY('Data 1'!$A505)</f>
        <v>30</v>
      </c>
      <c r="P505" s="37" t="str">
        <f>TEXT('Data 1'!$A505,"mmm")</f>
        <v>Nov</v>
      </c>
      <c r="Q505" s="41">
        <f>YEAR('Data 1'!$A505)</f>
        <v>2022</v>
      </c>
    </row>
    <row r="506" spans="1:17" x14ac:dyDescent="0.3">
      <c r="A506" s="35">
        <v>44898</v>
      </c>
      <c r="B506" s="36" t="s">
        <v>52</v>
      </c>
      <c r="C506" s="37">
        <v>5</v>
      </c>
      <c r="D506" s="37" t="s">
        <v>16</v>
      </c>
      <c r="E506" s="37" t="s">
        <v>19</v>
      </c>
      <c r="F506" s="38">
        <v>0</v>
      </c>
      <c r="G506" s="39" t="str">
        <f>VLOOKUP('Data 1'!$B506,'Data 2'!$A$1:$F$46,MATCH('Data 1'!G$1,'Data 2'!$A$1:$F$1,0),0)</f>
        <v>Product28</v>
      </c>
      <c r="H506" s="39" t="str">
        <f>VLOOKUP('Data 1'!$B506,'Data 2'!$A$1:$F$46,MATCH('Data 1'!H$1,'Data 2'!$A$1:$F$1,0),0)</f>
        <v>Category04</v>
      </c>
      <c r="I506" s="39" t="str">
        <f>VLOOKUP('Data 1'!$B506,'Data 2'!$A$1:$F$46,MATCH('Data 1'!I$1,'Data 2'!$A$1:$F$1,0),0)</f>
        <v>No.</v>
      </c>
      <c r="J506" s="39">
        <f>VLOOKUP('Data 1'!$B506,'Data 2'!$A$1:$F$46,MATCH('Data 1'!J$1,'Data 2'!$A$1:$F$1,0),0)</f>
        <v>37</v>
      </c>
      <c r="K506" s="39">
        <f>VLOOKUP('Data 1'!$B506,'Data 2'!$A$1:$F$46,MATCH('Data 1'!K$1,'Data 2'!$A$1:$F$1,0),0)</f>
        <v>41.81</v>
      </c>
      <c r="L506" s="40">
        <f>SUM('Data 1'!$J506*'Data 1'!$C506)</f>
        <v>185</v>
      </c>
      <c r="M506" s="40">
        <f>'Data 1'!$C506*'Data 1'!$K506</f>
        <v>209.05</v>
      </c>
      <c r="N506" s="40">
        <f>'Data 1'!$M506-'Data 1'!$L506</f>
        <v>24.050000000000011</v>
      </c>
      <c r="O506" s="37">
        <f>DAY('Data 1'!$A506)</f>
        <v>3</v>
      </c>
      <c r="P506" s="37" t="str">
        <f>TEXT('Data 1'!$A506,"mmm")</f>
        <v>Dec</v>
      </c>
      <c r="Q506" s="41">
        <f>YEAR('Data 1'!$A506)</f>
        <v>2022</v>
      </c>
    </row>
    <row r="507" spans="1:17" x14ac:dyDescent="0.3">
      <c r="A507" s="35">
        <v>44899</v>
      </c>
      <c r="B507" s="36" t="s">
        <v>61</v>
      </c>
      <c r="C507" s="37">
        <v>10</v>
      </c>
      <c r="D507" s="37" t="s">
        <v>21</v>
      </c>
      <c r="E507" s="37" t="s">
        <v>19</v>
      </c>
      <c r="F507" s="38">
        <v>0</v>
      </c>
      <c r="G507" s="42" t="str">
        <f>VLOOKUP('Data 1'!$B507,'Data 2'!$A$1:$F$46,MATCH('Data 1'!G$1,'Data 2'!$A$1:$F$1,0),0)</f>
        <v>Product26</v>
      </c>
      <c r="H507" s="42" t="str">
        <f>VLOOKUP('Data 1'!$B507,'Data 2'!$A$1:$F$46,MATCH('Data 1'!H$1,'Data 2'!$A$1:$F$1,0),0)</f>
        <v>Category04</v>
      </c>
      <c r="I507" s="42" t="str">
        <f>VLOOKUP('Data 1'!$B507,'Data 2'!$A$1:$F$46,MATCH('Data 1'!I$1,'Data 2'!$A$1:$F$1,0),0)</f>
        <v>No.</v>
      </c>
      <c r="J507" s="42">
        <f>VLOOKUP('Data 1'!$B507,'Data 2'!$A$1:$F$46,MATCH('Data 1'!J$1,'Data 2'!$A$1:$F$1,0),0)</f>
        <v>18</v>
      </c>
      <c r="K507" s="42">
        <f>VLOOKUP('Data 1'!$B507,'Data 2'!$A$1:$F$46,MATCH('Data 1'!K$1,'Data 2'!$A$1:$F$1,0),0)</f>
        <v>24.66</v>
      </c>
      <c r="L507" s="40">
        <f>SUM('Data 1'!$J507*'Data 1'!$C507)</f>
        <v>180</v>
      </c>
      <c r="M507" s="40">
        <f>'Data 1'!$C507*'Data 1'!$K507</f>
        <v>246.6</v>
      </c>
      <c r="N507" s="40">
        <f>'Data 1'!$M507-'Data 1'!$L507</f>
        <v>66.599999999999994</v>
      </c>
      <c r="O507" s="37">
        <f>DAY('Data 1'!$A507)</f>
        <v>4</v>
      </c>
      <c r="P507" s="37" t="str">
        <f>TEXT('Data 1'!$A507,"mmm")</f>
        <v>Dec</v>
      </c>
      <c r="Q507" s="41">
        <f>YEAR('Data 1'!$A507)</f>
        <v>2022</v>
      </c>
    </row>
    <row r="508" spans="1:17" x14ac:dyDescent="0.3">
      <c r="A508" s="35">
        <v>44899</v>
      </c>
      <c r="B508" s="36" t="s">
        <v>30</v>
      </c>
      <c r="C508" s="37">
        <v>15</v>
      </c>
      <c r="D508" s="37" t="s">
        <v>21</v>
      </c>
      <c r="E508" s="37" t="s">
        <v>19</v>
      </c>
      <c r="F508" s="38">
        <v>0</v>
      </c>
      <c r="G508" s="39" t="str">
        <f>VLOOKUP('Data 1'!$B508,'Data 2'!$A$1:$F$46,MATCH('Data 1'!G$1,'Data 2'!$A$1:$F$1,0),0)</f>
        <v>Product44</v>
      </c>
      <c r="H508" s="39" t="str">
        <f>VLOOKUP('Data 1'!$B508,'Data 2'!$A$1:$F$46,MATCH('Data 1'!H$1,'Data 2'!$A$1:$F$1,0),0)</f>
        <v>Category05</v>
      </c>
      <c r="I508" s="39" t="str">
        <f>VLOOKUP('Data 1'!$B508,'Data 2'!$A$1:$F$46,MATCH('Data 1'!I$1,'Data 2'!$A$1:$F$1,0),0)</f>
        <v>Kg</v>
      </c>
      <c r="J508" s="39">
        <f>VLOOKUP('Data 1'!$B508,'Data 2'!$A$1:$F$46,MATCH('Data 1'!J$1,'Data 2'!$A$1:$F$1,0),0)</f>
        <v>76</v>
      </c>
      <c r="K508" s="39">
        <f>VLOOKUP('Data 1'!$B508,'Data 2'!$A$1:$F$46,MATCH('Data 1'!K$1,'Data 2'!$A$1:$F$1,0),0)</f>
        <v>82.08</v>
      </c>
      <c r="L508" s="40">
        <f>SUM('Data 1'!$J508*'Data 1'!$C508)</f>
        <v>1140</v>
      </c>
      <c r="M508" s="40">
        <f>'Data 1'!$C508*'Data 1'!$K508</f>
        <v>1231.2</v>
      </c>
      <c r="N508" s="40">
        <f>'Data 1'!$M508-'Data 1'!$L508</f>
        <v>91.200000000000045</v>
      </c>
      <c r="O508" s="37">
        <f>DAY('Data 1'!$A508)</f>
        <v>4</v>
      </c>
      <c r="P508" s="37" t="str">
        <f>TEXT('Data 1'!$A508,"mmm")</f>
        <v>Dec</v>
      </c>
      <c r="Q508" s="41">
        <f>YEAR('Data 1'!$A508)</f>
        <v>2022</v>
      </c>
    </row>
    <row r="509" spans="1:17" x14ac:dyDescent="0.3">
      <c r="A509" s="35">
        <v>44902</v>
      </c>
      <c r="B509" s="36" t="s">
        <v>18</v>
      </c>
      <c r="C509" s="37">
        <v>12</v>
      </c>
      <c r="D509" s="37" t="s">
        <v>21</v>
      </c>
      <c r="E509" s="37" t="s">
        <v>19</v>
      </c>
      <c r="F509" s="38">
        <v>0</v>
      </c>
      <c r="G509" s="42" t="str">
        <f>VLOOKUP('Data 1'!$B509,'Data 2'!$A$1:$F$46,MATCH('Data 1'!G$1,'Data 2'!$A$1:$F$1,0),0)</f>
        <v>Product38</v>
      </c>
      <c r="H509" s="42" t="str">
        <f>VLOOKUP('Data 1'!$B509,'Data 2'!$A$1:$F$46,MATCH('Data 1'!H$1,'Data 2'!$A$1:$F$1,0),0)</f>
        <v>Category05</v>
      </c>
      <c r="I509" s="42" t="str">
        <f>VLOOKUP('Data 1'!$B509,'Data 2'!$A$1:$F$46,MATCH('Data 1'!I$1,'Data 2'!$A$1:$F$1,0),0)</f>
        <v>Kg</v>
      </c>
      <c r="J509" s="42">
        <f>VLOOKUP('Data 1'!$B509,'Data 2'!$A$1:$F$46,MATCH('Data 1'!J$1,'Data 2'!$A$1:$F$1,0),0)</f>
        <v>72</v>
      </c>
      <c r="K509" s="42">
        <f>VLOOKUP('Data 1'!$B509,'Data 2'!$A$1:$F$46,MATCH('Data 1'!K$1,'Data 2'!$A$1:$F$1,0),0)</f>
        <v>79.92</v>
      </c>
      <c r="L509" s="40">
        <f>SUM('Data 1'!$J509*'Data 1'!$C509)</f>
        <v>864</v>
      </c>
      <c r="M509" s="40">
        <f>'Data 1'!$C509*'Data 1'!$K509</f>
        <v>959.04</v>
      </c>
      <c r="N509" s="40">
        <f>'Data 1'!$M509-'Data 1'!$L509</f>
        <v>95.039999999999964</v>
      </c>
      <c r="O509" s="37">
        <f>DAY('Data 1'!$A509)</f>
        <v>7</v>
      </c>
      <c r="P509" s="37" t="str">
        <f>TEXT('Data 1'!$A509,"mmm")</f>
        <v>Dec</v>
      </c>
      <c r="Q509" s="41">
        <f>YEAR('Data 1'!$A509)</f>
        <v>2022</v>
      </c>
    </row>
    <row r="510" spans="1:17" x14ac:dyDescent="0.3">
      <c r="A510" s="35">
        <v>44902</v>
      </c>
      <c r="B510" s="36" t="s">
        <v>40</v>
      </c>
      <c r="C510" s="37">
        <v>13</v>
      </c>
      <c r="D510" s="37" t="s">
        <v>21</v>
      </c>
      <c r="E510" s="37" t="s">
        <v>17</v>
      </c>
      <c r="F510" s="38">
        <v>0</v>
      </c>
      <c r="G510" s="39" t="str">
        <f>VLOOKUP('Data 1'!$B510,'Data 2'!$A$1:$F$46,MATCH('Data 1'!G$1,'Data 2'!$A$1:$F$1,0),0)</f>
        <v>Product16</v>
      </c>
      <c r="H510" s="39" t="str">
        <f>VLOOKUP('Data 1'!$B510,'Data 2'!$A$1:$F$46,MATCH('Data 1'!H$1,'Data 2'!$A$1:$F$1,0),0)</f>
        <v>Category02</v>
      </c>
      <c r="I510" s="39" t="str">
        <f>VLOOKUP('Data 1'!$B510,'Data 2'!$A$1:$F$46,MATCH('Data 1'!I$1,'Data 2'!$A$1:$F$1,0),0)</f>
        <v>No.</v>
      </c>
      <c r="J510" s="39">
        <f>VLOOKUP('Data 1'!$B510,'Data 2'!$A$1:$F$46,MATCH('Data 1'!J$1,'Data 2'!$A$1:$F$1,0),0)</f>
        <v>13</v>
      </c>
      <c r="K510" s="39">
        <f>VLOOKUP('Data 1'!$B510,'Data 2'!$A$1:$F$46,MATCH('Data 1'!K$1,'Data 2'!$A$1:$F$1,0),0)</f>
        <v>16.64</v>
      </c>
      <c r="L510" s="40">
        <f>SUM('Data 1'!$J510*'Data 1'!$C510)</f>
        <v>169</v>
      </c>
      <c r="M510" s="40">
        <f>'Data 1'!$C510*'Data 1'!$K510</f>
        <v>216.32</v>
      </c>
      <c r="N510" s="40">
        <f>'Data 1'!$M510-'Data 1'!$L510</f>
        <v>47.319999999999993</v>
      </c>
      <c r="O510" s="37">
        <f>DAY('Data 1'!$A510)</f>
        <v>7</v>
      </c>
      <c r="P510" s="37" t="str">
        <f>TEXT('Data 1'!$A510,"mmm")</f>
        <v>Dec</v>
      </c>
      <c r="Q510" s="41">
        <f>YEAR('Data 1'!$A510)</f>
        <v>2022</v>
      </c>
    </row>
    <row r="511" spans="1:17" x14ac:dyDescent="0.3">
      <c r="A511" s="35">
        <v>44902</v>
      </c>
      <c r="B511" s="36" t="s">
        <v>18</v>
      </c>
      <c r="C511" s="37">
        <v>5</v>
      </c>
      <c r="D511" s="37" t="s">
        <v>21</v>
      </c>
      <c r="E511" s="37" t="s">
        <v>19</v>
      </c>
      <c r="F511" s="38">
        <v>0</v>
      </c>
      <c r="G511" s="42" t="str">
        <f>VLOOKUP('Data 1'!$B511,'Data 2'!$A$1:$F$46,MATCH('Data 1'!G$1,'Data 2'!$A$1:$F$1,0),0)</f>
        <v>Product38</v>
      </c>
      <c r="H511" s="42" t="str">
        <f>VLOOKUP('Data 1'!$B511,'Data 2'!$A$1:$F$46,MATCH('Data 1'!H$1,'Data 2'!$A$1:$F$1,0),0)</f>
        <v>Category05</v>
      </c>
      <c r="I511" s="42" t="str">
        <f>VLOOKUP('Data 1'!$B511,'Data 2'!$A$1:$F$46,MATCH('Data 1'!I$1,'Data 2'!$A$1:$F$1,0),0)</f>
        <v>Kg</v>
      </c>
      <c r="J511" s="42">
        <f>VLOOKUP('Data 1'!$B511,'Data 2'!$A$1:$F$46,MATCH('Data 1'!J$1,'Data 2'!$A$1:$F$1,0),0)</f>
        <v>72</v>
      </c>
      <c r="K511" s="42">
        <f>VLOOKUP('Data 1'!$B511,'Data 2'!$A$1:$F$46,MATCH('Data 1'!K$1,'Data 2'!$A$1:$F$1,0),0)</f>
        <v>79.92</v>
      </c>
      <c r="L511" s="40">
        <f>SUM('Data 1'!$J511*'Data 1'!$C511)</f>
        <v>360</v>
      </c>
      <c r="M511" s="40">
        <f>'Data 1'!$C511*'Data 1'!$K511</f>
        <v>399.6</v>
      </c>
      <c r="N511" s="40">
        <f>'Data 1'!$M511-'Data 1'!$L511</f>
        <v>39.600000000000023</v>
      </c>
      <c r="O511" s="37">
        <f>DAY('Data 1'!$A511)</f>
        <v>7</v>
      </c>
      <c r="P511" s="37" t="str">
        <f>TEXT('Data 1'!$A511,"mmm")</f>
        <v>Dec</v>
      </c>
      <c r="Q511" s="41">
        <f>YEAR('Data 1'!$A511)</f>
        <v>2022</v>
      </c>
    </row>
    <row r="512" spans="1:17" x14ac:dyDescent="0.3">
      <c r="A512" s="35">
        <v>44906</v>
      </c>
      <c r="B512" s="36" t="s">
        <v>45</v>
      </c>
      <c r="C512" s="37">
        <v>5</v>
      </c>
      <c r="D512" s="37" t="s">
        <v>21</v>
      </c>
      <c r="E512" s="37" t="s">
        <v>17</v>
      </c>
      <c r="F512" s="38">
        <v>0</v>
      </c>
      <c r="G512" s="39" t="str">
        <f>VLOOKUP('Data 1'!$B512,'Data 2'!$A$1:$F$46,MATCH('Data 1'!G$1,'Data 2'!$A$1:$F$1,0),0)</f>
        <v>Product27</v>
      </c>
      <c r="H512" s="39" t="str">
        <f>VLOOKUP('Data 1'!$B512,'Data 2'!$A$1:$F$46,MATCH('Data 1'!H$1,'Data 2'!$A$1:$F$1,0),0)</f>
        <v>Category04</v>
      </c>
      <c r="I512" s="39" t="str">
        <f>VLOOKUP('Data 1'!$B512,'Data 2'!$A$1:$F$46,MATCH('Data 1'!I$1,'Data 2'!$A$1:$F$1,0),0)</f>
        <v>Lt</v>
      </c>
      <c r="J512" s="39">
        <f>VLOOKUP('Data 1'!$B512,'Data 2'!$A$1:$F$46,MATCH('Data 1'!J$1,'Data 2'!$A$1:$F$1,0),0)</f>
        <v>48</v>
      </c>
      <c r="K512" s="39">
        <f>VLOOKUP('Data 1'!$B512,'Data 2'!$A$1:$F$46,MATCH('Data 1'!K$1,'Data 2'!$A$1:$F$1,0),0)</f>
        <v>57.120000000000005</v>
      </c>
      <c r="L512" s="40">
        <f>SUM('Data 1'!$J512*'Data 1'!$C512)</f>
        <v>240</v>
      </c>
      <c r="M512" s="40">
        <f>'Data 1'!$C512*'Data 1'!$K512</f>
        <v>285.60000000000002</v>
      </c>
      <c r="N512" s="40">
        <f>'Data 1'!$M512-'Data 1'!$L512</f>
        <v>45.600000000000023</v>
      </c>
      <c r="O512" s="37">
        <f>DAY('Data 1'!$A512)</f>
        <v>11</v>
      </c>
      <c r="P512" s="37" t="str">
        <f>TEXT('Data 1'!$A512,"mmm")</f>
        <v>Dec</v>
      </c>
      <c r="Q512" s="41">
        <f>YEAR('Data 1'!$A512)</f>
        <v>2022</v>
      </c>
    </row>
    <row r="513" spans="1:17" x14ac:dyDescent="0.3">
      <c r="A513" s="35">
        <v>44906</v>
      </c>
      <c r="B513" s="36" t="s">
        <v>20</v>
      </c>
      <c r="C513" s="37">
        <v>9</v>
      </c>
      <c r="D513" s="37" t="s">
        <v>16</v>
      </c>
      <c r="E513" s="37" t="s">
        <v>17</v>
      </c>
      <c r="F513" s="38">
        <v>0</v>
      </c>
      <c r="G513" s="42" t="str">
        <f>VLOOKUP('Data 1'!$B513,'Data 2'!$A$1:$F$46,MATCH('Data 1'!G$1,'Data 2'!$A$1:$F$1,0),0)</f>
        <v>Product13</v>
      </c>
      <c r="H513" s="42" t="str">
        <f>VLOOKUP('Data 1'!$B513,'Data 2'!$A$1:$F$46,MATCH('Data 1'!H$1,'Data 2'!$A$1:$F$1,0),0)</f>
        <v>Category02</v>
      </c>
      <c r="I513" s="42" t="str">
        <f>VLOOKUP('Data 1'!$B513,'Data 2'!$A$1:$F$46,MATCH('Data 1'!I$1,'Data 2'!$A$1:$F$1,0),0)</f>
        <v>Kg</v>
      </c>
      <c r="J513" s="42">
        <f>VLOOKUP('Data 1'!$B513,'Data 2'!$A$1:$F$46,MATCH('Data 1'!J$1,'Data 2'!$A$1:$F$1,0),0)</f>
        <v>112</v>
      </c>
      <c r="K513" s="42">
        <f>VLOOKUP('Data 1'!$B513,'Data 2'!$A$1:$F$46,MATCH('Data 1'!K$1,'Data 2'!$A$1:$F$1,0),0)</f>
        <v>122.08</v>
      </c>
      <c r="L513" s="40">
        <f>SUM('Data 1'!$J513*'Data 1'!$C513)</f>
        <v>1008</v>
      </c>
      <c r="M513" s="40">
        <f>'Data 1'!$C513*'Data 1'!$K513</f>
        <v>1098.72</v>
      </c>
      <c r="N513" s="40">
        <f>'Data 1'!$M513-'Data 1'!$L513</f>
        <v>90.720000000000027</v>
      </c>
      <c r="O513" s="37">
        <f>DAY('Data 1'!$A513)</f>
        <v>11</v>
      </c>
      <c r="P513" s="37" t="str">
        <f>TEXT('Data 1'!$A513,"mmm")</f>
        <v>Dec</v>
      </c>
      <c r="Q513" s="41">
        <f>YEAR('Data 1'!$A513)</f>
        <v>2022</v>
      </c>
    </row>
    <row r="514" spans="1:17" x14ac:dyDescent="0.3">
      <c r="A514" s="35">
        <v>44906</v>
      </c>
      <c r="B514" s="36" t="s">
        <v>28</v>
      </c>
      <c r="C514" s="37">
        <v>10</v>
      </c>
      <c r="D514" s="37" t="s">
        <v>17</v>
      </c>
      <c r="E514" s="37" t="s">
        <v>19</v>
      </c>
      <c r="F514" s="38">
        <v>0</v>
      </c>
      <c r="G514" s="39" t="str">
        <f>VLOOKUP('Data 1'!$B514,'Data 2'!$A$1:$F$46,MATCH('Data 1'!G$1,'Data 2'!$A$1:$F$1,0),0)</f>
        <v>Product14</v>
      </c>
      <c r="H514" s="39" t="str">
        <f>VLOOKUP('Data 1'!$B514,'Data 2'!$A$1:$F$46,MATCH('Data 1'!H$1,'Data 2'!$A$1:$F$1,0),0)</f>
        <v>Category02</v>
      </c>
      <c r="I514" s="39" t="str">
        <f>VLOOKUP('Data 1'!$B514,'Data 2'!$A$1:$F$46,MATCH('Data 1'!I$1,'Data 2'!$A$1:$F$1,0),0)</f>
        <v>Kg</v>
      </c>
      <c r="J514" s="39">
        <f>VLOOKUP('Data 1'!$B514,'Data 2'!$A$1:$F$46,MATCH('Data 1'!J$1,'Data 2'!$A$1:$F$1,0),0)</f>
        <v>112</v>
      </c>
      <c r="K514" s="39">
        <f>VLOOKUP('Data 1'!$B514,'Data 2'!$A$1:$F$46,MATCH('Data 1'!K$1,'Data 2'!$A$1:$F$1,0),0)</f>
        <v>146.72</v>
      </c>
      <c r="L514" s="40">
        <f>SUM('Data 1'!$J514*'Data 1'!$C514)</f>
        <v>1120</v>
      </c>
      <c r="M514" s="40">
        <f>'Data 1'!$C514*'Data 1'!$K514</f>
        <v>1467.2</v>
      </c>
      <c r="N514" s="40">
        <f>'Data 1'!$M514-'Data 1'!$L514</f>
        <v>347.20000000000005</v>
      </c>
      <c r="O514" s="37">
        <f>DAY('Data 1'!$A514)</f>
        <v>11</v>
      </c>
      <c r="P514" s="37" t="str">
        <f>TEXT('Data 1'!$A514,"mmm")</f>
        <v>Dec</v>
      </c>
      <c r="Q514" s="41">
        <f>YEAR('Data 1'!$A514)</f>
        <v>2022</v>
      </c>
    </row>
    <row r="515" spans="1:17" x14ac:dyDescent="0.3">
      <c r="A515" s="35">
        <v>44907</v>
      </c>
      <c r="B515" s="36" t="s">
        <v>47</v>
      </c>
      <c r="C515" s="37">
        <v>9</v>
      </c>
      <c r="D515" s="37" t="s">
        <v>16</v>
      </c>
      <c r="E515" s="37" t="s">
        <v>19</v>
      </c>
      <c r="F515" s="38">
        <v>0</v>
      </c>
      <c r="G515" s="42" t="str">
        <f>VLOOKUP('Data 1'!$B515,'Data 2'!$A$1:$F$46,MATCH('Data 1'!G$1,'Data 2'!$A$1:$F$1,0),0)</f>
        <v>Product30</v>
      </c>
      <c r="H515" s="42" t="str">
        <f>VLOOKUP('Data 1'!$B515,'Data 2'!$A$1:$F$46,MATCH('Data 1'!H$1,'Data 2'!$A$1:$F$1,0),0)</f>
        <v>Category04</v>
      </c>
      <c r="I515" s="42" t="str">
        <f>VLOOKUP('Data 1'!$B515,'Data 2'!$A$1:$F$46,MATCH('Data 1'!I$1,'Data 2'!$A$1:$F$1,0),0)</f>
        <v>Ft</v>
      </c>
      <c r="J515" s="42">
        <f>VLOOKUP('Data 1'!$B515,'Data 2'!$A$1:$F$46,MATCH('Data 1'!J$1,'Data 2'!$A$1:$F$1,0),0)</f>
        <v>148</v>
      </c>
      <c r="K515" s="42">
        <f>VLOOKUP('Data 1'!$B515,'Data 2'!$A$1:$F$46,MATCH('Data 1'!K$1,'Data 2'!$A$1:$F$1,0),0)</f>
        <v>201.28</v>
      </c>
      <c r="L515" s="40">
        <f>SUM('Data 1'!$J515*'Data 1'!$C515)</f>
        <v>1332</v>
      </c>
      <c r="M515" s="40">
        <f>'Data 1'!$C515*'Data 1'!$K515</f>
        <v>1811.52</v>
      </c>
      <c r="N515" s="40">
        <f>'Data 1'!$M515-'Data 1'!$L515</f>
        <v>479.52</v>
      </c>
      <c r="O515" s="37">
        <f>DAY('Data 1'!$A515)</f>
        <v>12</v>
      </c>
      <c r="P515" s="37" t="str">
        <f>TEXT('Data 1'!$A515,"mmm")</f>
        <v>Dec</v>
      </c>
      <c r="Q515" s="41">
        <f>YEAR('Data 1'!$A515)</f>
        <v>2022</v>
      </c>
    </row>
    <row r="516" spans="1:17" x14ac:dyDescent="0.3">
      <c r="A516" s="35">
        <v>44907</v>
      </c>
      <c r="B516" s="36" t="s">
        <v>60</v>
      </c>
      <c r="C516" s="37">
        <v>10</v>
      </c>
      <c r="D516" s="37" t="s">
        <v>16</v>
      </c>
      <c r="E516" s="37" t="s">
        <v>17</v>
      </c>
      <c r="F516" s="38">
        <v>0</v>
      </c>
      <c r="G516" s="39" t="str">
        <f>VLOOKUP('Data 1'!$B516,'Data 2'!$A$1:$F$46,MATCH('Data 1'!G$1,'Data 2'!$A$1:$F$1,0),0)</f>
        <v>Product41</v>
      </c>
      <c r="H516" s="39" t="str">
        <f>VLOOKUP('Data 1'!$B516,'Data 2'!$A$1:$F$46,MATCH('Data 1'!H$1,'Data 2'!$A$1:$F$1,0),0)</f>
        <v>Category05</v>
      </c>
      <c r="I516" s="39" t="str">
        <f>VLOOKUP('Data 1'!$B516,'Data 2'!$A$1:$F$46,MATCH('Data 1'!I$1,'Data 2'!$A$1:$F$1,0),0)</f>
        <v>Ft</v>
      </c>
      <c r="J516" s="39">
        <f>VLOOKUP('Data 1'!$B516,'Data 2'!$A$1:$F$46,MATCH('Data 1'!J$1,'Data 2'!$A$1:$F$1,0),0)</f>
        <v>138</v>
      </c>
      <c r="K516" s="39">
        <f>VLOOKUP('Data 1'!$B516,'Data 2'!$A$1:$F$46,MATCH('Data 1'!K$1,'Data 2'!$A$1:$F$1,0),0)</f>
        <v>173.88</v>
      </c>
      <c r="L516" s="40">
        <f>SUM('Data 1'!$J516*'Data 1'!$C516)</f>
        <v>1380</v>
      </c>
      <c r="M516" s="40">
        <f>'Data 1'!$C516*'Data 1'!$K516</f>
        <v>1738.8</v>
      </c>
      <c r="N516" s="40">
        <f>'Data 1'!$M516-'Data 1'!$L516</f>
        <v>358.79999999999995</v>
      </c>
      <c r="O516" s="37">
        <f>DAY('Data 1'!$A516)</f>
        <v>12</v>
      </c>
      <c r="P516" s="37" t="str">
        <f>TEXT('Data 1'!$A516,"mmm")</f>
        <v>Dec</v>
      </c>
      <c r="Q516" s="41">
        <f>YEAR('Data 1'!$A516)</f>
        <v>2022</v>
      </c>
    </row>
    <row r="517" spans="1:17" x14ac:dyDescent="0.3">
      <c r="A517" s="35">
        <v>44909</v>
      </c>
      <c r="B517" s="36" t="s">
        <v>43</v>
      </c>
      <c r="C517" s="37">
        <v>4</v>
      </c>
      <c r="D517" s="37" t="s">
        <v>21</v>
      </c>
      <c r="E517" s="37" t="s">
        <v>19</v>
      </c>
      <c r="F517" s="38">
        <v>0</v>
      </c>
      <c r="G517" s="42" t="str">
        <f>VLOOKUP('Data 1'!$B517,'Data 2'!$A$1:$F$46,MATCH('Data 1'!G$1,'Data 2'!$A$1:$F$1,0),0)</f>
        <v>Product05</v>
      </c>
      <c r="H517" s="42" t="str">
        <f>VLOOKUP('Data 1'!$B517,'Data 2'!$A$1:$F$46,MATCH('Data 1'!H$1,'Data 2'!$A$1:$F$1,0),0)</f>
        <v>Category01</v>
      </c>
      <c r="I517" s="42" t="str">
        <f>VLOOKUP('Data 1'!$B517,'Data 2'!$A$1:$F$46,MATCH('Data 1'!I$1,'Data 2'!$A$1:$F$1,0),0)</f>
        <v>Ft</v>
      </c>
      <c r="J517" s="42">
        <f>VLOOKUP('Data 1'!$B517,'Data 2'!$A$1:$F$46,MATCH('Data 1'!J$1,'Data 2'!$A$1:$F$1,0),0)</f>
        <v>133</v>
      </c>
      <c r="K517" s="42">
        <f>VLOOKUP('Data 1'!$B517,'Data 2'!$A$1:$F$46,MATCH('Data 1'!K$1,'Data 2'!$A$1:$F$1,0),0)</f>
        <v>155.61000000000001</v>
      </c>
      <c r="L517" s="40">
        <f>SUM('Data 1'!$J517*'Data 1'!$C517)</f>
        <v>532</v>
      </c>
      <c r="M517" s="40">
        <f>'Data 1'!$C517*'Data 1'!$K517</f>
        <v>622.44000000000005</v>
      </c>
      <c r="N517" s="40">
        <f>'Data 1'!$M517-'Data 1'!$L517</f>
        <v>90.440000000000055</v>
      </c>
      <c r="O517" s="37">
        <f>DAY('Data 1'!$A517)</f>
        <v>14</v>
      </c>
      <c r="P517" s="37" t="str">
        <f>TEXT('Data 1'!$A517,"mmm")</f>
        <v>Dec</v>
      </c>
      <c r="Q517" s="41">
        <f>YEAR('Data 1'!$A517)</f>
        <v>2022</v>
      </c>
    </row>
    <row r="518" spans="1:17" x14ac:dyDescent="0.3">
      <c r="A518" s="35">
        <v>44910</v>
      </c>
      <c r="B518" s="36" t="s">
        <v>56</v>
      </c>
      <c r="C518" s="37">
        <v>13</v>
      </c>
      <c r="D518" s="37" t="s">
        <v>21</v>
      </c>
      <c r="E518" s="37" t="s">
        <v>17</v>
      </c>
      <c r="F518" s="38">
        <v>0</v>
      </c>
      <c r="G518" s="39" t="str">
        <f>VLOOKUP('Data 1'!$B518,'Data 2'!$A$1:$F$46,MATCH('Data 1'!G$1,'Data 2'!$A$1:$F$1,0),0)</f>
        <v>Product09</v>
      </c>
      <c r="H518" s="39" t="str">
        <f>VLOOKUP('Data 1'!$B518,'Data 2'!$A$1:$F$46,MATCH('Data 1'!H$1,'Data 2'!$A$1:$F$1,0),0)</f>
        <v>Category03</v>
      </c>
      <c r="I518" s="39" t="str">
        <f>VLOOKUP('Data 1'!$B518,'Data 2'!$A$1:$F$46,MATCH('Data 1'!I$1,'Data 2'!$A$1:$F$1,0),0)</f>
        <v>No.</v>
      </c>
      <c r="J518" s="39">
        <f>VLOOKUP('Data 1'!$B518,'Data 2'!$A$1:$F$46,MATCH('Data 1'!J$1,'Data 2'!$A$1:$F$1,0),0)</f>
        <v>6</v>
      </c>
      <c r="K518" s="39">
        <f>VLOOKUP('Data 1'!$B518,'Data 2'!$A$1:$F$46,MATCH('Data 1'!K$1,'Data 2'!$A$1:$F$1,0),0)</f>
        <v>7.8599999999999994</v>
      </c>
      <c r="L518" s="40">
        <f>SUM('Data 1'!$J518*'Data 1'!$C518)</f>
        <v>78</v>
      </c>
      <c r="M518" s="40">
        <f>'Data 1'!$C518*'Data 1'!$K518</f>
        <v>102.17999999999999</v>
      </c>
      <c r="N518" s="40">
        <f>'Data 1'!$M518-'Data 1'!$L518</f>
        <v>24.179999999999993</v>
      </c>
      <c r="O518" s="37">
        <f>DAY('Data 1'!$A518)</f>
        <v>15</v>
      </c>
      <c r="P518" s="37" t="str">
        <f>TEXT('Data 1'!$A518,"mmm")</f>
        <v>Dec</v>
      </c>
      <c r="Q518" s="41">
        <f>YEAR('Data 1'!$A518)</f>
        <v>2022</v>
      </c>
    </row>
    <row r="519" spans="1:17" x14ac:dyDescent="0.3">
      <c r="A519" s="35">
        <v>44914</v>
      </c>
      <c r="B519" s="36" t="s">
        <v>30</v>
      </c>
      <c r="C519" s="37">
        <v>7</v>
      </c>
      <c r="D519" s="37" t="s">
        <v>21</v>
      </c>
      <c r="E519" s="37" t="s">
        <v>17</v>
      </c>
      <c r="F519" s="38">
        <v>0</v>
      </c>
      <c r="G519" s="42" t="str">
        <f>VLOOKUP('Data 1'!$B519,'Data 2'!$A$1:$F$46,MATCH('Data 1'!G$1,'Data 2'!$A$1:$F$1,0),0)</f>
        <v>Product44</v>
      </c>
      <c r="H519" s="42" t="str">
        <f>VLOOKUP('Data 1'!$B519,'Data 2'!$A$1:$F$46,MATCH('Data 1'!H$1,'Data 2'!$A$1:$F$1,0),0)</f>
        <v>Category05</v>
      </c>
      <c r="I519" s="42" t="str">
        <f>VLOOKUP('Data 1'!$B519,'Data 2'!$A$1:$F$46,MATCH('Data 1'!I$1,'Data 2'!$A$1:$F$1,0),0)</f>
        <v>Kg</v>
      </c>
      <c r="J519" s="42">
        <f>VLOOKUP('Data 1'!$B519,'Data 2'!$A$1:$F$46,MATCH('Data 1'!J$1,'Data 2'!$A$1:$F$1,0),0)</f>
        <v>76</v>
      </c>
      <c r="K519" s="42">
        <f>VLOOKUP('Data 1'!$B519,'Data 2'!$A$1:$F$46,MATCH('Data 1'!K$1,'Data 2'!$A$1:$F$1,0),0)</f>
        <v>82.08</v>
      </c>
      <c r="L519" s="40">
        <f>SUM('Data 1'!$J519*'Data 1'!$C519)</f>
        <v>532</v>
      </c>
      <c r="M519" s="40">
        <f>'Data 1'!$C519*'Data 1'!$K519</f>
        <v>574.55999999999995</v>
      </c>
      <c r="N519" s="40">
        <f>'Data 1'!$M519-'Data 1'!$L519</f>
        <v>42.559999999999945</v>
      </c>
      <c r="O519" s="37">
        <f>DAY('Data 1'!$A519)</f>
        <v>19</v>
      </c>
      <c r="P519" s="37" t="str">
        <f>TEXT('Data 1'!$A519,"mmm")</f>
        <v>Dec</v>
      </c>
      <c r="Q519" s="41">
        <f>YEAR('Data 1'!$A519)</f>
        <v>2022</v>
      </c>
    </row>
    <row r="520" spans="1:17" x14ac:dyDescent="0.3">
      <c r="A520" s="35">
        <v>44914</v>
      </c>
      <c r="B520" s="36" t="s">
        <v>50</v>
      </c>
      <c r="C520" s="37">
        <v>14</v>
      </c>
      <c r="D520" s="37" t="s">
        <v>21</v>
      </c>
      <c r="E520" s="37" t="s">
        <v>19</v>
      </c>
      <c r="F520" s="38">
        <v>0</v>
      </c>
      <c r="G520" s="39" t="str">
        <f>VLOOKUP('Data 1'!$B520,'Data 2'!$A$1:$F$46,MATCH('Data 1'!G$1,'Data 2'!$A$1:$F$1,0),0)</f>
        <v>Product11</v>
      </c>
      <c r="H520" s="39" t="str">
        <f>VLOOKUP('Data 1'!$B520,'Data 2'!$A$1:$F$46,MATCH('Data 1'!H$1,'Data 2'!$A$1:$F$1,0),0)</f>
        <v>Category02</v>
      </c>
      <c r="I520" s="39" t="str">
        <f>VLOOKUP('Data 1'!$B520,'Data 2'!$A$1:$F$46,MATCH('Data 1'!I$1,'Data 2'!$A$1:$F$1,0),0)</f>
        <v>Lt</v>
      </c>
      <c r="J520" s="39">
        <f>VLOOKUP('Data 1'!$B520,'Data 2'!$A$1:$F$46,MATCH('Data 1'!J$1,'Data 2'!$A$1:$F$1,0),0)</f>
        <v>44</v>
      </c>
      <c r="K520" s="39">
        <f>VLOOKUP('Data 1'!$B520,'Data 2'!$A$1:$F$46,MATCH('Data 1'!K$1,'Data 2'!$A$1:$F$1,0),0)</f>
        <v>48.4</v>
      </c>
      <c r="L520" s="40">
        <f>SUM('Data 1'!$J520*'Data 1'!$C520)</f>
        <v>616</v>
      </c>
      <c r="M520" s="40">
        <f>'Data 1'!$C520*'Data 1'!$K520</f>
        <v>677.6</v>
      </c>
      <c r="N520" s="40">
        <f>'Data 1'!$M520-'Data 1'!$L520</f>
        <v>61.600000000000023</v>
      </c>
      <c r="O520" s="37">
        <f>DAY('Data 1'!$A520)</f>
        <v>19</v>
      </c>
      <c r="P520" s="37" t="str">
        <f>TEXT('Data 1'!$A520,"mmm")</f>
        <v>Dec</v>
      </c>
      <c r="Q520" s="41">
        <f>YEAR('Data 1'!$A520)</f>
        <v>2022</v>
      </c>
    </row>
    <row r="521" spans="1:17" x14ac:dyDescent="0.3">
      <c r="A521" s="35">
        <v>44914</v>
      </c>
      <c r="B521" s="36" t="s">
        <v>56</v>
      </c>
      <c r="C521" s="37">
        <v>11</v>
      </c>
      <c r="D521" s="37" t="s">
        <v>17</v>
      </c>
      <c r="E521" s="37" t="s">
        <v>17</v>
      </c>
      <c r="F521" s="38">
        <v>0</v>
      </c>
      <c r="G521" s="42" t="str">
        <f>VLOOKUP('Data 1'!$B521,'Data 2'!$A$1:$F$46,MATCH('Data 1'!G$1,'Data 2'!$A$1:$F$1,0),0)</f>
        <v>Product09</v>
      </c>
      <c r="H521" s="42" t="str">
        <f>VLOOKUP('Data 1'!$B521,'Data 2'!$A$1:$F$46,MATCH('Data 1'!H$1,'Data 2'!$A$1:$F$1,0),0)</f>
        <v>Category03</v>
      </c>
      <c r="I521" s="42" t="str">
        <f>VLOOKUP('Data 1'!$B521,'Data 2'!$A$1:$F$46,MATCH('Data 1'!I$1,'Data 2'!$A$1:$F$1,0),0)</f>
        <v>No.</v>
      </c>
      <c r="J521" s="42">
        <f>VLOOKUP('Data 1'!$B521,'Data 2'!$A$1:$F$46,MATCH('Data 1'!J$1,'Data 2'!$A$1:$F$1,0),0)</f>
        <v>6</v>
      </c>
      <c r="K521" s="42">
        <f>VLOOKUP('Data 1'!$B521,'Data 2'!$A$1:$F$46,MATCH('Data 1'!K$1,'Data 2'!$A$1:$F$1,0),0)</f>
        <v>7.8599999999999994</v>
      </c>
      <c r="L521" s="40">
        <f>SUM('Data 1'!$J521*'Data 1'!$C521)</f>
        <v>66</v>
      </c>
      <c r="M521" s="40">
        <f>'Data 1'!$C521*'Data 1'!$K521</f>
        <v>86.46</v>
      </c>
      <c r="N521" s="40">
        <f>'Data 1'!$M521-'Data 1'!$L521</f>
        <v>20.459999999999994</v>
      </c>
      <c r="O521" s="37">
        <f>DAY('Data 1'!$A521)</f>
        <v>19</v>
      </c>
      <c r="P521" s="37" t="str">
        <f>TEXT('Data 1'!$A521,"mmm")</f>
        <v>Dec</v>
      </c>
      <c r="Q521" s="41">
        <f>YEAR('Data 1'!$A521)</f>
        <v>2022</v>
      </c>
    </row>
    <row r="522" spans="1:17" x14ac:dyDescent="0.3">
      <c r="A522" s="35">
        <v>44916</v>
      </c>
      <c r="B522" s="36" t="s">
        <v>34</v>
      </c>
      <c r="C522" s="37">
        <v>10</v>
      </c>
      <c r="D522" s="37" t="s">
        <v>21</v>
      </c>
      <c r="E522" s="37" t="s">
        <v>17</v>
      </c>
      <c r="F522" s="38">
        <v>0</v>
      </c>
      <c r="G522" s="39" t="str">
        <f>VLOOKUP('Data 1'!$B522,'Data 2'!$A$1:$F$46,MATCH('Data 1'!G$1,'Data 2'!$A$1:$F$1,0),0)</f>
        <v>Product06</v>
      </c>
      <c r="H522" s="39" t="str">
        <f>VLOOKUP('Data 1'!$B522,'Data 2'!$A$1:$F$46,MATCH('Data 1'!H$1,'Data 2'!$A$1:$F$1,0),0)</f>
        <v>Category01</v>
      </c>
      <c r="I522" s="39" t="str">
        <f>VLOOKUP('Data 1'!$B522,'Data 2'!$A$1:$F$46,MATCH('Data 1'!I$1,'Data 2'!$A$1:$F$1,0),0)</f>
        <v>Kg</v>
      </c>
      <c r="J522" s="39">
        <f>VLOOKUP('Data 1'!$B522,'Data 2'!$A$1:$F$46,MATCH('Data 1'!J$1,'Data 2'!$A$1:$F$1,0),0)</f>
        <v>75</v>
      </c>
      <c r="K522" s="39">
        <f>VLOOKUP('Data 1'!$B522,'Data 2'!$A$1:$F$46,MATCH('Data 1'!K$1,'Data 2'!$A$1:$F$1,0),0)</f>
        <v>85.5</v>
      </c>
      <c r="L522" s="40">
        <f>SUM('Data 1'!$J522*'Data 1'!$C522)</f>
        <v>750</v>
      </c>
      <c r="M522" s="40">
        <f>'Data 1'!$C522*'Data 1'!$K522</f>
        <v>855</v>
      </c>
      <c r="N522" s="40">
        <f>'Data 1'!$M522-'Data 1'!$L522</f>
        <v>105</v>
      </c>
      <c r="O522" s="37">
        <f>DAY('Data 1'!$A522)</f>
        <v>21</v>
      </c>
      <c r="P522" s="37" t="str">
        <f>TEXT('Data 1'!$A522,"mmm")</f>
        <v>Dec</v>
      </c>
      <c r="Q522" s="41">
        <f>YEAR('Data 1'!$A522)</f>
        <v>2022</v>
      </c>
    </row>
    <row r="523" spans="1:17" x14ac:dyDescent="0.3">
      <c r="A523" s="35">
        <v>44924</v>
      </c>
      <c r="B523" s="36" t="s">
        <v>44</v>
      </c>
      <c r="C523" s="37">
        <v>15</v>
      </c>
      <c r="D523" s="37" t="s">
        <v>21</v>
      </c>
      <c r="E523" s="37" t="s">
        <v>17</v>
      </c>
      <c r="F523" s="38">
        <v>0</v>
      </c>
      <c r="G523" s="42" t="str">
        <f>VLOOKUP('Data 1'!$B523,'Data 2'!$A$1:$F$46,MATCH('Data 1'!G$1,'Data 2'!$A$1:$F$1,0),0)</f>
        <v>Product08</v>
      </c>
      <c r="H523" s="42" t="str">
        <f>VLOOKUP('Data 1'!$B523,'Data 2'!$A$1:$F$46,MATCH('Data 1'!H$1,'Data 2'!$A$1:$F$1,0),0)</f>
        <v>Category01</v>
      </c>
      <c r="I523" s="42" t="str">
        <f>VLOOKUP('Data 1'!$B523,'Data 2'!$A$1:$F$46,MATCH('Data 1'!I$1,'Data 2'!$A$1:$F$1,0),0)</f>
        <v>Kg</v>
      </c>
      <c r="J523" s="42">
        <f>VLOOKUP('Data 1'!$B523,'Data 2'!$A$1:$F$46,MATCH('Data 1'!J$1,'Data 2'!$A$1:$F$1,0),0)</f>
        <v>83</v>
      </c>
      <c r="K523" s="42">
        <f>VLOOKUP('Data 1'!$B523,'Data 2'!$A$1:$F$46,MATCH('Data 1'!K$1,'Data 2'!$A$1:$F$1,0),0)</f>
        <v>94.62</v>
      </c>
      <c r="L523" s="40">
        <f>SUM('Data 1'!$J523*'Data 1'!$C523)</f>
        <v>1245</v>
      </c>
      <c r="M523" s="40">
        <f>'Data 1'!$C523*'Data 1'!$K523</f>
        <v>1419.3000000000002</v>
      </c>
      <c r="N523" s="40">
        <f>'Data 1'!$M523-'Data 1'!$L523</f>
        <v>174.30000000000018</v>
      </c>
      <c r="O523" s="37">
        <f>DAY('Data 1'!$A523)</f>
        <v>29</v>
      </c>
      <c r="P523" s="37" t="str">
        <f>TEXT('Data 1'!$A523,"mmm")</f>
        <v>Dec</v>
      </c>
      <c r="Q523" s="41">
        <f>YEAR('Data 1'!$A523)</f>
        <v>2022</v>
      </c>
    </row>
    <row r="524" spans="1:17" x14ac:dyDescent="0.3">
      <c r="A524" s="35">
        <v>44924</v>
      </c>
      <c r="B524" s="36" t="s">
        <v>29</v>
      </c>
      <c r="C524" s="37">
        <v>1</v>
      </c>
      <c r="D524" s="37" t="s">
        <v>16</v>
      </c>
      <c r="E524" s="37" t="s">
        <v>19</v>
      </c>
      <c r="F524" s="38">
        <v>0</v>
      </c>
      <c r="G524" s="39" t="str">
        <f>VLOOKUP('Data 1'!$B524,'Data 2'!$A$1:$F$46,MATCH('Data 1'!G$1,'Data 2'!$A$1:$F$1,0),0)</f>
        <v>Product42</v>
      </c>
      <c r="H524" s="39" t="str">
        <f>VLOOKUP('Data 1'!$B524,'Data 2'!$A$1:$F$46,MATCH('Data 1'!H$1,'Data 2'!$A$1:$F$1,0),0)</f>
        <v>Category05</v>
      </c>
      <c r="I524" s="39" t="str">
        <f>VLOOKUP('Data 1'!$B524,'Data 2'!$A$1:$F$46,MATCH('Data 1'!I$1,'Data 2'!$A$1:$F$1,0),0)</f>
        <v>Ft</v>
      </c>
      <c r="J524" s="39">
        <f>VLOOKUP('Data 1'!$B524,'Data 2'!$A$1:$F$46,MATCH('Data 1'!J$1,'Data 2'!$A$1:$F$1,0),0)</f>
        <v>120</v>
      </c>
      <c r="K524" s="39">
        <f>VLOOKUP('Data 1'!$B524,'Data 2'!$A$1:$F$46,MATCH('Data 1'!K$1,'Data 2'!$A$1:$F$1,0),0)</f>
        <v>162</v>
      </c>
      <c r="L524" s="40">
        <f>SUM('Data 1'!$J524*'Data 1'!$C524)</f>
        <v>120</v>
      </c>
      <c r="M524" s="40">
        <f>'Data 1'!$C524*'Data 1'!$K524</f>
        <v>162</v>
      </c>
      <c r="N524" s="40">
        <f>'Data 1'!$M524-'Data 1'!$L524</f>
        <v>42</v>
      </c>
      <c r="O524" s="37">
        <f>DAY('Data 1'!$A524)</f>
        <v>29</v>
      </c>
      <c r="P524" s="37" t="str">
        <f>TEXT('Data 1'!$A524,"mmm")</f>
        <v>Dec</v>
      </c>
      <c r="Q524" s="41">
        <f>YEAR('Data 1'!$A524)</f>
        <v>2022</v>
      </c>
    </row>
    <row r="525" spans="1:17" x14ac:dyDescent="0.3">
      <c r="A525" s="35">
        <v>44925</v>
      </c>
      <c r="B525" s="36" t="s">
        <v>60</v>
      </c>
      <c r="C525" s="37">
        <v>14</v>
      </c>
      <c r="D525" s="37" t="s">
        <v>21</v>
      </c>
      <c r="E525" s="37" t="s">
        <v>17</v>
      </c>
      <c r="F525" s="38">
        <v>0</v>
      </c>
      <c r="G525" s="42" t="str">
        <f>VLOOKUP('Data 1'!$B525,'Data 2'!$A$1:$F$46,MATCH('Data 1'!G$1,'Data 2'!$A$1:$F$1,0),0)</f>
        <v>Product41</v>
      </c>
      <c r="H525" s="42" t="str">
        <f>VLOOKUP('Data 1'!$B525,'Data 2'!$A$1:$F$46,MATCH('Data 1'!H$1,'Data 2'!$A$1:$F$1,0),0)</f>
        <v>Category05</v>
      </c>
      <c r="I525" s="42" t="str">
        <f>VLOOKUP('Data 1'!$B525,'Data 2'!$A$1:$F$46,MATCH('Data 1'!I$1,'Data 2'!$A$1:$F$1,0),0)</f>
        <v>Ft</v>
      </c>
      <c r="J525" s="42">
        <f>VLOOKUP('Data 1'!$B525,'Data 2'!$A$1:$F$46,MATCH('Data 1'!J$1,'Data 2'!$A$1:$F$1,0),0)</f>
        <v>138</v>
      </c>
      <c r="K525" s="42">
        <f>VLOOKUP('Data 1'!$B525,'Data 2'!$A$1:$F$46,MATCH('Data 1'!K$1,'Data 2'!$A$1:$F$1,0),0)</f>
        <v>173.88</v>
      </c>
      <c r="L525" s="40">
        <f>SUM('Data 1'!$J525*'Data 1'!$C525)</f>
        <v>1932</v>
      </c>
      <c r="M525" s="40">
        <f>'Data 1'!$C525*'Data 1'!$K525</f>
        <v>2434.3199999999997</v>
      </c>
      <c r="N525" s="40">
        <f>'Data 1'!$M525-'Data 1'!$L525</f>
        <v>502.31999999999971</v>
      </c>
      <c r="O525" s="37">
        <f>DAY('Data 1'!$A525)</f>
        <v>30</v>
      </c>
      <c r="P525" s="37" t="str">
        <f>TEXT('Data 1'!$A525,"mmm")</f>
        <v>Dec</v>
      </c>
      <c r="Q525" s="41">
        <f>YEAR('Data 1'!$A525)</f>
        <v>2022</v>
      </c>
    </row>
    <row r="526" spans="1:17" x14ac:dyDescent="0.3">
      <c r="A526" s="35">
        <v>44926</v>
      </c>
      <c r="B526" s="36" t="s">
        <v>57</v>
      </c>
      <c r="C526" s="37">
        <v>12</v>
      </c>
      <c r="D526" s="37" t="s">
        <v>17</v>
      </c>
      <c r="E526" s="37" t="s">
        <v>17</v>
      </c>
      <c r="F526" s="38">
        <v>0</v>
      </c>
      <c r="G526" s="39" t="str">
        <f>VLOOKUP('Data 1'!$B526,'Data 2'!$A$1:$F$46,MATCH('Data 1'!G$1,'Data 2'!$A$1:$F$1,0),0)</f>
        <v>Product33</v>
      </c>
      <c r="H526" s="39" t="str">
        <f>VLOOKUP('Data 1'!$B526,'Data 2'!$A$1:$F$46,MATCH('Data 1'!H$1,'Data 2'!$A$1:$F$1,0),0)</f>
        <v>Category04</v>
      </c>
      <c r="I526" s="39" t="str">
        <f>VLOOKUP('Data 1'!$B526,'Data 2'!$A$1:$F$46,MATCH('Data 1'!I$1,'Data 2'!$A$1:$F$1,0),0)</f>
        <v>Kg</v>
      </c>
      <c r="J526" s="39">
        <f>VLOOKUP('Data 1'!$B526,'Data 2'!$A$1:$F$46,MATCH('Data 1'!J$1,'Data 2'!$A$1:$F$1,0),0)</f>
        <v>95</v>
      </c>
      <c r="K526" s="39">
        <f>VLOOKUP('Data 1'!$B526,'Data 2'!$A$1:$F$46,MATCH('Data 1'!K$1,'Data 2'!$A$1:$F$1,0),0)</f>
        <v>119.7</v>
      </c>
      <c r="L526" s="40">
        <f>SUM('Data 1'!$J526*'Data 1'!$C526)</f>
        <v>1140</v>
      </c>
      <c r="M526" s="40">
        <f>'Data 1'!$C526*'Data 1'!$K526</f>
        <v>1436.4</v>
      </c>
      <c r="N526" s="40">
        <f>'Data 1'!$M526-'Data 1'!$L526</f>
        <v>296.40000000000009</v>
      </c>
      <c r="O526" s="37">
        <f>DAY('Data 1'!$A526)</f>
        <v>31</v>
      </c>
      <c r="P526" s="37" t="str">
        <f>TEXT('Data 1'!$A526,"mmm")</f>
        <v>Dec</v>
      </c>
      <c r="Q526" s="41">
        <f>YEAR('Data 1'!$A526)</f>
        <v>2022</v>
      </c>
    </row>
    <row r="527" spans="1:17" x14ac:dyDescent="0.3">
      <c r="A527" s="35">
        <v>44926</v>
      </c>
      <c r="B527" s="36" t="s">
        <v>50</v>
      </c>
      <c r="C527" s="37">
        <v>6</v>
      </c>
      <c r="D527" s="37" t="s">
        <v>17</v>
      </c>
      <c r="E527" s="37" t="s">
        <v>17</v>
      </c>
      <c r="F527" s="38">
        <v>0</v>
      </c>
      <c r="G527" s="42" t="str">
        <f>VLOOKUP('Data 1'!$B527,'Data 2'!$A$1:$F$46,MATCH('Data 1'!G$1,'Data 2'!$A$1:$F$1,0),0)</f>
        <v>Product11</v>
      </c>
      <c r="H527" s="42" t="str">
        <f>VLOOKUP('Data 1'!$B527,'Data 2'!$A$1:$F$46,MATCH('Data 1'!H$1,'Data 2'!$A$1:$F$1,0),0)</f>
        <v>Category02</v>
      </c>
      <c r="I527" s="42" t="str">
        <f>VLOOKUP('Data 1'!$B527,'Data 2'!$A$1:$F$46,MATCH('Data 1'!I$1,'Data 2'!$A$1:$F$1,0),0)</f>
        <v>Lt</v>
      </c>
      <c r="J527" s="42">
        <f>VLOOKUP('Data 1'!$B527,'Data 2'!$A$1:$F$46,MATCH('Data 1'!J$1,'Data 2'!$A$1:$F$1,0),0)</f>
        <v>44</v>
      </c>
      <c r="K527" s="42">
        <f>VLOOKUP('Data 1'!$B527,'Data 2'!$A$1:$F$46,MATCH('Data 1'!K$1,'Data 2'!$A$1:$F$1,0),0)</f>
        <v>48.4</v>
      </c>
      <c r="L527" s="40">
        <f>SUM('Data 1'!$J527*'Data 1'!$C527)</f>
        <v>264</v>
      </c>
      <c r="M527" s="40">
        <f>'Data 1'!$C527*'Data 1'!$K527</f>
        <v>290.39999999999998</v>
      </c>
      <c r="N527" s="40">
        <f>'Data 1'!$M527-'Data 1'!$L527</f>
        <v>26.399999999999977</v>
      </c>
      <c r="O527" s="37">
        <f>DAY('Data 1'!$A527)</f>
        <v>31</v>
      </c>
      <c r="P527" s="37" t="str">
        <f>TEXT('Data 1'!$A527,"mmm")</f>
        <v>Dec</v>
      </c>
      <c r="Q527" s="41">
        <f>YEAR('Data 1'!$A527)</f>
        <v>2022</v>
      </c>
    </row>
    <row r="528" spans="1:17" x14ac:dyDescent="0.3">
      <c r="A528" s="35">
        <v>44926</v>
      </c>
      <c r="B528" s="36" t="s">
        <v>50</v>
      </c>
      <c r="C528" s="37">
        <v>3</v>
      </c>
      <c r="D528" s="37" t="s">
        <v>16</v>
      </c>
      <c r="E528" s="37" t="s">
        <v>19</v>
      </c>
      <c r="F528" s="38">
        <v>0</v>
      </c>
      <c r="G528" s="39" t="str">
        <f>VLOOKUP('Data 1'!$B528,'Data 2'!$A$1:$F$46,MATCH('Data 1'!G$1,'Data 2'!$A$1:$F$1,0),0)</f>
        <v>Product11</v>
      </c>
      <c r="H528" s="39" t="str">
        <f>VLOOKUP('Data 1'!$B528,'Data 2'!$A$1:$F$46,MATCH('Data 1'!H$1,'Data 2'!$A$1:$F$1,0),0)</f>
        <v>Category02</v>
      </c>
      <c r="I528" s="39" t="str">
        <f>VLOOKUP('Data 1'!$B528,'Data 2'!$A$1:$F$46,MATCH('Data 1'!I$1,'Data 2'!$A$1:$F$1,0),0)</f>
        <v>Lt</v>
      </c>
      <c r="J528" s="39">
        <f>VLOOKUP('Data 1'!$B528,'Data 2'!$A$1:$F$46,MATCH('Data 1'!J$1,'Data 2'!$A$1:$F$1,0),0)</f>
        <v>44</v>
      </c>
      <c r="K528" s="39">
        <f>VLOOKUP('Data 1'!$B528,'Data 2'!$A$1:$F$46,MATCH('Data 1'!K$1,'Data 2'!$A$1:$F$1,0),0)</f>
        <v>48.4</v>
      </c>
      <c r="L528" s="40">
        <f>SUM('Data 1'!$J528*'Data 1'!$C528)</f>
        <v>132</v>
      </c>
      <c r="M528" s="40">
        <f>'Data 1'!$C528*'Data 1'!$K528</f>
        <v>145.19999999999999</v>
      </c>
      <c r="N528" s="40">
        <f>'Data 1'!$M528-'Data 1'!$L528</f>
        <v>13.199999999999989</v>
      </c>
      <c r="O528" s="37">
        <f>DAY('Data 1'!$A528)</f>
        <v>31</v>
      </c>
      <c r="P528" s="37" t="str">
        <f>TEXT('Data 1'!$A528,"mmm")</f>
        <v>Dec</v>
      </c>
      <c r="Q528" s="41">
        <f>YEAR('Data 1'!$A528)</f>
        <v>2022</v>
      </c>
    </row>
    <row r="529" spans="14:14" x14ac:dyDescent="0.3">
      <c r="N529" s="2">
        <f>SUM(N2:N528)</f>
        <v>68907.920000000027</v>
      </c>
    </row>
  </sheetData>
  <sheetProtection insertColumns="0" deleteColumns="0" deleteRows="0"/>
  <dataValidations count="3">
    <dataValidation type="list" allowBlank="1" showInputMessage="1" sqref="D2:D528" xr:uid="{A7234AAF-52A3-400C-A7E0-ABFAB56E5878}">
      <formula1>"Online,Wholesaler,Direct Sales"</formula1>
    </dataValidation>
    <dataValidation type="whole" allowBlank="1" showInputMessage="1" showErrorMessage="1" sqref="C2:C528" xr:uid="{464A9A0E-16A2-44C4-9052-744D9D2649B3}">
      <formula1>1</formula1>
      <formula2>1000</formula2>
    </dataValidation>
    <dataValidation type="list" allowBlank="1" showInputMessage="1" showErrorMessage="1" sqref="E2:E528" xr:uid="{803B0B92-A61C-4D14-AA8B-FC85CD3925D8}">
      <formula1>"Online,Cash"</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67E34-D596-4F1D-9B8E-01EE0D5E187A}">
  <dimension ref="A2:AG52"/>
  <sheetViews>
    <sheetView zoomScale="59" workbookViewId="0">
      <selection activeCell="T4" sqref="T4"/>
    </sheetView>
  </sheetViews>
  <sheetFormatPr defaultRowHeight="14.4" x14ac:dyDescent="0.3"/>
  <cols>
    <col min="1" max="1" width="19.109375" bestFit="1" customWidth="1"/>
    <col min="2" max="2" width="18.44140625" bestFit="1" customWidth="1"/>
    <col min="3" max="3" width="17.21875" bestFit="1" customWidth="1"/>
    <col min="6" max="6" width="8.33203125" bestFit="1" customWidth="1"/>
    <col min="7" max="7" width="18.44140625" bestFit="1" customWidth="1"/>
    <col min="8" max="8" width="19.109375" bestFit="1" customWidth="1"/>
    <col min="9" max="9" width="12.109375" bestFit="1" customWidth="1"/>
    <col min="10" max="10" width="18.44140625" bestFit="1" customWidth="1"/>
    <col min="11" max="11" width="7.21875" customWidth="1"/>
    <col min="12" max="12" width="12.77734375" bestFit="1" customWidth="1"/>
    <col min="13" max="13" width="18.44140625" bestFit="1" customWidth="1"/>
    <col min="15" max="15" width="14.109375" customWidth="1"/>
    <col min="16" max="16" width="12.109375" bestFit="1" customWidth="1"/>
    <col min="17" max="17" width="18.44140625" bestFit="1" customWidth="1"/>
    <col min="18" max="18" width="12.88671875" customWidth="1"/>
    <col min="19" max="19" width="13.33203125" customWidth="1"/>
    <col min="24" max="24" width="10.77734375" bestFit="1" customWidth="1"/>
    <col min="25" max="25" width="18.5546875" bestFit="1" customWidth="1"/>
    <col min="26" max="26" width="16.88671875" bestFit="1" customWidth="1"/>
    <col min="27" max="27" width="17.77734375" bestFit="1" customWidth="1"/>
    <col min="30" max="30" width="17" customWidth="1"/>
    <col min="31" max="31" width="15.88671875" customWidth="1"/>
    <col min="32" max="32" width="17.5546875" customWidth="1"/>
  </cols>
  <sheetData>
    <row r="2" spans="1:33" x14ac:dyDescent="0.3">
      <c r="L2" s="4" t="s">
        <v>157</v>
      </c>
      <c r="M2" t="s">
        <v>133</v>
      </c>
      <c r="P2" s="4" t="s">
        <v>155</v>
      </c>
      <c r="Q2" t="s">
        <v>133</v>
      </c>
      <c r="S2" t="str" cm="1">
        <f t="array" ref="S2:T2">P3:Q3</f>
        <v>Category04</v>
      </c>
      <c r="T2">
        <v>95269.4</v>
      </c>
      <c r="X2" s="4" t="s">
        <v>13</v>
      </c>
      <c r="Y2" t="s">
        <v>134</v>
      </c>
      <c r="Z2" t="s">
        <v>156</v>
      </c>
      <c r="AA2" t="s">
        <v>133</v>
      </c>
      <c r="AC2" t="str" cm="1">
        <f t="array" ref="AC2:AF14">X2:AA14</f>
        <v>Month</v>
      </c>
      <c r="AD2" t="str">
        <v xml:space="preserve">Sum of Total Buying </v>
      </c>
      <c r="AE2" t="str">
        <v>Sum of Total Profit</v>
      </c>
      <c r="AF2" t="str">
        <v>Sum of Total Selling</v>
      </c>
      <c r="AG2" t="s">
        <v>162</v>
      </c>
    </row>
    <row r="3" spans="1:33" x14ac:dyDescent="0.3">
      <c r="A3" t="s">
        <v>134</v>
      </c>
      <c r="B3" t="s">
        <v>133</v>
      </c>
      <c r="C3" t="s">
        <v>156</v>
      </c>
      <c r="D3" t="s">
        <v>154</v>
      </c>
      <c r="F3" s="4" t="s">
        <v>14</v>
      </c>
      <c r="G3" t="s">
        <v>133</v>
      </c>
      <c r="H3" t="s">
        <v>134</v>
      </c>
      <c r="L3" s="1" t="s">
        <v>21</v>
      </c>
      <c r="M3" s="32">
        <v>208140.15000000005</v>
      </c>
      <c r="P3" s="1" t="s">
        <v>96</v>
      </c>
      <c r="Q3" s="32">
        <v>95269.4</v>
      </c>
      <c r="X3" s="1" t="s">
        <v>136</v>
      </c>
      <c r="Y3" s="32">
        <v>34290</v>
      </c>
      <c r="Z3" s="32">
        <v>7056.96</v>
      </c>
      <c r="AA3" s="32">
        <v>41346.959999999992</v>
      </c>
      <c r="AC3" t="str">
        <v>Jan</v>
      </c>
      <c r="AD3">
        <v>34290</v>
      </c>
      <c r="AE3">
        <v>7056.96</v>
      </c>
      <c r="AF3">
        <v>41346.959999999992</v>
      </c>
      <c r="AG3" s="10">
        <f>AE3/AD3</f>
        <v>0.20580227471566054</v>
      </c>
    </row>
    <row r="4" spans="1:33" x14ac:dyDescent="0.3">
      <c r="A4" s="32">
        <v>332504</v>
      </c>
      <c r="B4" s="32">
        <v>401411.91999999969</v>
      </c>
      <c r="C4" s="32">
        <v>68907.920000000027</v>
      </c>
      <c r="D4" s="10">
        <f>GETPIVOTDATA("Sum of Total Profit",$A$3)/GETPIVOTDATA("Sum of Total Buying ",$A$3)</f>
        <v>0.20723937155643249</v>
      </c>
      <c r="F4" s="1">
        <v>2021</v>
      </c>
      <c r="G4" s="32">
        <v>187284.31999999995</v>
      </c>
      <c r="H4" s="32">
        <v>156969</v>
      </c>
      <c r="L4" s="1" t="s">
        <v>17</v>
      </c>
      <c r="M4" s="32">
        <v>133923.87000000002</v>
      </c>
      <c r="P4" s="1" t="s">
        <v>79</v>
      </c>
      <c r="Q4" s="32">
        <v>92963.87</v>
      </c>
      <c r="T4">
        <f>GETPIVOTDATA("Total Selling",$P$2,"CATEGORY","Category04")</f>
        <v>95269.4</v>
      </c>
      <c r="X4" s="1" t="s">
        <v>137</v>
      </c>
      <c r="Y4" s="32">
        <v>25341</v>
      </c>
      <c r="Z4" s="32">
        <v>5516.3000000000011</v>
      </c>
      <c r="AA4" s="32">
        <v>30857.300000000003</v>
      </c>
      <c r="AC4" t="str">
        <v>Feb</v>
      </c>
      <c r="AD4">
        <v>25341</v>
      </c>
      <c r="AE4">
        <v>5516.3000000000011</v>
      </c>
      <c r="AF4">
        <v>30857.300000000003</v>
      </c>
      <c r="AG4" s="10">
        <f t="shared" ref="AG4:AG14" si="0">AE4/AD4</f>
        <v>0.21768280651907979</v>
      </c>
    </row>
    <row r="5" spans="1:33" x14ac:dyDescent="0.3">
      <c r="A5">
        <f>GETPIVOTDATA("Sum of Total Buying ",$A$3)</f>
        <v>332504</v>
      </c>
      <c r="B5">
        <f>GETPIVOTDATA("Sum of Total Selling",$A$3)</f>
        <v>401411.91999999969</v>
      </c>
      <c r="C5">
        <f>GETPIVOTDATA("Sum of Total Profit",$A$3)</f>
        <v>68907.920000000027</v>
      </c>
      <c r="F5" s="1">
        <v>2022</v>
      </c>
      <c r="G5" s="32">
        <v>214127.59999999998</v>
      </c>
      <c r="H5" s="32">
        <v>175535</v>
      </c>
      <c r="L5" s="1" t="s">
        <v>16</v>
      </c>
      <c r="M5" s="32">
        <v>59347.900000000009</v>
      </c>
      <c r="P5" s="1" t="s">
        <v>108</v>
      </c>
      <c r="Q5" s="32">
        <v>91617.19</v>
      </c>
      <c r="X5" s="1" t="s">
        <v>138</v>
      </c>
      <c r="Y5" s="32">
        <v>23437</v>
      </c>
      <c r="Z5" s="32">
        <v>5179.6500000000015</v>
      </c>
      <c r="AA5" s="32">
        <v>28616.65</v>
      </c>
      <c r="AC5" t="str">
        <v>Mar</v>
      </c>
      <c r="AD5">
        <v>23437</v>
      </c>
      <c r="AE5">
        <v>5179.6500000000015</v>
      </c>
      <c r="AF5">
        <v>28616.65</v>
      </c>
      <c r="AG5" s="10">
        <f t="shared" si="0"/>
        <v>0.22100311473311438</v>
      </c>
    </row>
    <row r="6" spans="1:33" x14ac:dyDescent="0.3">
      <c r="P6" s="1" t="s">
        <v>64</v>
      </c>
      <c r="Q6" s="32">
        <v>68680.31</v>
      </c>
      <c r="X6" s="1" t="s">
        <v>139</v>
      </c>
      <c r="Y6" s="32">
        <v>21282</v>
      </c>
      <c r="Z6" s="32">
        <v>5297.11</v>
      </c>
      <c r="AA6" s="32">
        <v>26579.11</v>
      </c>
      <c r="AC6" t="str">
        <v>Apr</v>
      </c>
      <c r="AD6">
        <v>21282</v>
      </c>
      <c r="AE6">
        <v>5297.11</v>
      </c>
      <c r="AF6">
        <v>26579.11</v>
      </c>
      <c r="AG6" s="10">
        <f t="shared" si="0"/>
        <v>0.24890094915891361</v>
      </c>
    </row>
    <row r="7" spans="1:33" x14ac:dyDescent="0.3">
      <c r="P7" s="1" t="s">
        <v>76</v>
      </c>
      <c r="Q7" s="32">
        <v>52881.149999999994</v>
      </c>
      <c r="X7" s="1" t="s">
        <v>140</v>
      </c>
      <c r="Y7" s="32">
        <v>26526</v>
      </c>
      <c r="Z7" s="32">
        <v>4384.4500000000007</v>
      </c>
      <c r="AA7" s="32">
        <v>30910.45</v>
      </c>
      <c r="AC7" t="str">
        <v>May</v>
      </c>
      <c r="AD7">
        <v>26526</v>
      </c>
      <c r="AE7">
        <v>4384.4500000000007</v>
      </c>
      <c r="AF7">
        <v>30910.45</v>
      </c>
      <c r="AG7" s="10">
        <f t="shared" si="0"/>
        <v>0.16528877327904701</v>
      </c>
    </row>
    <row r="8" spans="1:33" x14ac:dyDescent="0.3">
      <c r="F8" s="4" t="s">
        <v>12</v>
      </c>
      <c r="G8" t="s">
        <v>133</v>
      </c>
      <c r="I8" s="4" t="s">
        <v>155</v>
      </c>
      <c r="J8" t="s">
        <v>133</v>
      </c>
      <c r="L8" s="4" t="s">
        <v>158</v>
      </c>
      <c r="M8" t="s">
        <v>133</v>
      </c>
      <c r="T8" t="s">
        <v>159</v>
      </c>
      <c r="U8" t="s">
        <v>149</v>
      </c>
      <c r="V8" t="s">
        <v>160</v>
      </c>
      <c r="X8" s="1" t="s">
        <v>141</v>
      </c>
      <c r="Y8" s="32">
        <v>24879</v>
      </c>
      <c r="Z8" s="32">
        <v>5654.7099999999991</v>
      </c>
      <c r="AA8" s="32">
        <v>30533.710000000003</v>
      </c>
      <c r="AC8" t="str">
        <v>Jun</v>
      </c>
      <c r="AD8">
        <v>24879</v>
      </c>
      <c r="AE8">
        <v>5654.7099999999991</v>
      </c>
      <c r="AF8">
        <v>30533.710000000003</v>
      </c>
      <c r="AG8" s="10">
        <f t="shared" si="0"/>
        <v>0.22728847622492862</v>
      </c>
    </row>
    <row r="9" spans="1:33" x14ac:dyDescent="0.3">
      <c r="F9" s="1">
        <v>1</v>
      </c>
      <c r="G9" s="32">
        <v>13167.810000000001</v>
      </c>
      <c r="I9" s="1" t="s">
        <v>64</v>
      </c>
      <c r="J9" s="32">
        <v>68680.31</v>
      </c>
      <c r="L9" s="1" t="s">
        <v>63</v>
      </c>
      <c r="M9" s="32">
        <v>9764.7199999999993</v>
      </c>
      <c r="P9">
        <f ca="1">RANK(R9,$R$9:$R$52,0)</f>
        <v>19</v>
      </c>
      <c r="Q9" t="str" cm="1">
        <f t="array" aca="1" ref="Q9:R52" ca="1">OFFSET(L8,1,0,COUNTA(L9:L52),2)</f>
        <v>Product01</v>
      </c>
      <c r="R9">
        <f ca="1"/>
        <v>9764.7199999999993</v>
      </c>
      <c r="T9">
        <v>1</v>
      </c>
      <c r="U9" t="str" cm="1">
        <f t="array" aca="1" ref="U9:V9" ca="1">VLOOKUP(T9,$P$9:$R$52,{2,3},0)</f>
        <v>Product41</v>
      </c>
      <c r="V9">
        <f ca="1"/>
        <v>22952.16</v>
      </c>
      <c r="X9" s="1" t="s">
        <v>142</v>
      </c>
      <c r="Y9" s="32">
        <v>29878</v>
      </c>
      <c r="Z9" s="32">
        <v>5373.7900000000018</v>
      </c>
      <c r="AA9" s="32">
        <v>35251.79</v>
      </c>
      <c r="AC9" t="str">
        <v>Jul</v>
      </c>
      <c r="AD9">
        <v>29878</v>
      </c>
      <c r="AE9">
        <v>5373.7900000000018</v>
      </c>
      <c r="AF9">
        <v>35251.79</v>
      </c>
      <c r="AG9" s="10">
        <f t="shared" si="0"/>
        <v>0.17985775486980393</v>
      </c>
    </row>
    <row r="10" spans="1:33" x14ac:dyDescent="0.3">
      <c r="F10" s="1">
        <v>2</v>
      </c>
      <c r="G10" s="32">
        <v>13210.220000000001</v>
      </c>
      <c r="I10" s="1" t="s">
        <v>79</v>
      </c>
      <c r="J10" s="32">
        <v>92963.87</v>
      </c>
      <c r="L10" s="1" t="s">
        <v>66</v>
      </c>
      <c r="M10" s="32">
        <v>13423.199999999999</v>
      </c>
      <c r="P10">
        <f t="shared" ref="P10:P52" ca="1" si="1">RANK(R10,$R$9:$R$52,0)</f>
        <v>10</v>
      </c>
      <c r="Q10" t="str">
        <f ca="1"/>
        <v>Product02</v>
      </c>
      <c r="R10">
        <f ca="1"/>
        <v>13423.199999999999</v>
      </c>
      <c r="T10">
        <v>2</v>
      </c>
      <c r="U10" t="str" cm="1">
        <f t="array" aca="1" ref="U10:V10" ca="1">VLOOKUP(T10,$P$9:$R$52,{2,3},0)</f>
        <v>Product30</v>
      </c>
      <c r="V10">
        <f ca="1"/>
        <v>22945.919999999998</v>
      </c>
      <c r="X10" s="1" t="s">
        <v>143</v>
      </c>
      <c r="Y10" s="32">
        <v>29831</v>
      </c>
      <c r="Z10" s="32">
        <v>5519.3999999999987</v>
      </c>
      <c r="AA10" s="32">
        <v>35350.400000000016</v>
      </c>
      <c r="AC10" t="str">
        <v>Aug</v>
      </c>
      <c r="AD10">
        <v>29831</v>
      </c>
      <c r="AE10">
        <v>5519.3999999999987</v>
      </c>
      <c r="AF10">
        <v>35350.400000000016</v>
      </c>
      <c r="AG10" s="10">
        <f t="shared" si="0"/>
        <v>0.18502229224632089</v>
      </c>
    </row>
    <row r="11" spans="1:33" x14ac:dyDescent="0.3">
      <c r="F11" s="1">
        <v>3</v>
      </c>
      <c r="G11" s="32">
        <v>20202.099999999995</v>
      </c>
      <c r="I11" s="1" t="s">
        <v>76</v>
      </c>
      <c r="J11" s="32">
        <v>52881.149999999994</v>
      </c>
      <c r="L11" s="1" t="s">
        <v>67</v>
      </c>
      <c r="M11" s="32">
        <v>6394.2599999999993</v>
      </c>
      <c r="P11">
        <f t="shared" ca="1" si="1"/>
        <v>26</v>
      </c>
      <c r="Q11" t="str">
        <f ca="1"/>
        <v>Product03</v>
      </c>
      <c r="R11">
        <f ca="1"/>
        <v>6394.2599999999993</v>
      </c>
      <c r="T11">
        <v>3</v>
      </c>
      <c r="U11" t="str" cm="1">
        <f t="array" aca="1" ref="U11:V11" ca="1">VLOOKUP(T11,$P$9:$R$52,{2,3},0)</f>
        <v>Product42</v>
      </c>
      <c r="V11">
        <f ca="1"/>
        <v>20574</v>
      </c>
      <c r="X11" s="1" t="s">
        <v>144</v>
      </c>
      <c r="Y11" s="32">
        <v>28758</v>
      </c>
      <c r="Z11" s="32">
        <v>6484.8100000000013</v>
      </c>
      <c r="AA11" s="32">
        <v>35242.810000000005</v>
      </c>
      <c r="AC11" t="str">
        <v>Sep</v>
      </c>
      <c r="AD11">
        <v>28758</v>
      </c>
      <c r="AE11">
        <v>6484.8100000000013</v>
      </c>
      <c r="AF11">
        <v>35242.810000000005</v>
      </c>
      <c r="AG11" s="10">
        <f t="shared" si="0"/>
        <v>0.22549586202100289</v>
      </c>
    </row>
    <row r="12" spans="1:33" x14ac:dyDescent="0.3">
      <c r="F12" s="1">
        <v>4</v>
      </c>
      <c r="G12" s="32">
        <v>11312.2</v>
      </c>
      <c r="I12" s="1" t="s">
        <v>96</v>
      </c>
      <c r="J12" s="32">
        <v>95269.4</v>
      </c>
      <c r="L12" s="1" t="s">
        <v>68</v>
      </c>
      <c r="M12" s="32">
        <v>6056.1600000000008</v>
      </c>
      <c r="P12">
        <f t="shared" ca="1" si="1"/>
        <v>30</v>
      </c>
      <c r="Q12" t="str">
        <f ca="1"/>
        <v>Product04</v>
      </c>
      <c r="R12">
        <f ca="1"/>
        <v>6056.1600000000008</v>
      </c>
      <c r="T12">
        <v>4</v>
      </c>
      <c r="U12" t="str" cm="1">
        <f t="array" aca="1" ref="U12:V12" ca="1">VLOOKUP(T12,$P$9:$R$52,{2,3},0)</f>
        <v>Product19</v>
      </c>
      <c r="V12">
        <f ca="1"/>
        <v>20160</v>
      </c>
      <c r="X12" s="1" t="s">
        <v>145</v>
      </c>
      <c r="Y12" s="32">
        <v>27842</v>
      </c>
      <c r="Z12" s="32">
        <v>5658.69</v>
      </c>
      <c r="AA12" s="32">
        <v>33500.69000000001</v>
      </c>
      <c r="AC12" t="str">
        <v>Oct</v>
      </c>
      <c r="AD12">
        <v>27842</v>
      </c>
      <c r="AE12">
        <v>5658.69</v>
      </c>
      <c r="AF12">
        <v>33500.69000000001</v>
      </c>
      <c r="AG12" s="10">
        <f t="shared" si="0"/>
        <v>0.20324294231736226</v>
      </c>
    </row>
    <row r="13" spans="1:33" x14ac:dyDescent="0.3">
      <c r="F13" s="1">
        <v>5</v>
      </c>
      <c r="G13" s="32">
        <v>11711.449999999999</v>
      </c>
      <c r="I13" s="1" t="s">
        <v>108</v>
      </c>
      <c r="J13" s="32">
        <v>91617.19</v>
      </c>
      <c r="L13" s="1" t="s">
        <v>70</v>
      </c>
      <c r="M13" s="32">
        <v>15716.61</v>
      </c>
      <c r="P13">
        <f t="shared" ca="1" si="1"/>
        <v>8</v>
      </c>
      <c r="Q13" t="str">
        <f ca="1"/>
        <v>Product05</v>
      </c>
      <c r="R13">
        <f ca="1"/>
        <v>15716.61</v>
      </c>
      <c r="T13">
        <v>5</v>
      </c>
      <c r="U13" t="str" cm="1">
        <f t="array" aca="1" ref="U13:V13" ca="1">VLOOKUP(T13,$P$9:$R$52,{2,3},0)</f>
        <v>Product10</v>
      </c>
      <c r="V13">
        <f ca="1"/>
        <v>16428</v>
      </c>
      <c r="X13" s="1" t="s">
        <v>146</v>
      </c>
      <c r="Y13" s="32">
        <v>29306</v>
      </c>
      <c r="Z13" s="32">
        <v>6818.0700000000006</v>
      </c>
      <c r="AA13" s="32">
        <v>36124.07</v>
      </c>
      <c r="AC13" t="str">
        <v>Nov</v>
      </c>
      <c r="AD13">
        <v>29306</v>
      </c>
      <c r="AE13">
        <v>6818.0700000000006</v>
      </c>
      <c r="AF13">
        <v>36124.07</v>
      </c>
      <c r="AG13" s="10">
        <f t="shared" si="0"/>
        <v>0.23265099297072275</v>
      </c>
    </row>
    <row r="14" spans="1:33" x14ac:dyDescent="0.3">
      <c r="F14" s="1">
        <v>6</v>
      </c>
      <c r="G14" s="32">
        <v>14365.540000000005</v>
      </c>
      <c r="L14" s="1" t="s">
        <v>72</v>
      </c>
      <c r="M14" s="32">
        <v>4531.5</v>
      </c>
      <c r="P14">
        <f t="shared" ca="1" si="1"/>
        <v>35</v>
      </c>
      <c r="Q14" t="str">
        <f ca="1"/>
        <v>Product06</v>
      </c>
      <c r="R14">
        <f ca="1"/>
        <v>4531.5</v>
      </c>
      <c r="X14" s="1" t="s">
        <v>147</v>
      </c>
      <c r="Y14" s="32">
        <v>31134</v>
      </c>
      <c r="Z14" s="32">
        <v>5963.9799999999987</v>
      </c>
      <c r="AA14" s="32">
        <v>37097.979999999996</v>
      </c>
      <c r="AC14" t="str">
        <v>Dec</v>
      </c>
      <c r="AD14">
        <v>31134</v>
      </c>
      <c r="AE14">
        <v>5963.9799999999987</v>
      </c>
      <c r="AF14">
        <v>37097.979999999996</v>
      </c>
      <c r="AG14" s="10">
        <f t="shared" si="0"/>
        <v>0.19155842487312902</v>
      </c>
    </row>
    <row r="15" spans="1:33" x14ac:dyDescent="0.3">
      <c r="F15" s="1">
        <v>7</v>
      </c>
      <c r="G15" s="32">
        <v>7132.79</v>
      </c>
      <c r="L15" s="1" t="s">
        <v>73</v>
      </c>
      <c r="M15" s="32">
        <v>2291.04</v>
      </c>
      <c r="P15">
        <f t="shared" ca="1" si="1"/>
        <v>39</v>
      </c>
      <c r="Q15" t="str">
        <f ca="1"/>
        <v>Product07</v>
      </c>
      <c r="R15">
        <f ca="1"/>
        <v>2291.04</v>
      </c>
      <c r="T15" t="s">
        <v>161</v>
      </c>
    </row>
    <row r="16" spans="1:33" x14ac:dyDescent="0.3">
      <c r="F16" s="1">
        <v>8</v>
      </c>
      <c r="G16" s="32">
        <v>14262.46</v>
      </c>
      <c r="I16" t="str" cm="1">
        <f t="array" ref="I16:J21">I8:J13</f>
        <v>Category</v>
      </c>
      <c r="J16" t="str">
        <v>Sum of Total Selling</v>
      </c>
      <c r="L16" s="1" t="s">
        <v>74</v>
      </c>
      <c r="M16" s="32">
        <v>10502.82</v>
      </c>
      <c r="P16">
        <f t="shared" ca="1" si="1"/>
        <v>15</v>
      </c>
      <c r="Q16" t="str">
        <f ca="1"/>
        <v>Product08</v>
      </c>
      <c r="R16">
        <f ca="1"/>
        <v>10502.82</v>
      </c>
      <c r="T16" cm="1">
        <f t="array" aca="1" ref="T16:V16" ca="1">T9:V9</f>
        <v>1</v>
      </c>
      <c r="U16" t="str">
        <f ca="1"/>
        <v>Product41</v>
      </c>
      <c r="V16">
        <f ca="1"/>
        <v>22952.16</v>
      </c>
    </row>
    <row r="17" spans="1:18" ht="21" x14ac:dyDescent="0.4">
      <c r="A17" s="3" t="s">
        <v>119</v>
      </c>
      <c r="B17" s="3"/>
      <c r="C17" s="3"/>
      <c r="D17" s="3"/>
      <c r="E17" s="3"/>
      <c r="F17" s="1">
        <v>9</v>
      </c>
      <c r="G17" s="32">
        <v>16824.670000000002</v>
      </c>
      <c r="I17" t="str">
        <v>Category01</v>
      </c>
      <c r="J17">
        <v>68680.31</v>
      </c>
      <c r="L17" s="1" t="s">
        <v>75</v>
      </c>
      <c r="M17" s="32">
        <v>581.64</v>
      </c>
      <c r="P17">
        <f t="shared" ca="1" si="1"/>
        <v>44</v>
      </c>
      <c r="Q17" t="str">
        <f ca="1"/>
        <v>Product09</v>
      </c>
      <c r="R17">
        <f ca="1"/>
        <v>581.64</v>
      </c>
    </row>
    <row r="18" spans="1:18" ht="21" x14ac:dyDescent="0.4">
      <c r="A18" s="3" t="s">
        <v>120</v>
      </c>
      <c r="B18" s="3"/>
      <c r="C18" s="3"/>
      <c r="D18" s="3"/>
      <c r="E18" s="3"/>
      <c r="F18" s="1">
        <v>10</v>
      </c>
      <c r="G18" s="32">
        <v>15229.35</v>
      </c>
      <c r="I18" t="str">
        <v>Category02</v>
      </c>
      <c r="J18">
        <v>92963.87</v>
      </c>
      <c r="L18" s="1" t="s">
        <v>78</v>
      </c>
      <c r="M18" s="32">
        <v>16428</v>
      </c>
      <c r="P18">
        <f t="shared" ca="1" si="1"/>
        <v>5</v>
      </c>
      <c r="Q18" t="str">
        <f ca="1"/>
        <v>Product10</v>
      </c>
      <c r="R18">
        <f ca="1"/>
        <v>16428</v>
      </c>
    </row>
    <row r="19" spans="1:18" ht="21" x14ac:dyDescent="0.4">
      <c r="A19" s="3" t="s">
        <v>118</v>
      </c>
      <c r="B19" s="3"/>
      <c r="C19" s="3"/>
      <c r="D19" s="3"/>
      <c r="E19" s="3"/>
      <c r="F19" s="1">
        <v>11</v>
      </c>
      <c r="G19" s="32">
        <v>11915.58</v>
      </c>
      <c r="I19" t="str">
        <v>Category03</v>
      </c>
      <c r="J19">
        <v>52881.149999999994</v>
      </c>
      <c r="L19" s="1" t="s">
        <v>80</v>
      </c>
      <c r="M19" s="32">
        <v>5856.4</v>
      </c>
      <c r="P19">
        <f t="shared" ca="1" si="1"/>
        <v>31</v>
      </c>
      <c r="Q19" t="str">
        <f ca="1"/>
        <v>Product11</v>
      </c>
      <c r="R19">
        <f ca="1"/>
        <v>5856.4</v>
      </c>
    </row>
    <row r="20" spans="1:18" ht="21" x14ac:dyDescent="0.4">
      <c r="A20" s="3" t="s">
        <v>121</v>
      </c>
      <c r="B20" s="3"/>
      <c r="C20" s="3"/>
      <c r="D20" s="3"/>
      <c r="E20" s="3"/>
      <c r="F20" s="1">
        <v>12</v>
      </c>
      <c r="G20" s="32">
        <v>14837.359999999999</v>
      </c>
      <c r="I20" t="str">
        <v>Category04</v>
      </c>
      <c r="J20">
        <v>95269.4</v>
      </c>
      <c r="L20" s="1" t="s">
        <v>81</v>
      </c>
      <c r="M20" s="32">
        <v>11582.910000000003</v>
      </c>
      <c r="P20">
        <f t="shared" ca="1" si="1"/>
        <v>13</v>
      </c>
      <c r="Q20" t="str">
        <f ca="1"/>
        <v>Product12</v>
      </c>
      <c r="R20">
        <f ca="1"/>
        <v>11582.910000000003</v>
      </c>
    </row>
    <row r="21" spans="1:18" ht="21" x14ac:dyDescent="0.4">
      <c r="A21" s="3"/>
      <c r="B21" s="3"/>
      <c r="C21" s="3"/>
      <c r="D21" s="3"/>
      <c r="E21" s="3"/>
      <c r="F21" s="1">
        <v>13</v>
      </c>
      <c r="G21" s="32">
        <v>8084.26</v>
      </c>
      <c r="I21" t="str">
        <v>Category05</v>
      </c>
      <c r="J21">
        <v>91617.19</v>
      </c>
      <c r="L21" s="1" t="s">
        <v>82</v>
      </c>
      <c r="M21" s="32">
        <v>8423.52</v>
      </c>
      <c r="P21">
        <f t="shared" ca="1" si="1"/>
        <v>22</v>
      </c>
      <c r="Q21" t="str">
        <f ca="1"/>
        <v>Product13</v>
      </c>
      <c r="R21">
        <f ca="1"/>
        <v>8423.52</v>
      </c>
    </row>
    <row r="22" spans="1:18" ht="21" x14ac:dyDescent="0.4">
      <c r="A22" s="3" t="s">
        <v>122</v>
      </c>
      <c r="B22" s="3"/>
      <c r="C22" s="3"/>
      <c r="D22" s="3"/>
      <c r="E22" s="3"/>
      <c r="F22" s="1">
        <v>14</v>
      </c>
      <c r="G22" s="32">
        <v>9461.1400000000012</v>
      </c>
      <c r="L22" s="1" t="s">
        <v>83</v>
      </c>
      <c r="M22" s="32">
        <v>12764.640000000001</v>
      </c>
      <c r="P22">
        <f t="shared" ca="1" si="1"/>
        <v>12</v>
      </c>
      <c r="Q22" t="str">
        <f ca="1"/>
        <v>Product14</v>
      </c>
      <c r="R22">
        <f ca="1"/>
        <v>12764.640000000001</v>
      </c>
    </row>
    <row r="23" spans="1:18" ht="21" x14ac:dyDescent="0.4">
      <c r="A23" s="3" t="s">
        <v>123</v>
      </c>
      <c r="B23" s="3"/>
      <c r="C23" s="3"/>
      <c r="D23" s="3"/>
      <c r="E23" s="3"/>
      <c r="F23" s="1">
        <v>15</v>
      </c>
      <c r="G23" s="32">
        <v>12189.7</v>
      </c>
      <c r="L23" s="1" t="s">
        <v>84</v>
      </c>
      <c r="M23" s="32">
        <v>1839.2399999999998</v>
      </c>
      <c r="P23">
        <f t="shared" ca="1" si="1"/>
        <v>41</v>
      </c>
      <c r="Q23" t="str">
        <f ca="1"/>
        <v>Product15</v>
      </c>
      <c r="R23">
        <f ca="1"/>
        <v>1839.2399999999998</v>
      </c>
    </row>
    <row r="24" spans="1:18" ht="21" x14ac:dyDescent="0.4">
      <c r="A24" s="3" t="s">
        <v>124</v>
      </c>
      <c r="B24" s="3"/>
      <c r="C24" s="3"/>
      <c r="D24" s="3"/>
      <c r="E24" s="3"/>
      <c r="F24" s="1">
        <v>16</v>
      </c>
      <c r="G24" s="32">
        <v>12762.63</v>
      </c>
      <c r="L24" s="1" t="s">
        <v>85</v>
      </c>
      <c r="M24" s="32">
        <v>1996.8</v>
      </c>
      <c r="P24">
        <f t="shared" ca="1" si="1"/>
        <v>40</v>
      </c>
      <c r="Q24" t="str">
        <f ca="1"/>
        <v>Product16</v>
      </c>
      <c r="R24">
        <f ca="1"/>
        <v>1996.8</v>
      </c>
    </row>
    <row r="25" spans="1:18" ht="21" x14ac:dyDescent="0.4">
      <c r="A25" s="3" t="s">
        <v>125</v>
      </c>
      <c r="B25" s="3"/>
      <c r="C25" s="3"/>
      <c r="D25" s="3"/>
      <c r="E25" s="3"/>
      <c r="F25" s="1">
        <v>17</v>
      </c>
      <c r="G25" s="32">
        <v>3659.24</v>
      </c>
      <c r="L25" s="1" t="s">
        <v>86</v>
      </c>
      <c r="M25" s="32">
        <v>9877.1400000000012</v>
      </c>
      <c r="P25">
        <f t="shared" ca="1" si="1"/>
        <v>18</v>
      </c>
      <c r="Q25" t="str">
        <f ca="1"/>
        <v>Product17</v>
      </c>
      <c r="R25">
        <f ca="1"/>
        <v>9877.1400000000012</v>
      </c>
    </row>
    <row r="26" spans="1:18" ht="21" x14ac:dyDescent="0.4">
      <c r="A26" s="3" t="s">
        <v>126</v>
      </c>
      <c r="B26" s="3"/>
      <c r="C26" s="3"/>
      <c r="D26" s="3"/>
      <c r="E26" s="3"/>
      <c r="F26" s="1">
        <v>18</v>
      </c>
      <c r="G26" s="32">
        <v>18582.390000000003</v>
      </c>
      <c r="L26" s="1" t="s">
        <v>87</v>
      </c>
      <c r="M26" s="32">
        <v>4035.2200000000003</v>
      </c>
      <c r="P26">
        <f t="shared" ca="1" si="1"/>
        <v>36</v>
      </c>
      <c r="Q26" t="str">
        <f ca="1"/>
        <v>Product18</v>
      </c>
      <c r="R26">
        <f ca="1"/>
        <v>4035.2200000000003</v>
      </c>
    </row>
    <row r="27" spans="1:18" ht="21" x14ac:dyDescent="0.4">
      <c r="A27" s="3"/>
      <c r="B27" s="3"/>
      <c r="C27" s="3"/>
      <c r="D27" s="3"/>
      <c r="E27" s="3"/>
      <c r="F27" s="1">
        <v>19</v>
      </c>
      <c r="G27" s="32">
        <v>10204.229999999998</v>
      </c>
      <c r="L27" s="1" t="s">
        <v>88</v>
      </c>
      <c r="M27" s="32">
        <v>20160</v>
      </c>
      <c r="P27">
        <f t="shared" ca="1" si="1"/>
        <v>4</v>
      </c>
      <c r="Q27" t="str">
        <f ca="1"/>
        <v>Product19</v>
      </c>
      <c r="R27">
        <f ca="1"/>
        <v>20160</v>
      </c>
    </row>
    <row r="28" spans="1:18" ht="21" x14ac:dyDescent="0.4">
      <c r="A28" s="3" t="s">
        <v>127</v>
      </c>
      <c r="B28" s="3"/>
      <c r="C28" s="3"/>
      <c r="D28" s="3"/>
      <c r="E28" s="3"/>
      <c r="F28" s="1">
        <v>20</v>
      </c>
      <c r="G28" s="32">
        <v>20482.78</v>
      </c>
      <c r="L28" s="1" t="s">
        <v>89</v>
      </c>
      <c r="M28" s="32">
        <v>8006.25</v>
      </c>
      <c r="P28">
        <f t="shared" ca="1" si="1"/>
        <v>23</v>
      </c>
      <c r="Q28" t="str">
        <f ca="1"/>
        <v>Product20</v>
      </c>
      <c r="R28">
        <f ca="1"/>
        <v>8006.25</v>
      </c>
    </row>
    <row r="29" spans="1:18" ht="21" x14ac:dyDescent="0.4">
      <c r="A29" s="3" t="s">
        <v>128</v>
      </c>
      <c r="B29" s="3"/>
      <c r="C29" s="3"/>
      <c r="D29" s="3"/>
      <c r="E29" s="3"/>
      <c r="F29" s="1">
        <v>21</v>
      </c>
      <c r="G29" s="32">
        <v>10665.4</v>
      </c>
      <c r="L29" s="1" t="s">
        <v>90</v>
      </c>
      <c r="M29" s="32">
        <v>10727.64</v>
      </c>
      <c r="P29">
        <f t="shared" ca="1" si="1"/>
        <v>14</v>
      </c>
      <c r="Q29" t="str">
        <f ca="1"/>
        <v>Product21</v>
      </c>
      <c r="R29">
        <f ca="1"/>
        <v>10727.64</v>
      </c>
    </row>
    <row r="30" spans="1:18" ht="21" x14ac:dyDescent="0.4">
      <c r="A30" s="3" t="s">
        <v>129</v>
      </c>
      <c r="B30" s="3"/>
      <c r="C30" s="3"/>
      <c r="D30" s="3"/>
      <c r="E30" s="3"/>
      <c r="F30" s="1">
        <v>22</v>
      </c>
      <c r="G30" s="32">
        <v>11315.839999999997</v>
      </c>
      <c r="L30" s="1" t="s">
        <v>91</v>
      </c>
      <c r="M30" s="32">
        <v>9909.9</v>
      </c>
      <c r="P30">
        <f t="shared" ca="1" si="1"/>
        <v>17</v>
      </c>
      <c r="Q30" t="str">
        <f ca="1"/>
        <v>Product22</v>
      </c>
      <c r="R30">
        <f ca="1"/>
        <v>9909.9</v>
      </c>
    </row>
    <row r="31" spans="1:18" x14ac:dyDescent="0.3">
      <c r="F31" s="1">
        <v>23</v>
      </c>
      <c r="G31" s="32">
        <v>18818.189999999999</v>
      </c>
      <c r="L31" s="1" t="s">
        <v>92</v>
      </c>
      <c r="M31" s="32">
        <v>12853.560000000001</v>
      </c>
      <c r="P31">
        <f t="shared" ca="1" si="1"/>
        <v>11</v>
      </c>
      <c r="Q31" t="str">
        <f ca="1"/>
        <v>Product23</v>
      </c>
      <c r="R31">
        <f ca="1"/>
        <v>12853.560000000001</v>
      </c>
    </row>
    <row r="32" spans="1:18" x14ac:dyDescent="0.3">
      <c r="F32" s="1">
        <v>24</v>
      </c>
      <c r="G32" s="32">
        <v>11488.4</v>
      </c>
      <c r="L32" s="1" t="s">
        <v>93</v>
      </c>
      <c r="M32" s="32">
        <v>10202.400000000001</v>
      </c>
      <c r="P32">
        <f t="shared" ca="1" si="1"/>
        <v>16</v>
      </c>
      <c r="Q32" t="str">
        <f ca="1"/>
        <v>Product24</v>
      </c>
      <c r="R32">
        <f ca="1"/>
        <v>10202.400000000001</v>
      </c>
    </row>
    <row r="33" spans="6:18" x14ac:dyDescent="0.3">
      <c r="F33" s="1">
        <v>25</v>
      </c>
      <c r="G33" s="32">
        <v>18688.430000000004</v>
      </c>
      <c r="L33" s="1" t="s">
        <v>94</v>
      </c>
      <c r="M33" s="32">
        <v>599.7600000000001</v>
      </c>
      <c r="P33">
        <f t="shared" ca="1" si="1"/>
        <v>43</v>
      </c>
      <c r="Q33" t="str">
        <f ca="1"/>
        <v>Product25</v>
      </c>
      <c r="R33">
        <f ca="1"/>
        <v>599.7600000000001</v>
      </c>
    </row>
    <row r="34" spans="6:18" x14ac:dyDescent="0.3">
      <c r="F34" s="1">
        <v>26</v>
      </c>
      <c r="G34" s="32">
        <v>13710.079999999998</v>
      </c>
      <c r="L34" s="1" t="s">
        <v>95</v>
      </c>
      <c r="M34" s="32">
        <v>2761.9200000000005</v>
      </c>
      <c r="P34">
        <f t="shared" ca="1" si="1"/>
        <v>38</v>
      </c>
      <c r="Q34" t="str">
        <f ca="1"/>
        <v>Product26</v>
      </c>
      <c r="R34">
        <f ca="1"/>
        <v>2761.9200000000005</v>
      </c>
    </row>
    <row r="35" spans="6:18" x14ac:dyDescent="0.3">
      <c r="F35" s="1">
        <v>27</v>
      </c>
      <c r="G35" s="32">
        <v>11440.67</v>
      </c>
      <c r="L35" s="1" t="s">
        <v>97</v>
      </c>
      <c r="M35" s="32">
        <v>6226.0800000000008</v>
      </c>
      <c r="P35">
        <f t="shared" ca="1" si="1"/>
        <v>28</v>
      </c>
      <c r="Q35" t="str">
        <f ca="1"/>
        <v>Product27</v>
      </c>
      <c r="R35">
        <f ca="1"/>
        <v>6226.0800000000008</v>
      </c>
    </row>
    <row r="36" spans="6:18" x14ac:dyDescent="0.3">
      <c r="F36" s="1">
        <v>28</v>
      </c>
      <c r="G36" s="32">
        <v>13306.16</v>
      </c>
      <c r="L36" s="1" t="s">
        <v>98</v>
      </c>
      <c r="M36" s="32">
        <v>4682.72</v>
      </c>
      <c r="P36">
        <f t="shared" ca="1" si="1"/>
        <v>34</v>
      </c>
      <c r="Q36" t="str">
        <f ca="1"/>
        <v>Product28</v>
      </c>
      <c r="R36">
        <f ca="1"/>
        <v>4682.72</v>
      </c>
    </row>
    <row r="37" spans="6:18" x14ac:dyDescent="0.3">
      <c r="F37" s="1">
        <v>29</v>
      </c>
      <c r="G37" s="32">
        <v>8794.48</v>
      </c>
      <c r="L37" s="1" t="s">
        <v>99</v>
      </c>
      <c r="M37" s="32">
        <v>5523.44</v>
      </c>
      <c r="P37">
        <f t="shared" ca="1" si="1"/>
        <v>32</v>
      </c>
      <c r="Q37" t="str">
        <f ca="1"/>
        <v>Product29</v>
      </c>
      <c r="R37">
        <f ca="1"/>
        <v>5523.44</v>
      </c>
    </row>
    <row r="38" spans="6:18" x14ac:dyDescent="0.3">
      <c r="F38" s="1">
        <v>30</v>
      </c>
      <c r="G38" s="32">
        <v>16666.269999999997</v>
      </c>
      <c r="L38" s="1" t="s">
        <v>100</v>
      </c>
      <c r="M38" s="32">
        <v>22945.919999999998</v>
      </c>
      <c r="P38">
        <f t="shared" ca="1" si="1"/>
        <v>2</v>
      </c>
      <c r="Q38" t="str">
        <f ca="1"/>
        <v>Product30</v>
      </c>
      <c r="R38">
        <f ca="1"/>
        <v>22945.919999999998</v>
      </c>
    </row>
    <row r="39" spans="6:18" x14ac:dyDescent="0.3">
      <c r="F39" s="1">
        <v>31</v>
      </c>
      <c r="G39" s="32">
        <v>6920.0999999999995</v>
      </c>
      <c r="L39" s="1" t="s">
        <v>101</v>
      </c>
      <c r="M39" s="32">
        <v>6249.5999999999995</v>
      </c>
      <c r="P39">
        <f t="shared" ca="1" si="1"/>
        <v>27</v>
      </c>
      <c r="Q39" t="str">
        <f ca="1"/>
        <v>Product31</v>
      </c>
      <c r="R39">
        <f ca="1"/>
        <v>6249.5999999999995</v>
      </c>
    </row>
    <row r="40" spans="6:18" x14ac:dyDescent="0.3">
      <c r="L40" s="1" t="s">
        <v>102</v>
      </c>
      <c r="M40" s="32">
        <v>16329.72</v>
      </c>
      <c r="P40">
        <f t="shared" ca="1" si="1"/>
        <v>7</v>
      </c>
      <c r="Q40" t="str">
        <f ca="1"/>
        <v>Product32</v>
      </c>
      <c r="R40">
        <f ca="1"/>
        <v>16329.72</v>
      </c>
    </row>
    <row r="41" spans="6:18" x14ac:dyDescent="0.3">
      <c r="L41" s="1" t="s">
        <v>103</v>
      </c>
      <c r="M41" s="32">
        <v>13645.800000000001</v>
      </c>
      <c r="P41">
        <f t="shared" ca="1" si="1"/>
        <v>9</v>
      </c>
      <c r="Q41" t="str">
        <f ca="1"/>
        <v>Product33</v>
      </c>
      <c r="R41">
        <f ca="1"/>
        <v>13645.800000000001</v>
      </c>
    </row>
    <row r="42" spans="6:18" x14ac:dyDescent="0.3">
      <c r="L42" s="1" t="s">
        <v>104</v>
      </c>
      <c r="M42" s="32">
        <v>8978.2000000000007</v>
      </c>
      <c r="P42">
        <f t="shared" ca="1" si="1"/>
        <v>20</v>
      </c>
      <c r="Q42" t="str">
        <f ca="1"/>
        <v>Product34</v>
      </c>
      <c r="R42">
        <f ca="1"/>
        <v>8978.2000000000007</v>
      </c>
    </row>
    <row r="43" spans="6:18" x14ac:dyDescent="0.3">
      <c r="L43" s="1" t="s">
        <v>105</v>
      </c>
      <c r="M43" s="32">
        <v>703.5</v>
      </c>
      <c r="P43">
        <f t="shared" ca="1" si="1"/>
        <v>42</v>
      </c>
      <c r="Q43" t="str">
        <f ca="1"/>
        <v>Product35</v>
      </c>
      <c r="R43">
        <f ca="1"/>
        <v>703.5</v>
      </c>
    </row>
    <row r="44" spans="6:18" x14ac:dyDescent="0.3">
      <c r="L44" s="1" t="s">
        <v>106</v>
      </c>
      <c r="M44" s="32">
        <v>7222.5</v>
      </c>
      <c r="P44">
        <f t="shared" ca="1" si="1"/>
        <v>25</v>
      </c>
      <c r="Q44" t="str">
        <f ca="1"/>
        <v>Product36</v>
      </c>
      <c r="R44">
        <f ca="1"/>
        <v>7222.5</v>
      </c>
    </row>
    <row r="45" spans="6:18" x14ac:dyDescent="0.3">
      <c r="L45" s="1" t="s">
        <v>107</v>
      </c>
      <c r="M45" s="32">
        <v>5145.6000000000004</v>
      </c>
      <c r="P45">
        <f t="shared" ca="1" si="1"/>
        <v>33</v>
      </c>
      <c r="Q45" t="str">
        <f ca="1"/>
        <v>Product37</v>
      </c>
      <c r="R45">
        <f ca="1"/>
        <v>5145.6000000000004</v>
      </c>
    </row>
    <row r="46" spans="6:18" x14ac:dyDescent="0.3">
      <c r="L46" s="1" t="s">
        <v>109</v>
      </c>
      <c r="M46" s="32">
        <v>8871.1200000000008</v>
      </c>
      <c r="P46">
        <f t="shared" ca="1" si="1"/>
        <v>21</v>
      </c>
      <c r="Q46" t="str">
        <f ca="1"/>
        <v>Product38</v>
      </c>
      <c r="R46">
        <f ca="1"/>
        <v>8871.1200000000008</v>
      </c>
    </row>
    <row r="47" spans="6:18" x14ac:dyDescent="0.3">
      <c r="L47" s="1" t="s">
        <v>110</v>
      </c>
      <c r="M47" s="32">
        <v>3957.15</v>
      </c>
      <c r="P47">
        <f t="shared" ca="1" si="1"/>
        <v>37</v>
      </c>
      <c r="Q47" t="str">
        <f ca="1"/>
        <v>Product39</v>
      </c>
      <c r="R47">
        <f ca="1"/>
        <v>3957.15</v>
      </c>
    </row>
    <row r="48" spans="6:18" x14ac:dyDescent="0.3">
      <c r="L48" s="1" t="s">
        <v>111</v>
      </c>
      <c r="M48" s="32">
        <v>7718.4000000000005</v>
      </c>
      <c r="P48">
        <f t="shared" ca="1" si="1"/>
        <v>24</v>
      </c>
      <c r="Q48" t="str">
        <f ca="1"/>
        <v>Product40</v>
      </c>
      <c r="R48">
        <f ca="1"/>
        <v>7718.4000000000005</v>
      </c>
    </row>
    <row r="49" spans="12:18" x14ac:dyDescent="0.3">
      <c r="L49" s="1" t="s">
        <v>112</v>
      </c>
      <c r="M49" s="32">
        <v>22952.16</v>
      </c>
      <c r="P49">
        <f t="shared" ca="1" si="1"/>
        <v>1</v>
      </c>
      <c r="Q49" t="str">
        <f ca="1"/>
        <v>Product41</v>
      </c>
      <c r="R49">
        <f ca="1"/>
        <v>22952.16</v>
      </c>
    </row>
    <row r="50" spans="12:18" x14ac:dyDescent="0.3">
      <c r="L50" s="1" t="s">
        <v>113</v>
      </c>
      <c r="M50" s="32">
        <v>20574</v>
      </c>
      <c r="P50">
        <f t="shared" ca="1" si="1"/>
        <v>3</v>
      </c>
      <c r="Q50" t="str">
        <f ca="1"/>
        <v>Product42</v>
      </c>
      <c r="R50">
        <f ca="1"/>
        <v>20574</v>
      </c>
    </row>
    <row r="51" spans="12:18" x14ac:dyDescent="0.3">
      <c r="L51" s="1" t="s">
        <v>114</v>
      </c>
      <c r="M51" s="32">
        <v>6064.8399999999992</v>
      </c>
      <c r="P51">
        <f t="shared" ca="1" si="1"/>
        <v>29</v>
      </c>
      <c r="Q51" t="str">
        <f ca="1"/>
        <v>Product43</v>
      </c>
      <c r="R51">
        <f ca="1"/>
        <v>6064.8399999999992</v>
      </c>
    </row>
    <row r="52" spans="12:18" x14ac:dyDescent="0.3">
      <c r="L52" s="1" t="s">
        <v>115</v>
      </c>
      <c r="M52" s="32">
        <v>16333.92</v>
      </c>
      <c r="P52">
        <f t="shared" ca="1" si="1"/>
        <v>6</v>
      </c>
      <c r="Q52" t="str">
        <f ca="1"/>
        <v>Product44</v>
      </c>
      <c r="R52">
        <f ca="1"/>
        <v>16333.92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2204-012D-41A8-A09F-3548F13A7242}">
  <dimension ref="A1:Q528"/>
  <sheetViews>
    <sheetView topLeftCell="D503" workbookViewId="0">
      <selection activeCell="M511" sqref="M511"/>
    </sheetView>
  </sheetViews>
  <sheetFormatPr defaultRowHeight="14.4" x14ac:dyDescent="0.3"/>
  <cols>
    <col min="1" max="1" width="17.44140625" customWidth="1"/>
    <col min="4" max="4" width="17.5546875" customWidth="1"/>
    <col min="7" max="7" width="14" customWidth="1"/>
    <col min="8" max="8" width="16" customWidth="1"/>
    <col min="11" max="11" width="13.33203125" bestFit="1" customWidth="1"/>
    <col min="12" max="12" width="11.88671875" bestFit="1" customWidth="1"/>
    <col min="13" max="13" width="11.109375" bestFit="1" customWidth="1"/>
  </cols>
  <sheetData>
    <row r="1" spans="1:17" x14ac:dyDescent="0.3">
      <c r="A1" s="33" t="s">
        <v>130</v>
      </c>
      <c r="B1" s="33" t="s">
        <v>0</v>
      </c>
      <c r="C1" s="33" t="s">
        <v>1</v>
      </c>
      <c r="D1" s="33" t="s">
        <v>2</v>
      </c>
      <c r="E1" s="33" t="s">
        <v>3</v>
      </c>
      <c r="F1" s="33" t="s">
        <v>4</v>
      </c>
      <c r="G1" s="33" t="s">
        <v>5</v>
      </c>
      <c r="H1" s="33" t="s">
        <v>6</v>
      </c>
      <c r="I1" s="33" t="s">
        <v>7</v>
      </c>
      <c r="J1" s="33" t="s">
        <v>8</v>
      </c>
      <c r="K1" s="33" t="s">
        <v>9</v>
      </c>
      <c r="L1" s="33" t="s">
        <v>10</v>
      </c>
      <c r="M1" s="33" t="s">
        <v>11</v>
      </c>
      <c r="N1" s="33" t="s">
        <v>118</v>
      </c>
      <c r="O1" s="33" t="s">
        <v>12</v>
      </c>
      <c r="P1" s="33" t="s">
        <v>13</v>
      </c>
      <c r="Q1" s="34" t="s">
        <v>14</v>
      </c>
    </row>
    <row r="2" spans="1:17" x14ac:dyDescent="0.3">
      <c r="A2" s="35">
        <v>44197</v>
      </c>
      <c r="B2" s="36" t="s">
        <v>15</v>
      </c>
      <c r="C2" s="37">
        <v>9</v>
      </c>
      <c r="D2" s="37" t="s">
        <v>16</v>
      </c>
      <c r="E2" s="37" t="s">
        <v>17</v>
      </c>
      <c r="F2" s="38">
        <v>0</v>
      </c>
      <c r="G2" s="39" t="str">
        <f>VLOOKUP('Data 1'!$B2,'Data 2'!$A$1:$F$46,MATCH('Data 1'!G$1,'Data 2'!$A$1:$F$1,0),0)</f>
        <v>Product24</v>
      </c>
      <c r="H2" s="39" t="str">
        <f>VLOOKUP('Data 1'!$B2,'Data 2'!$A$1:$F$46,MATCH('Data 1'!H$1,'Data 2'!$A$1:$F$1,0),0)</f>
        <v>Category03</v>
      </c>
      <c r="I2" s="39" t="str">
        <f>VLOOKUP('Data 1'!$B2,'Data 2'!$A$1:$F$46,MATCH('Data 1'!I$1,'Data 2'!$A$1:$F$1,0),0)</f>
        <v>Ft</v>
      </c>
      <c r="J2" s="39">
        <f>VLOOKUP('Data 1'!$B2,'Data 2'!$A$1:$F$46,MATCH('Data 1'!J$1,'Data 2'!$A$1:$F$1,0),0)</f>
        <v>144</v>
      </c>
      <c r="K2" s="39">
        <f>VLOOKUP('Data 1'!$B2,'Data 2'!$A$1:$F$46,MATCH('Data 1'!K$1,'Data 2'!$A$1:$F$1,0),0)</f>
        <v>156.96</v>
      </c>
      <c r="L2" s="40">
        <f>SUM('Data 1'!$J2*'Data 1'!$C2)</f>
        <v>1296</v>
      </c>
      <c r="M2" s="40">
        <f>'Data 1'!$C2*'Data 1'!$K2</f>
        <v>1412.64</v>
      </c>
      <c r="N2" s="40">
        <f>'Data 1'!$M2-'Data 1'!$L2</f>
        <v>116.6400000000001</v>
      </c>
      <c r="O2" s="37">
        <f>DAY('Data 1'!$A2)</f>
        <v>1</v>
      </c>
      <c r="P2" s="37" t="str">
        <f>TEXT('Data 1'!$A2,"mmm")</f>
        <v>Jan</v>
      </c>
      <c r="Q2" s="41">
        <f>YEAR('Data 1'!$A2)</f>
        <v>2021</v>
      </c>
    </row>
    <row r="3" spans="1:17" x14ac:dyDescent="0.3">
      <c r="A3" s="35">
        <v>44198</v>
      </c>
      <c r="B3" s="36" t="s">
        <v>18</v>
      </c>
      <c r="C3" s="37">
        <v>15</v>
      </c>
      <c r="D3" s="37" t="s">
        <v>17</v>
      </c>
      <c r="E3" s="37" t="s">
        <v>19</v>
      </c>
      <c r="F3" s="38">
        <v>0</v>
      </c>
      <c r="G3" s="42" t="str">
        <f>VLOOKUP('Data 1'!$B3,'Data 2'!$A$1:$F$46,MATCH('Data 1'!G$1,'Data 2'!$A$1:$F$1,0),0)</f>
        <v>Product38</v>
      </c>
      <c r="H3" s="42" t="str">
        <f>VLOOKUP('Data 1'!$B3,'Data 2'!$A$1:$F$46,MATCH('Data 1'!H$1,'Data 2'!$A$1:$F$1,0),0)</f>
        <v>Category05</v>
      </c>
      <c r="I3" s="42" t="str">
        <f>VLOOKUP('Data 1'!$B3,'Data 2'!$A$1:$F$46,MATCH('Data 1'!I$1,'Data 2'!$A$1:$F$1,0),0)</f>
        <v>Kg</v>
      </c>
      <c r="J3" s="42">
        <f>VLOOKUP('Data 1'!$B3,'Data 2'!$A$1:$F$46,MATCH('Data 1'!J$1,'Data 2'!$A$1:$F$1,0),0)</f>
        <v>72</v>
      </c>
      <c r="K3" s="42">
        <f>VLOOKUP('Data 1'!$B3,'Data 2'!$A$1:$F$46,MATCH('Data 1'!K$1,'Data 2'!$A$1:$F$1,0),0)</f>
        <v>79.92</v>
      </c>
      <c r="L3" s="40">
        <f>SUM('Data 1'!$J3*'Data 1'!$C3)</f>
        <v>1080</v>
      </c>
      <c r="M3" s="40">
        <f>'Data 1'!$C3*'Data 1'!$K3</f>
        <v>1198.8</v>
      </c>
      <c r="N3" s="40">
        <f>'Data 1'!$M3-'Data 1'!$L3</f>
        <v>118.79999999999995</v>
      </c>
      <c r="O3" s="37">
        <f>DAY('Data 1'!$A3)</f>
        <v>2</v>
      </c>
      <c r="P3" s="37" t="str">
        <f>TEXT('Data 1'!$A3,"mmm")</f>
        <v>Jan</v>
      </c>
      <c r="Q3" s="41">
        <f>YEAR('Data 1'!$A3)</f>
        <v>2021</v>
      </c>
    </row>
    <row r="4" spans="1:17" x14ac:dyDescent="0.3">
      <c r="A4" s="35">
        <v>44198</v>
      </c>
      <c r="B4" s="36" t="s">
        <v>20</v>
      </c>
      <c r="C4" s="37">
        <v>6</v>
      </c>
      <c r="D4" s="37" t="s">
        <v>21</v>
      </c>
      <c r="E4" s="37" t="s">
        <v>19</v>
      </c>
      <c r="F4" s="38">
        <v>0</v>
      </c>
      <c r="G4" s="39" t="str">
        <f>VLOOKUP('Data 1'!$B4,'Data 2'!$A$1:$F$46,MATCH('Data 1'!G$1,'Data 2'!$A$1:$F$1,0),0)</f>
        <v>Product13</v>
      </c>
      <c r="H4" s="39" t="str">
        <f>VLOOKUP('Data 1'!$B4,'Data 2'!$A$1:$F$46,MATCH('Data 1'!H$1,'Data 2'!$A$1:$F$1,0),0)</f>
        <v>Category02</v>
      </c>
      <c r="I4" s="39" t="str">
        <f>VLOOKUP('Data 1'!$B4,'Data 2'!$A$1:$F$46,MATCH('Data 1'!I$1,'Data 2'!$A$1:$F$1,0),0)</f>
        <v>Kg</v>
      </c>
      <c r="J4" s="39">
        <f>VLOOKUP('Data 1'!$B4,'Data 2'!$A$1:$F$46,MATCH('Data 1'!J$1,'Data 2'!$A$1:$F$1,0),0)</f>
        <v>112</v>
      </c>
      <c r="K4" s="39">
        <f>VLOOKUP('Data 1'!$B4,'Data 2'!$A$1:$F$46,MATCH('Data 1'!K$1,'Data 2'!$A$1:$F$1,0),0)</f>
        <v>122.08</v>
      </c>
      <c r="L4" s="40">
        <f>SUM('Data 1'!$J4*'Data 1'!$C4)</f>
        <v>672</v>
      </c>
      <c r="M4" s="40">
        <f>'Data 1'!$C4*'Data 1'!$K4</f>
        <v>732.48</v>
      </c>
      <c r="N4" s="40">
        <f>'Data 1'!$M4-'Data 1'!$L4</f>
        <v>60.480000000000018</v>
      </c>
      <c r="O4" s="37">
        <f>DAY('Data 1'!$A4)</f>
        <v>2</v>
      </c>
      <c r="P4" s="37" t="str">
        <f>TEXT('Data 1'!$A4,"mmm")</f>
        <v>Jan</v>
      </c>
      <c r="Q4" s="41">
        <f>YEAR('Data 1'!$A4)</f>
        <v>2021</v>
      </c>
    </row>
    <row r="5" spans="1:17" x14ac:dyDescent="0.3">
      <c r="A5" s="35">
        <v>44199</v>
      </c>
      <c r="B5" s="36" t="s">
        <v>22</v>
      </c>
      <c r="C5" s="37">
        <v>5</v>
      </c>
      <c r="D5" s="37" t="s">
        <v>21</v>
      </c>
      <c r="E5" s="37" t="s">
        <v>17</v>
      </c>
      <c r="F5" s="38">
        <v>0</v>
      </c>
      <c r="G5" s="42" t="str">
        <f>VLOOKUP('Data 1'!$B5,'Data 2'!$A$1:$F$46,MATCH('Data 1'!G$1,'Data 2'!$A$1:$F$1,0),0)</f>
        <v>Product04</v>
      </c>
      <c r="H5" s="42" t="str">
        <f>VLOOKUP('Data 1'!$B5,'Data 2'!$A$1:$F$46,MATCH('Data 1'!H$1,'Data 2'!$A$1:$F$1,0),0)</f>
        <v>Category01</v>
      </c>
      <c r="I5" s="42" t="str">
        <f>VLOOKUP('Data 1'!$B5,'Data 2'!$A$1:$F$46,MATCH('Data 1'!I$1,'Data 2'!$A$1:$F$1,0),0)</f>
        <v>Lt</v>
      </c>
      <c r="J5" s="42">
        <f>VLOOKUP('Data 1'!$B5,'Data 2'!$A$1:$F$46,MATCH('Data 1'!J$1,'Data 2'!$A$1:$F$1,0),0)</f>
        <v>44</v>
      </c>
      <c r="K5" s="42">
        <f>VLOOKUP('Data 1'!$B5,'Data 2'!$A$1:$F$46,MATCH('Data 1'!K$1,'Data 2'!$A$1:$F$1,0),0)</f>
        <v>48.84</v>
      </c>
      <c r="L5" s="40">
        <f>SUM('Data 1'!$J5*'Data 1'!$C5)</f>
        <v>220</v>
      </c>
      <c r="M5" s="40">
        <f>'Data 1'!$C5*'Data 1'!$K5</f>
        <v>244.20000000000002</v>
      </c>
      <c r="N5" s="40">
        <f>'Data 1'!$M5-'Data 1'!$L5</f>
        <v>24.200000000000017</v>
      </c>
      <c r="O5" s="37">
        <f>DAY('Data 1'!$A5)</f>
        <v>3</v>
      </c>
      <c r="P5" s="37" t="str">
        <f>TEXT('Data 1'!$A5,"mmm")</f>
        <v>Jan</v>
      </c>
      <c r="Q5" s="41">
        <f>YEAR('Data 1'!$A5)</f>
        <v>2021</v>
      </c>
    </row>
    <row r="6" spans="1:17" x14ac:dyDescent="0.3">
      <c r="A6" s="35">
        <v>44200</v>
      </c>
      <c r="B6" s="36" t="s">
        <v>23</v>
      </c>
      <c r="C6" s="37">
        <v>12</v>
      </c>
      <c r="D6" s="37" t="s">
        <v>17</v>
      </c>
      <c r="E6" s="37" t="s">
        <v>17</v>
      </c>
      <c r="F6" s="38">
        <v>0</v>
      </c>
      <c r="G6" s="39" t="str">
        <f>VLOOKUP('Data 1'!$B6,'Data 2'!$A$1:$F$46,MATCH('Data 1'!G$1,'Data 2'!$A$1:$F$1,0),0)</f>
        <v>Product35</v>
      </c>
      <c r="H6" s="39" t="str">
        <f>VLOOKUP('Data 1'!$B6,'Data 2'!$A$1:$F$46,MATCH('Data 1'!H$1,'Data 2'!$A$1:$F$1,0),0)</f>
        <v>Category04</v>
      </c>
      <c r="I6" s="39" t="str">
        <f>VLOOKUP('Data 1'!$B6,'Data 2'!$A$1:$F$46,MATCH('Data 1'!I$1,'Data 2'!$A$1:$F$1,0),0)</f>
        <v>No.</v>
      </c>
      <c r="J6" s="39">
        <f>VLOOKUP('Data 1'!$B6,'Data 2'!$A$1:$F$46,MATCH('Data 1'!J$1,'Data 2'!$A$1:$F$1,0),0)</f>
        <v>5</v>
      </c>
      <c r="K6" s="39">
        <f>VLOOKUP('Data 1'!$B6,'Data 2'!$A$1:$F$46,MATCH('Data 1'!K$1,'Data 2'!$A$1:$F$1,0),0)</f>
        <v>6.7</v>
      </c>
      <c r="L6" s="40">
        <f>SUM('Data 1'!$J6*'Data 1'!$C6)</f>
        <v>60</v>
      </c>
      <c r="M6" s="40">
        <f>'Data 1'!$C6*'Data 1'!$K6</f>
        <v>80.400000000000006</v>
      </c>
      <c r="N6" s="40">
        <f>'Data 1'!$M6-'Data 1'!$L6</f>
        <v>20.400000000000006</v>
      </c>
      <c r="O6" s="37">
        <f>DAY('Data 1'!$A6)</f>
        <v>4</v>
      </c>
      <c r="P6" s="37" t="str">
        <f>TEXT('Data 1'!$A6,"mmm")</f>
        <v>Jan</v>
      </c>
      <c r="Q6" s="41">
        <f>YEAR('Data 1'!$A6)</f>
        <v>2021</v>
      </c>
    </row>
    <row r="7" spans="1:17" x14ac:dyDescent="0.3">
      <c r="A7" s="35">
        <v>44205</v>
      </c>
      <c r="B7" s="36" t="s">
        <v>24</v>
      </c>
      <c r="C7" s="37">
        <v>1</v>
      </c>
      <c r="D7" s="37" t="s">
        <v>21</v>
      </c>
      <c r="E7" s="37" t="s">
        <v>19</v>
      </c>
      <c r="F7" s="38">
        <v>0</v>
      </c>
      <c r="G7" s="42" t="str">
        <f>VLOOKUP('Data 1'!$B7,'Data 2'!$A$1:$F$46,MATCH('Data 1'!G$1,'Data 2'!$A$1:$F$1,0),0)</f>
        <v>Product31</v>
      </c>
      <c r="H7" s="42" t="str">
        <f>VLOOKUP('Data 1'!$B7,'Data 2'!$A$1:$F$46,MATCH('Data 1'!H$1,'Data 2'!$A$1:$F$1,0),0)</f>
        <v>Category04</v>
      </c>
      <c r="I7" s="42" t="str">
        <f>VLOOKUP('Data 1'!$B7,'Data 2'!$A$1:$F$46,MATCH('Data 1'!I$1,'Data 2'!$A$1:$F$1,0),0)</f>
        <v>Kg</v>
      </c>
      <c r="J7" s="42">
        <f>VLOOKUP('Data 1'!$B7,'Data 2'!$A$1:$F$46,MATCH('Data 1'!J$1,'Data 2'!$A$1:$F$1,0),0)</f>
        <v>93</v>
      </c>
      <c r="K7" s="42">
        <f>VLOOKUP('Data 1'!$B7,'Data 2'!$A$1:$F$46,MATCH('Data 1'!K$1,'Data 2'!$A$1:$F$1,0),0)</f>
        <v>104.16</v>
      </c>
      <c r="L7" s="40">
        <f>SUM('Data 1'!$J7*'Data 1'!$C7)</f>
        <v>93</v>
      </c>
      <c r="M7" s="40">
        <f>'Data 1'!$C7*'Data 1'!$K7</f>
        <v>104.16</v>
      </c>
      <c r="N7" s="40">
        <f>'Data 1'!$M7-'Data 1'!$L7</f>
        <v>11.159999999999997</v>
      </c>
      <c r="O7" s="37">
        <f>DAY('Data 1'!$A7)</f>
        <v>9</v>
      </c>
      <c r="P7" s="37" t="str">
        <f>TEXT('Data 1'!$A7,"mmm")</f>
        <v>Jan</v>
      </c>
      <c r="Q7" s="41">
        <f>YEAR('Data 1'!$A7)</f>
        <v>2021</v>
      </c>
    </row>
    <row r="8" spans="1:17" x14ac:dyDescent="0.3">
      <c r="A8" s="35">
        <v>44205</v>
      </c>
      <c r="B8" s="36" t="s">
        <v>25</v>
      </c>
      <c r="C8" s="37">
        <v>8</v>
      </c>
      <c r="D8" s="37" t="s">
        <v>21</v>
      </c>
      <c r="E8" s="37" t="s">
        <v>19</v>
      </c>
      <c r="F8" s="38">
        <v>0</v>
      </c>
      <c r="G8" s="39" t="str">
        <f>VLOOKUP('Data 1'!$B8,'Data 2'!$A$1:$F$46,MATCH('Data 1'!G$1,'Data 2'!$A$1:$F$1,0),0)</f>
        <v>Product03</v>
      </c>
      <c r="H8" s="39" t="str">
        <f>VLOOKUP('Data 1'!$B8,'Data 2'!$A$1:$F$46,MATCH('Data 1'!H$1,'Data 2'!$A$1:$F$1,0),0)</f>
        <v>Category01</v>
      </c>
      <c r="I8" s="39" t="str">
        <f>VLOOKUP('Data 1'!$B8,'Data 2'!$A$1:$F$46,MATCH('Data 1'!I$1,'Data 2'!$A$1:$F$1,0),0)</f>
        <v>Kg</v>
      </c>
      <c r="J8" s="39">
        <f>VLOOKUP('Data 1'!$B8,'Data 2'!$A$1:$F$46,MATCH('Data 1'!J$1,'Data 2'!$A$1:$F$1,0),0)</f>
        <v>71</v>
      </c>
      <c r="K8" s="39">
        <f>VLOOKUP('Data 1'!$B8,'Data 2'!$A$1:$F$46,MATCH('Data 1'!K$1,'Data 2'!$A$1:$F$1,0),0)</f>
        <v>80.94</v>
      </c>
      <c r="L8" s="40">
        <f>SUM('Data 1'!$J8*'Data 1'!$C8)</f>
        <v>568</v>
      </c>
      <c r="M8" s="40">
        <f>'Data 1'!$C8*'Data 1'!$K8</f>
        <v>647.52</v>
      </c>
      <c r="N8" s="40">
        <f>'Data 1'!$M8-'Data 1'!$L8</f>
        <v>79.519999999999982</v>
      </c>
      <c r="O8" s="37">
        <f>DAY('Data 1'!$A8)</f>
        <v>9</v>
      </c>
      <c r="P8" s="37" t="str">
        <f>TEXT('Data 1'!$A8,"mmm")</f>
        <v>Jan</v>
      </c>
      <c r="Q8" s="41">
        <f>YEAR('Data 1'!$A8)</f>
        <v>2021</v>
      </c>
    </row>
    <row r="9" spans="1:17" x14ac:dyDescent="0.3">
      <c r="A9" s="35">
        <v>44205</v>
      </c>
      <c r="B9" s="36" t="s">
        <v>26</v>
      </c>
      <c r="C9" s="37">
        <v>4</v>
      </c>
      <c r="D9" s="37" t="s">
        <v>21</v>
      </c>
      <c r="E9" s="37" t="s">
        <v>17</v>
      </c>
      <c r="F9" s="38">
        <v>0</v>
      </c>
      <c r="G9" s="42" t="str">
        <f>VLOOKUP('Data 1'!$B9,'Data 2'!$A$1:$F$46,MATCH('Data 1'!G$1,'Data 2'!$A$1:$F$1,0),0)</f>
        <v>Product25</v>
      </c>
      <c r="H9" s="42" t="str">
        <f>VLOOKUP('Data 1'!$B9,'Data 2'!$A$1:$F$46,MATCH('Data 1'!H$1,'Data 2'!$A$1:$F$1,0),0)</f>
        <v>Category03</v>
      </c>
      <c r="I9" s="42" t="str">
        <f>VLOOKUP('Data 1'!$B9,'Data 2'!$A$1:$F$46,MATCH('Data 1'!I$1,'Data 2'!$A$1:$F$1,0),0)</f>
        <v>No.</v>
      </c>
      <c r="J9" s="42">
        <f>VLOOKUP('Data 1'!$B9,'Data 2'!$A$1:$F$46,MATCH('Data 1'!J$1,'Data 2'!$A$1:$F$1,0),0)</f>
        <v>7</v>
      </c>
      <c r="K9" s="42">
        <f>VLOOKUP('Data 1'!$B9,'Data 2'!$A$1:$F$46,MATCH('Data 1'!K$1,'Data 2'!$A$1:$F$1,0),0)</f>
        <v>8.33</v>
      </c>
      <c r="L9" s="40">
        <f>SUM('Data 1'!$J9*'Data 1'!$C9)</f>
        <v>28</v>
      </c>
      <c r="M9" s="40">
        <f>'Data 1'!$C9*'Data 1'!$K9</f>
        <v>33.32</v>
      </c>
      <c r="N9" s="40">
        <f>'Data 1'!$M9-'Data 1'!$L9</f>
        <v>5.32</v>
      </c>
      <c r="O9" s="37">
        <f>DAY('Data 1'!$A9)</f>
        <v>9</v>
      </c>
      <c r="P9" s="37" t="str">
        <f>TEXT('Data 1'!$A9,"mmm")</f>
        <v>Jan</v>
      </c>
      <c r="Q9" s="41">
        <f>YEAR('Data 1'!$A9)</f>
        <v>2021</v>
      </c>
    </row>
    <row r="10" spans="1:17" x14ac:dyDescent="0.3">
      <c r="A10" s="35">
        <v>44207</v>
      </c>
      <c r="B10" s="36" t="s">
        <v>27</v>
      </c>
      <c r="C10" s="37">
        <v>3</v>
      </c>
      <c r="D10" s="37" t="s">
        <v>21</v>
      </c>
      <c r="E10" s="37" t="s">
        <v>19</v>
      </c>
      <c r="F10" s="38">
        <v>0</v>
      </c>
      <c r="G10" s="39" t="str">
        <f>VLOOKUP('Data 1'!$B10,'Data 2'!$A$1:$F$46,MATCH('Data 1'!G$1,'Data 2'!$A$1:$F$1,0),0)</f>
        <v>Product37</v>
      </c>
      <c r="H10" s="39" t="str">
        <f>VLOOKUP('Data 1'!$B10,'Data 2'!$A$1:$F$46,MATCH('Data 1'!H$1,'Data 2'!$A$1:$F$1,0),0)</f>
        <v>Category05</v>
      </c>
      <c r="I10" s="39" t="str">
        <f>VLOOKUP('Data 1'!$B10,'Data 2'!$A$1:$F$46,MATCH('Data 1'!I$1,'Data 2'!$A$1:$F$1,0),0)</f>
        <v>Kg</v>
      </c>
      <c r="J10" s="39">
        <f>VLOOKUP('Data 1'!$B10,'Data 2'!$A$1:$F$46,MATCH('Data 1'!J$1,'Data 2'!$A$1:$F$1,0),0)</f>
        <v>67</v>
      </c>
      <c r="K10" s="39">
        <f>VLOOKUP('Data 1'!$B10,'Data 2'!$A$1:$F$46,MATCH('Data 1'!K$1,'Data 2'!$A$1:$F$1,0),0)</f>
        <v>85.76</v>
      </c>
      <c r="L10" s="40">
        <f>SUM('Data 1'!$J10*'Data 1'!$C10)</f>
        <v>201</v>
      </c>
      <c r="M10" s="40">
        <f>'Data 1'!$C10*'Data 1'!$K10</f>
        <v>257.28000000000003</v>
      </c>
      <c r="N10" s="40">
        <f>'Data 1'!$M10-'Data 1'!$L10</f>
        <v>56.28000000000003</v>
      </c>
      <c r="O10" s="37">
        <f>DAY('Data 1'!$A10)</f>
        <v>11</v>
      </c>
      <c r="P10" s="37" t="str">
        <f>TEXT('Data 1'!$A10,"mmm")</f>
        <v>Jan</v>
      </c>
      <c r="Q10" s="41">
        <f>YEAR('Data 1'!$A10)</f>
        <v>2021</v>
      </c>
    </row>
    <row r="11" spans="1:17" x14ac:dyDescent="0.3">
      <c r="A11" s="35">
        <v>44207</v>
      </c>
      <c r="B11" s="36" t="s">
        <v>28</v>
      </c>
      <c r="C11" s="37">
        <v>4</v>
      </c>
      <c r="D11" s="37" t="s">
        <v>16</v>
      </c>
      <c r="E11" s="37" t="s">
        <v>17</v>
      </c>
      <c r="F11" s="38">
        <v>0</v>
      </c>
      <c r="G11" s="42" t="str">
        <f>VLOOKUP('Data 1'!$B11,'Data 2'!$A$1:$F$46,MATCH('Data 1'!G$1,'Data 2'!$A$1:$F$1,0),0)</f>
        <v>Product14</v>
      </c>
      <c r="H11" s="42" t="str">
        <f>VLOOKUP('Data 1'!$B11,'Data 2'!$A$1:$F$46,MATCH('Data 1'!H$1,'Data 2'!$A$1:$F$1,0),0)</f>
        <v>Category02</v>
      </c>
      <c r="I11" s="42" t="str">
        <f>VLOOKUP('Data 1'!$B11,'Data 2'!$A$1:$F$46,MATCH('Data 1'!I$1,'Data 2'!$A$1:$F$1,0),0)</f>
        <v>Kg</v>
      </c>
      <c r="J11" s="42">
        <f>VLOOKUP('Data 1'!$B11,'Data 2'!$A$1:$F$46,MATCH('Data 1'!J$1,'Data 2'!$A$1:$F$1,0),0)</f>
        <v>112</v>
      </c>
      <c r="K11" s="42">
        <f>VLOOKUP('Data 1'!$B11,'Data 2'!$A$1:$F$46,MATCH('Data 1'!K$1,'Data 2'!$A$1:$F$1,0),0)</f>
        <v>146.72</v>
      </c>
      <c r="L11" s="40">
        <f>SUM('Data 1'!$J11*'Data 1'!$C11)</f>
        <v>448</v>
      </c>
      <c r="M11" s="40">
        <f>'Data 1'!$C11*'Data 1'!$K11</f>
        <v>586.88</v>
      </c>
      <c r="N11" s="40">
        <f>'Data 1'!$M11-'Data 1'!$L11</f>
        <v>138.88</v>
      </c>
      <c r="O11" s="37">
        <f>DAY('Data 1'!$A11)</f>
        <v>11</v>
      </c>
      <c r="P11" s="37" t="str">
        <f>TEXT('Data 1'!$A11,"mmm")</f>
        <v>Jan</v>
      </c>
      <c r="Q11" s="41">
        <f>YEAR('Data 1'!$A11)</f>
        <v>2021</v>
      </c>
    </row>
    <row r="12" spans="1:17" x14ac:dyDescent="0.3">
      <c r="A12" s="35">
        <v>44207</v>
      </c>
      <c r="B12" s="36" t="s">
        <v>29</v>
      </c>
      <c r="C12" s="37">
        <v>4</v>
      </c>
      <c r="D12" s="37" t="s">
        <v>21</v>
      </c>
      <c r="E12" s="37" t="s">
        <v>17</v>
      </c>
      <c r="F12" s="38">
        <v>0</v>
      </c>
      <c r="G12" s="39" t="str">
        <f>VLOOKUP('Data 1'!$B12,'Data 2'!$A$1:$F$46,MATCH('Data 1'!G$1,'Data 2'!$A$1:$F$1,0),0)</f>
        <v>Product42</v>
      </c>
      <c r="H12" s="39" t="str">
        <f>VLOOKUP('Data 1'!$B12,'Data 2'!$A$1:$F$46,MATCH('Data 1'!H$1,'Data 2'!$A$1:$F$1,0),0)</f>
        <v>Category05</v>
      </c>
      <c r="I12" s="39" t="str">
        <f>VLOOKUP('Data 1'!$B12,'Data 2'!$A$1:$F$46,MATCH('Data 1'!I$1,'Data 2'!$A$1:$F$1,0),0)</f>
        <v>Ft</v>
      </c>
      <c r="J12" s="39">
        <f>VLOOKUP('Data 1'!$B12,'Data 2'!$A$1:$F$46,MATCH('Data 1'!J$1,'Data 2'!$A$1:$F$1,0),0)</f>
        <v>120</v>
      </c>
      <c r="K12" s="39">
        <f>VLOOKUP('Data 1'!$B12,'Data 2'!$A$1:$F$46,MATCH('Data 1'!K$1,'Data 2'!$A$1:$F$1,0),0)</f>
        <v>162</v>
      </c>
      <c r="L12" s="40">
        <f>SUM('Data 1'!$J12*'Data 1'!$C12)</f>
        <v>480</v>
      </c>
      <c r="M12" s="40">
        <f>'Data 1'!$C12*'Data 1'!$K12</f>
        <v>648</v>
      </c>
      <c r="N12" s="40">
        <f>'Data 1'!$M12-'Data 1'!$L12</f>
        <v>168</v>
      </c>
      <c r="O12" s="37">
        <f>DAY('Data 1'!$A12)</f>
        <v>11</v>
      </c>
      <c r="P12" s="37" t="str">
        <f>TEXT('Data 1'!$A12,"mmm")</f>
        <v>Jan</v>
      </c>
      <c r="Q12" s="41">
        <f>YEAR('Data 1'!$A12)</f>
        <v>2021</v>
      </c>
    </row>
    <row r="13" spans="1:17" x14ac:dyDescent="0.3">
      <c r="A13" s="35">
        <v>44208</v>
      </c>
      <c r="B13" s="36" t="s">
        <v>29</v>
      </c>
      <c r="C13" s="37">
        <v>10</v>
      </c>
      <c r="D13" s="37" t="s">
        <v>17</v>
      </c>
      <c r="E13" s="37" t="s">
        <v>19</v>
      </c>
      <c r="F13" s="38">
        <v>0</v>
      </c>
      <c r="G13" s="42" t="str">
        <f>VLOOKUP('Data 1'!$B13,'Data 2'!$A$1:$F$46,MATCH('Data 1'!G$1,'Data 2'!$A$1:$F$1,0),0)</f>
        <v>Product42</v>
      </c>
      <c r="H13" s="42" t="str">
        <f>VLOOKUP('Data 1'!$B13,'Data 2'!$A$1:$F$46,MATCH('Data 1'!H$1,'Data 2'!$A$1:$F$1,0),0)</f>
        <v>Category05</v>
      </c>
      <c r="I13" s="42" t="str">
        <f>VLOOKUP('Data 1'!$B13,'Data 2'!$A$1:$F$46,MATCH('Data 1'!I$1,'Data 2'!$A$1:$F$1,0),0)</f>
        <v>Ft</v>
      </c>
      <c r="J13" s="42">
        <f>VLOOKUP('Data 1'!$B13,'Data 2'!$A$1:$F$46,MATCH('Data 1'!J$1,'Data 2'!$A$1:$F$1,0),0)</f>
        <v>120</v>
      </c>
      <c r="K13" s="42">
        <f>VLOOKUP('Data 1'!$B13,'Data 2'!$A$1:$F$46,MATCH('Data 1'!K$1,'Data 2'!$A$1:$F$1,0),0)</f>
        <v>162</v>
      </c>
      <c r="L13" s="40">
        <f>SUM('Data 1'!$J13*'Data 1'!$C13)</f>
        <v>1200</v>
      </c>
      <c r="M13" s="40">
        <f>'Data 1'!$C13*'Data 1'!$K13</f>
        <v>1620</v>
      </c>
      <c r="N13" s="40">
        <f>'Data 1'!$M13-'Data 1'!$L13</f>
        <v>420</v>
      </c>
      <c r="O13" s="37">
        <f>DAY('Data 1'!$A13)</f>
        <v>12</v>
      </c>
      <c r="P13" s="37" t="str">
        <f>TEXT('Data 1'!$A13,"mmm")</f>
        <v>Jan</v>
      </c>
      <c r="Q13" s="41">
        <f>YEAR('Data 1'!$A13)</f>
        <v>2021</v>
      </c>
    </row>
    <row r="14" spans="1:17" x14ac:dyDescent="0.3">
      <c r="A14" s="35">
        <v>44214</v>
      </c>
      <c r="B14" s="36" t="s">
        <v>30</v>
      </c>
      <c r="C14" s="37">
        <v>13</v>
      </c>
      <c r="D14" s="37" t="s">
        <v>21</v>
      </c>
      <c r="E14" s="37" t="s">
        <v>19</v>
      </c>
      <c r="F14" s="38">
        <v>0</v>
      </c>
      <c r="G14" s="39" t="str">
        <f>VLOOKUP('Data 1'!$B14,'Data 2'!$A$1:$F$46,MATCH('Data 1'!G$1,'Data 2'!$A$1:$F$1,0),0)</f>
        <v>Product44</v>
      </c>
      <c r="H14" s="39" t="str">
        <f>VLOOKUP('Data 1'!$B14,'Data 2'!$A$1:$F$46,MATCH('Data 1'!H$1,'Data 2'!$A$1:$F$1,0),0)</f>
        <v>Category05</v>
      </c>
      <c r="I14" s="39" t="str">
        <f>VLOOKUP('Data 1'!$B14,'Data 2'!$A$1:$F$46,MATCH('Data 1'!I$1,'Data 2'!$A$1:$F$1,0),0)</f>
        <v>Kg</v>
      </c>
      <c r="J14" s="39">
        <f>VLOOKUP('Data 1'!$B14,'Data 2'!$A$1:$F$46,MATCH('Data 1'!J$1,'Data 2'!$A$1:$F$1,0),0)</f>
        <v>76</v>
      </c>
      <c r="K14" s="39">
        <f>VLOOKUP('Data 1'!$B14,'Data 2'!$A$1:$F$46,MATCH('Data 1'!K$1,'Data 2'!$A$1:$F$1,0),0)</f>
        <v>82.08</v>
      </c>
      <c r="L14" s="40">
        <f>SUM('Data 1'!$J14*'Data 1'!$C14)</f>
        <v>988</v>
      </c>
      <c r="M14" s="40">
        <f>'Data 1'!$C14*'Data 1'!$K14</f>
        <v>1067.04</v>
      </c>
      <c r="N14" s="40">
        <f>'Data 1'!$M14-'Data 1'!$L14</f>
        <v>79.039999999999964</v>
      </c>
      <c r="O14" s="37">
        <f>DAY('Data 1'!$A14)</f>
        <v>18</v>
      </c>
      <c r="P14" s="37" t="str">
        <f>TEXT('Data 1'!$A14,"mmm")</f>
        <v>Jan</v>
      </c>
      <c r="Q14" s="41">
        <f>YEAR('Data 1'!$A14)</f>
        <v>2021</v>
      </c>
    </row>
    <row r="15" spans="1:17" x14ac:dyDescent="0.3">
      <c r="A15" s="35">
        <v>44214</v>
      </c>
      <c r="B15" s="36" t="s">
        <v>31</v>
      </c>
      <c r="C15" s="37">
        <v>3</v>
      </c>
      <c r="D15" s="37" t="s">
        <v>17</v>
      </c>
      <c r="E15" s="37" t="s">
        <v>19</v>
      </c>
      <c r="F15" s="38">
        <v>0</v>
      </c>
      <c r="G15" s="42" t="str">
        <f>VLOOKUP('Data 1'!$B15,'Data 2'!$A$1:$F$46,MATCH('Data 1'!G$1,'Data 2'!$A$1:$F$1,0),0)</f>
        <v>Product23</v>
      </c>
      <c r="H15" s="42" t="str">
        <f>VLOOKUP('Data 1'!$B15,'Data 2'!$A$1:$F$46,MATCH('Data 1'!H$1,'Data 2'!$A$1:$F$1,0),0)</f>
        <v>Category03</v>
      </c>
      <c r="I15" s="42" t="str">
        <f>VLOOKUP('Data 1'!$B15,'Data 2'!$A$1:$F$46,MATCH('Data 1'!I$1,'Data 2'!$A$1:$F$1,0),0)</f>
        <v>Ft</v>
      </c>
      <c r="J15" s="42">
        <f>VLOOKUP('Data 1'!$B15,'Data 2'!$A$1:$F$46,MATCH('Data 1'!J$1,'Data 2'!$A$1:$F$1,0),0)</f>
        <v>141</v>
      </c>
      <c r="K15" s="42">
        <f>VLOOKUP('Data 1'!$B15,'Data 2'!$A$1:$F$46,MATCH('Data 1'!K$1,'Data 2'!$A$1:$F$1,0),0)</f>
        <v>149.46</v>
      </c>
      <c r="L15" s="40">
        <f>SUM('Data 1'!$J15*'Data 1'!$C15)</f>
        <v>423</v>
      </c>
      <c r="M15" s="40">
        <f>'Data 1'!$C15*'Data 1'!$K15</f>
        <v>448.38</v>
      </c>
      <c r="N15" s="40">
        <f>'Data 1'!$M15-'Data 1'!$L15</f>
        <v>25.379999999999995</v>
      </c>
      <c r="O15" s="37">
        <f>DAY('Data 1'!$A15)</f>
        <v>18</v>
      </c>
      <c r="P15" s="37" t="str">
        <f>TEXT('Data 1'!$A15,"mmm")</f>
        <v>Jan</v>
      </c>
      <c r="Q15" s="41">
        <f>YEAR('Data 1'!$A15)</f>
        <v>2021</v>
      </c>
    </row>
    <row r="16" spans="1:17" x14ac:dyDescent="0.3">
      <c r="A16" s="35">
        <v>44215</v>
      </c>
      <c r="B16" s="36" t="s">
        <v>23</v>
      </c>
      <c r="C16" s="37">
        <v>6</v>
      </c>
      <c r="D16" s="37" t="s">
        <v>21</v>
      </c>
      <c r="E16" s="37" t="s">
        <v>19</v>
      </c>
      <c r="F16" s="38">
        <v>0</v>
      </c>
      <c r="G16" s="39" t="str">
        <f>VLOOKUP('Data 1'!$B16,'Data 2'!$A$1:$F$46,MATCH('Data 1'!G$1,'Data 2'!$A$1:$F$1,0),0)</f>
        <v>Product35</v>
      </c>
      <c r="H16" s="39" t="str">
        <f>VLOOKUP('Data 1'!$B16,'Data 2'!$A$1:$F$46,MATCH('Data 1'!H$1,'Data 2'!$A$1:$F$1,0),0)</f>
        <v>Category04</v>
      </c>
      <c r="I16" s="39" t="str">
        <f>VLOOKUP('Data 1'!$B16,'Data 2'!$A$1:$F$46,MATCH('Data 1'!I$1,'Data 2'!$A$1:$F$1,0),0)</f>
        <v>No.</v>
      </c>
      <c r="J16" s="39">
        <f>VLOOKUP('Data 1'!$B16,'Data 2'!$A$1:$F$46,MATCH('Data 1'!J$1,'Data 2'!$A$1:$F$1,0),0)</f>
        <v>5</v>
      </c>
      <c r="K16" s="39">
        <f>VLOOKUP('Data 1'!$B16,'Data 2'!$A$1:$F$46,MATCH('Data 1'!K$1,'Data 2'!$A$1:$F$1,0),0)</f>
        <v>6.7</v>
      </c>
      <c r="L16" s="40">
        <f>SUM('Data 1'!$J16*'Data 1'!$C16)</f>
        <v>30</v>
      </c>
      <c r="M16" s="40">
        <f>'Data 1'!$C16*'Data 1'!$K16</f>
        <v>40.200000000000003</v>
      </c>
      <c r="N16" s="40">
        <f>'Data 1'!$M16-'Data 1'!$L16</f>
        <v>10.200000000000003</v>
      </c>
      <c r="O16" s="37">
        <f>DAY('Data 1'!$A16)</f>
        <v>19</v>
      </c>
      <c r="P16" s="37" t="str">
        <f>TEXT('Data 1'!$A16,"mmm")</f>
        <v>Jan</v>
      </c>
      <c r="Q16" s="41">
        <f>YEAR('Data 1'!$A16)</f>
        <v>2021</v>
      </c>
    </row>
    <row r="17" spans="1:17" x14ac:dyDescent="0.3">
      <c r="A17" s="35">
        <v>44216</v>
      </c>
      <c r="B17" s="36" t="s">
        <v>32</v>
      </c>
      <c r="C17" s="37">
        <v>4</v>
      </c>
      <c r="D17" s="37" t="s">
        <v>21</v>
      </c>
      <c r="E17" s="37" t="s">
        <v>19</v>
      </c>
      <c r="F17" s="38">
        <v>0</v>
      </c>
      <c r="G17" s="42" t="str">
        <f>VLOOKUP('Data 1'!$B17,'Data 2'!$A$1:$F$46,MATCH('Data 1'!G$1,'Data 2'!$A$1:$F$1,0),0)</f>
        <v>Product34</v>
      </c>
      <c r="H17" s="42" t="str">
        <f>VLOOKUP('Data 1'!$B17,'Data 2'!$A$1:$F$46,MATCH('Data 1'!H$1,'Data 2'!$A$1:$F$1,0),0)</f>
        <v>Category04</v>
      </c>
      <c r="I17" s="42" t="str">
        <f>VLOOKUP('Data 1'!$B17,'Data 2'!$A$1:$F$46,MATCH('Data 1'!I$1,'Data 2'!$A$1:$F$1,0),0)</f>
        <v>Lt</v>
      </c>
      <c r="J17" s="42">
        <f>VLOOKUP('Data 1'!$B17,'Data 2'!$A$1:$F$46,MATCH('Data 1'!J$1,'Data 2'!$A$1:$F$1,0),0)</f>
        <v>55</v>
      </c>
      <c r="K17" s="42">
        <f>VLOOKUP('Data 1'!$B17,'Data 2'!$A$1:$F$46,MATCH('Data 1'!K$1,'Data 2'!$A$1:$F$1,0),0)</f>
        <v>58.3</v>
      </c>
      <c r="L17" s="40">
        <f>SUM('Data 1'!$J17*'Data 1'!$C17)</f>
        <v>220</v>
      </c>
      <c r="M17" s="40">
        <f>'Data 1'!$C17*'Data 1'!$K17</f>
        <v>233.2</v>
      </c>
      <c r="N17" s="40">
        <f>'Data 1'!$M17-'Data 1'!$L17</f>
        <v>13.199999999999989</v>
      </c>
      <c r="O17" s="37">
        <f>DAY('Data 1'!$A17)</f>
        <v>20</v>
      </c>
      <c r="P17" s="37" t="str">
        <f>TEXT('Data 1'!$A17,"mmm")</f>
        <v>Jan</v>
      </c>
      <c r="Q17" s="41">
        <f>YEAR('Data 1'!$A17)</f>
        <v>2021</v>
      </c>
    </row>
    <row r="18" spans="1:17" x14ac:dyDescent="0.3">
      <c r="A18" s="35">
        <v>44216</v>
      </c>
      <c r="B18" s="36" t="s">
        <v>33</v>
      </c>
      <c r="C18" s="37">
        <v>4</v>
      </c>
      <c r="D18" s="37" t="s">
        <v>21</v>
      </c>
      <c r="E18" s="37" t="s">
        <v>19</v>
      </c>
      <c r="F18" s="38">
        <v>0</v>
      </c>
      <c r="G18" s="39" t="str">
        <f>VLOOKUP('Data 1'!$B18,'Data 2'!$A$1:$F$46,MATCH('Data 1'!G$1,'Data 2'!$A$1:$F$1,0),0)</f>
        <v>Product20</v>
      </c>
      <c r="H18" s="39" t="str">
        <f>VLOOKUP('Data 1'!$B18,'Data 2'!$A$1:$F$46,MATCH('Data 1'!H$1,'Data 2'!$A$1:$F$1,0),0)</f>
        <v>Category03</v>
      </c>
      <c r="I18" s="39" t="str">
        <f>VLOOKUP('Data 1'!$B18,'Data 2'!$A$1:$F$46,MATCH('Data 1'!I$1,'Data 2'!$A$1:$F$1,0),0)</f>
        <v>Lt</v>
      </c>
      <c r="J18" s="39">
        <f>VLOOKUP('Data 1'!$B18,'Data 2'!$A$1:$F$46,MATCH('Data 1'!J$1,'Data 2'!$A$1:$F$1,0),0)</f>
        <v>61</v>
      </c>
      <c r="K18" s="39">
        <f>VLOOKUP('Data 1'!$B18,'Data 2'!$A$1:$F$46,MATCH('Data 1'!K$1,'Data 2'!$A$1:$F$1,0),0)</f>
        <v>76.25</v>
      </c>
      <c r="L18" s="40">
        <f>SUM('Data 1'!$J18*'Data 1'!$C18)</f>
        <v>244</v>
      </c>
      <c r="M18" s="40">
        <f>'Data 1'!$C18*'Data 1'!$K18</f>
        <v>305</v>
      </c>
      <c r="N18" s="40">
        <f>'Data 1'!$M18-'Data 1'!$L18</f>
        <v>61</v>
      </c>
      <c r="O18" s="37">
        <f>DAY('Data 1'!$A18)</f>
        <v>20</v>
      </c>
      <c r="P18" s="37" t="str">
        <f>TEXT('Data 1'!$A18,"mmm")</f>
        <v>Jan</v>
      </c>
      <c r="Q18" s="41">
        <f>YEAR('Data 1'!$A18)</f>
        <v>2021</v>
      </c>
    </row>
    <row r="19" spans="1:17" x14ac:dyDescent="0.3">
      <c r="A19" s="35">
        <v>44217</v>
      </c>
      <c r="B19" s="36" t="s">
        <v>22</v>
      </c>
      <c r="C19" s="37">
        <v>15</v>
      </c>
      <c r="D19" s="37" t="s">
        <v>16</v>
      </c>
      <c r="E19" s="37" t="s">
        <v>19</v>
      </c>
      <c r="F19" s="38">
        <v>0</v>
      </c>
      <c r="G19" s="42" t="str">
        <f>VLOOKUP('Data 1'!$B19,'Data 2'!$A$1:$F$46,MATCH('Data 1'!G$1,'Data 2'!$A$1:$F$1,0),0)</f>
        <v>Product04</v>
      </c>
      <c r="H19" s="42" t="str">
        <f>VLOOKUP('Data 1'!$B19,'Data 2'!$A$1:$F$46,MATCH('Data 1'!H$1,'Data 2'!$A$1:$F$1,0),0)</f>
        <v>Category01</v>
      </c>
      <c r="I19" s="42" t="str">
        <f>VLOOKUP('Data 1'!$B19,'Data 2'!$A$1:$F$46,MATCH('Data 1'!I$1,'Data 2'!$A$1:$F$1,0),0)</f>
        <v>Lt</v>
      </c>
      <c r="J19" s="42">
        <f>VLOOKUP('Data 1'!$B19,'Data 2'!$A$1:$F$46,MATCH('Data 1'!J$1,'Data 2'!$A$1:$F$1,0),0)</f>
        <v>44</v>
      </c>
      <c r="K19" s="42">
        <f>VLOOKUP('Data 1'!$B19,'Data 2'!$A$1:$F$46,MATCH('Data 1'!K$1,'Data 2'!$A$1:$F$1,0),0)</f>
        <v>48.84</v>
      </c>
      <c r="L19" s="40">
        <f>SUM('Data 1'!$J19*'Data 1'!$C19)</f>
        <v>660</v>
      </c>
      <c r="M19" s="40">
        <f>'Data 1'!$C19*'Data 1'!$K19</f>
        <v>732.6</v>
      </c>
      <c r="N19" s="40">
        <f>'Data 1'!$M19-'Data 1'!$L19</f>
        <v>72.600000000000023</v>
      </c>
      <c r="O19" s="37">
        <f>DAY('Data 1'!$A19)</f>
        <v>21</v>
      </c>
      <c r="P19" s="37" t="str">
        <f>TEXT('Data 1'!$A19,"mmm")</f>
        <v>Jan</v>
      </c>
      <c r="Q19" s="41">
        <f>YEAR('Data 1'!$A19)</f>
        <v>2021</v>
      </c>
    </row>
    <row r="20" spans="1:17" x14ac:dyDescent="0.3">
      <c r="A20" s="35">
        <v>44217</v>
      </c>
      <c r="B20" s="36" t="s">
        <v>25</v>
      </c>
      <c r="C20" s="37">
        <v>9</v>
      </c>
      <c r="D20" s="37" t="s">
        <v>21</v>
      </c>
      <c r="E20" s="37" t="s">
        <v>17</v>
      </c>
      <c r="F20" s="38">
        <v>0</v>
      </c>
      <c r="G20" s="39" t="str">
        <f>VLOOKUP('Data 1'!$B20,'Data 2'!$A$1:$F$46,MATCH('Data 1'!G$1,'Data 2'!$A$1:$F$1,0),0)</f>
        <v>Product03</v>
      </c>
      <c r="H20" s="39" t="str">
        <f>VLOOKUP('Data 1'!$B20,'Data 2'!$A$1:$F$46,MATCH('Data 1'!H$1,'Data 2'!$A$1:$F$1,0),0)</f>
        <v>Category01</v>
      </c>
      <c r="I20" s="39" t="str">
        <f>VLOOKUP('Data 1'!$B20,'Data 2'!$A$1:$F$46,MATCH('Data 1'!I$1,'Data 2'!$A$1:$F$1,0),0)</f>
        <v>Kg</v>
      </c>
      <c r="J20" s="39">
        <f>VLOOKUP('Data 1'!$B20,'Data 2'!$A$1:$F$46,MATCH('Data 1'!J$1,'Data 2'!$A$1:$F$1,0),0)</f>
        <v>71</v>
      </c>
      <c r="K20" s="39">
        <f>VLOOKUP('Data 1'!$B20,'Data 2'!$A$1:$F$46,MATCH('Data 1'!K$1,'Data 2'!$A$1:$F$1,0),0)</f>
        <v>80.94</v>
      </c>
      <c r="L20" s="40">
        <f>SUM('Data 1'!$J20*'Data 1'!$C20)</f>
        <v>639</v>
      </c>
      <c r="M20" s="40">
        <f>'Data 1'!$C20*'Data 1'!$K20</f>
        <v>728.46</v>
      </c>
      <c r="N20" s="40">
        <f>'Data 1'!$M20-'Data 1'!$L20</f>
        <v>89.460000000000036</v>
      </c>
      <c r="O20" s="37">
        <f>DAY('Data 1'!$A20)</f>
        <v>21</v>
      </c>
      <c r="P20" s="37" t="str">
        <f>TEXT('Data 1'!$A20,"mmm")</f>
        <v>Jan</v>
      </c>
      <c r="Q20" s="41">
        <f>YEAR('Data 1'!$A20)</f>
        <v>2021</v>
      </c>
    </row>
    <row r="21" spans="1:17" x14ac:dyDescent="0.3">
      <c r="A21" s="35">
        <v>44217</v>
      </c>
      <c r="B21" s="36" t="s">
        <v>29</v>
      </c>
      <c r="C21" s="37">
        <v>6</v>
      </c>
      <c r="D21" s="37" t="s">
        <v>21</v>
      </c>
      <c r="E21" s="37" t="s">
        <v>17</v>
      </c>
      <c r="F21" s="38">
        <v>0</v>
      </c>
      <c r="G21" s="42" t="str">
        <f>VLOOKUP('Data 1'!$B21,'Data 2'!$A$1:$F$46,MATCH('Data 1'!G$1,'Data 2'!$A$1:$F$1,0),0)</f>
        <v>Product42</v>
      </c>
      <c r="H21" s="42" t="str">
        <f>VLOOKUP('Data 1'!$B21,'Data 2'!$A$1:$F$46,MATCH('Data 1'!H$1,'Data 2'!$A$1:$F$1,0),0)</f>
        <v>Category05</v>
      </c>
      <c r="I21" s="42" t="str">
        <f>VLOOKUP('Data 1'!$B21,'Data 2'!$A$1:$F$46,MATCH('Data 1'!I$1,'Data 2'!$A$1:$F$1,0),0)</f>
        <v>Ft</v>
      </c>
      <c r="J21" s="42">
        <f>VLOOKUP('Data 1'!$B21,'Data 2'!$A$1:$F$46,MATCH('Data 1'!J$1,'Data 2'!$A$1:$F$1,0),0)</f>
        <v>120</v>
      </c>
      <c r="K21" s="42">
        <f>VLOOKUP('Data 1'!$B21,'Data 2'!$A$1:$F$46,MATCH('Data 1'!K$1,'Data 2'!$A$1:$F$1,0),0)</f>
        <v>162</v>
      </c>
      <c r="L21" s="40">
        <f>SUM('Data 1'!$J21*'Data 1'!$C21)</f>
        <v>720</v>
      </c>
      <c r="M21" s="40">
        <f>'Data 1'!$C21*'Data 1'!$K21</f>
        <v>972</v>
      </c>
      <c r="N21" s="40">
        <f>'Data 1'!$M21-'Data 1'!$L21</f>
        <v>252</v>
      </c>
      <c r="O21" s="37">
        <f>DAY('Data 1'!$A21)</f>
        <v>21</v>
      </c>
      <c r="P21" s="37" t="str">
        <f>TEXT('Data 1'!$A21,"mmm")</f>
        <v>Jan</v>
      </c>
      <c r="Q21" s="41">
        <f>YEAR('Data 1'!$A21)</f>
        <v>2021</v>
      </c>
    </row>
    <row r="22" spans="1:17" x14ac:dyDescent="0.3">
      <c r="A22" s="35">
        <v>44221</v>
      </c>
      <c r="B22" s="36" t="s">
        <v>32</v>
      </c>
      <c r="C22" s="37">
        <v>6</v>
      </c>
      <c r="D22" s="37" t="s">
        <v>21</v>
      </c>
      <c r="E22" s="37" t="s">
        <v>19</v>
      </c>
      <c r="F22" s="38">
        <v>0</v>
      </c>
      <c r="G22" s="39" t="str">
        <f>VLOOKUP('Data 1'!$B22,'Data 2'!$A$1:$F$46,MATCH('Data 1'!G$1,'Data 2'!$A$1:$F$1,0),0)</f>
        <v>Product34</v>
      </c>
      <c r="H22" s="39" t="str">
        <f>VLOOKUP('Data 1'!$B22,'Data 2'!$A$1:$F$46,MATCH('Data 1'!H$1,'Data 2'!$A$1:$F$1,0),0)</f>
        <v>Category04</v>
      </c>
      <c r="I22" s="39" t="str">
        <f>VLOOKUP('Data 1'!$B22,'Data 2'!$A$1:$F$46,MATCH('Data 1'!I$1,'Data 2'!$A$1:$F$1,0),0)</f>
        <v>Lt</v>
      </c>
      <c r="J22" s="39">
        <f>VLOOKUP('Data 1'!$B22,'Data 2'!$A$1:$F$46,MATCH('Data 1'!J$1,'Data 2'!$A$1:$F$1,0),0)</f>
        <v>55</v>
      </c>
      <c r="K22" s="39">
        <f>VLOOKUP('Data 1'!$B22,'Data 2'!$A$1:$F$46,MATCH('Data 1'!K$1,'Data 2'!$A$1:$F$1,0),0)</f>
        <v>58.3</v>
      </c>
      <c r="L22" s="40">
        <f>SUM('Data 1'!$J22*'Data 1'!$C22)</f>
        <v>330</v>
      </c>
      <c r="M22" s="40">
        <f>'Data 1'!$C22*'Data 1'!$K22</f>
        <v>349.79999999999995</v>
      </c>
      <c r="N22" s="40">
        <f>'Data 1'!$M22-'Data 1'!$L22</f>
        <v>19.799999999999955</v>
      </c>
      <c r="O22" s="37">
        <f>DAY('Data 1'!$A22)</f>
        <v>25</v>
      </c>
      <c r="P22" s="37" t="str">
        <f>TEXT('Data 1'!$A22,"mmm")</f>
        <v>Jan</v>
      </c>
      <c r="Q22" s="41">
        <f>YEAR('Data 1'!$A22)</f>
        <v>2021</v>
      </c>
    </row>
    <row r="23" spans="1:17" x14ac:dyDescent="0.3">
      <c r="A23" s="35">
        <v>44221</v>
      </c>
      <c r="B23" s="36" t="s">
        <v>23</v>
      </c>
      <c r="C23" s="37">
        <v>7</v>
      </c>
      <c r="D23" s="37" t="s">
        <v>21</v>
      </c>
      <c r="E23" s="37" t="s">
        <v>17</v>
      </c>
      <c r="F23" s="38">
        <v>0</v>
      </c>
      <c r="G23" s="42" t="str">
        <f>VLOOKUP('Data 1'!$B23,'Data 2'!$A$1:$F$46,MATCH('Data 1'!G$1,'Data 2'!$A$1:$F$1,0),0)</f>
        <v>Product35</v>
      </c>
      <c r="H23" s="42" t="str">
        <f>VLOOKUP('Data 1'!$B23,'Data 2'!$A$1:$F$46,MATCH('Data 1'!H$1,'Data 2'!$A$1:$F$1,0),0)</f>
        <v>Category04</v>
      </c>
      <c r="I23" s="42" t="str">
        <f>VLOOKUP('Data 1'!$B23,'Data 2'!$A$1:$F$46,MATCH('Data 1'!I$1,'Data 2'!$A$1:$F$1,0),0)</f>
        <v>No.</v>
      </c>
      <c r="J23" s="42">
        <f>VLOOKUP('Data 1'!$B23,'Data 2'!$A$1:$F$46,MATCH('Data 1'!J$1,'Data 2'!$A$1:$F$1,0),0)</f>
        <v>5</v>
      </c>
      <c r="K23" s="42">
        <f>VLOOKUP('Data 1'!$B23,'Data 2'!$A$1:$F$46,MATCH('Data 1'!K$1,'Data 2'!$A$1:$F$1,0),0)</f>
        <v>6.7</v>
      </c>
      <c r="L23" s="40">
        <f>SUM('Data 1'!$J23*'Data 1'!$C23)</f>
        <v>35</v>
      </c>
      <c r="M23" s="40">
        <f>'Data 1'!$C23*'Data 1'!$K23</f>
        <v>46.9</v>
      </c>
      <c r="N23" s="40">
        <f>'Data 1'!$M23-'Data 1'!$L23</f>
        <v>11.899999999999999</v>
      </c>
      <c r="O23" s="37">
        <f>DAY('Data 1'!$A23)</f>
        <v>25</v>
      </c>
      <c r="P23" s="37" t="str">
        <f>TEXT('Data 1'!$A23,"mmm")</f>
        <v>Jan</v>
      </c>
      <c r="Q23" s="41">
        <f>YEAR('Data 1'!$A23)</f>
        <v>2021</v>
      </c>
    </row>
    <row r="24" spans="1:17" x14ac:dyDescent="0.3">
      <c r="A24" s="35">
        <v>44221</v>
      </c>
      <c r="B24" s="36" t="s">
        <v>24</v>
      </c>
      <c r="C24" s="37">
        <v>14</v>
      </c>
      <c r="D24" s="37" t="s">
        <v>21</v>
      </c>
      <c r="E24" s="37" t="s">
        <v>17</v>
      </c>
      <c r="F24" s="38">
        <v>0</v>
      </c>
      <c r="G24" s="39" t="str">
        <f>VLOOKUP('Data 1'!$B24,'Data 2'!$A$1:$F$46,MATCH('Data 1'!G$1,'Data 2'!$A$1:$F$1,0),0)</f>
        <v>Product31</v>
      </c>
      <c r="H24" s="39" t="str">
        <f>VLOOKUP('Data 1'!$B24,'Data 2'!$A$1:$F$46,MATCH('Data 1'!H$1,'Data 2'!$A$1:$F$1,0),0)</f>
        <v>Category04</v>
      </c>
      <c r="I24" s="39" t="str">
        <f>VLOOKUP('Data 1'!$B24,'Data 2'!$A$1:$F$46,MATCH('Data 1'!I$1,'Data 2'!$A$1:$F$1,0),0)</f>
        <v>Kg</v>
      </c>
      <c r="J24" s="39">
        <f>VLOOKUP('Data 1'!$B24,'Data 2'!$A$1:$F$46,MATCH('Data 1'!J$1,'Data 2'!$A$1:$F$1,0),0)</f>
        <v>93</v>
      </c>
      <c r="K24" s="39">
        <f>VLOOKUP('Data 1'!$B24,'Data 2'!$A$1:$F$46,MATCH('Data 1'!K$1,'Data 2'!$A$1:$F$1,0),0)</f>
        <v>104.16</v>
      </c>
      <c r="L24" s="40">
        <f>SUM('Data 1'!$J24*'Data 1'!$C24)</f>
        <v>1302</v>
      </c>
      <c r="M24" s="40">
        <f>'Data 1'!$C24*'Data 1'!$K24</f>
        <v>1458.24</v>
      </c>
      <c r="N24" s="40">
        <f>'Data 1'!$M24-'Data 1'!$L24</f>
        <v>156.24</v>
      </c>
      <c r="O24" s="37">
        <f>DAY('Data 1'!$A24)</f>
        <v>25</v>
      </c>
      <c r="P24" s="37" t="str">
        <f>TEXT('Data 1'!$A24,"mmm")</f>
        <v>Jan</v>
      </c>
      <c r="Q24" s="41">
        <f>YEAR('Data 1'!$A24)</f>
        <v>2021</v>
      </c>
    </row>
    <row r="25" spans="1:17" x14ac:dyDescent="0.3">
      <c r="A25" s="35">
        <v>44222</v>
      </c>
      <c r="B25" s="36" t="s">
        <v>30</v>
      </c>
      <c r="C25" s="37">
        <v>9</v>
      </c>
      <c r="D25" s="37" t="s">
        <v>16</v>
      </c>
      <c r="E25" s="37" t="s">
        <v>19</v>
      </c>
      <c r="F25" s="38">
        <v>0</v>
      </c>
      <c r="G25" s="42" t="str">
        <f>VLOOKUP('Data 1'!$B25,'Data 2'!$A$1:$F$46,MATCH('Data 1'!G$1,'Data 2'!$A$1:$F$1,0),0)</f>
        <v>Product44</v>
      </c>
      <c r="H25" s="42" t="str">
        <f>VLOOKUP('Data 1'!$B25,'Data 2'!$A$1:$F$46,MATCH('Data 1'!H$1,'Data 2'!$A$1:$F$1,0),0)</f>
        <v>Category05</v>
      </c>
      <c r="I25" s="42" t="str">
        <f>VLOOKUP('Data 1'!$B25,'Data 2'!$A$1:$F$46,MATCH('Data 1'!I$1,'Data 2'!$A$1:$F$1,0),0)</f>
        <v>Kg</v>
      </c>
      <c r="J25" s="42">
        <f>VLOOKUP('Data 1'!$B25,'Data 2'!$A$1:$F$46,MATCH('Data 1'!J$1,'Data 2'!$A$1:$F$1,0),0)</f>
        <v>76</v>
      </c>
      <c r="K25" s="42">
        <f>VLOOKUP('Data 1'!$B25,'Data 2'!$A$1:$F$46,MATCH('Data 1'!K$1,'Data 2'!$A$1:$F$1,0),0)</f>
        <v>82.08</v>
      </c>
      <c r="L25" s="40">
        <f>SUM('Data 1'!$J25*'Data 1'!$C25)</f>
        <v>684</v>
      </c>
      <c r="M25" s="40">
        <f>'Data 1'!$C25*'Data 1'!$K25</f>
        <v>738.72</v>
      </c>
      <c r="N25" s="40">
        <f>'Data 1'!$M25-'Data 1'!$L25</f>
        <v>54.720000000000027</v>
      </c>
      <c r="O25" s="37">
        <f>DAY('Data 1'!$A25)</f>
        <v>26</v>
      </c>
      <c r="P25" s="37" t="str">
        <f>TEXT('Data 1'!$A25,"mmm")</f>
        <v>Jan</v>
      </c>
      <c r="Q25" s="41">
        <f>YEAR('Data 1'!$A25)</f>
        <v>2021</v>
      </c>
    </row>
    <row r="26" spans="1:17" x14ac:dyDescent="0.3">
      <c r="A26" s="35">
        <v>44222</v>
      </c>
      <c r="B26" s="36" t="s">
        <v>34</v>
      </c>
      <c r="C26" s="37">
        <v>7</v>
      </c>
      <c r="D26" s="37" t="s">
        <v>17</v>
      </c>
      <c r="E26" s="37" t="s">
        <v>19</v>
      </c>
      <c r="F26" s="38">
        <v>0</v>
      </c>
      <c r="G26" s="39" t="str">
        <f>VLOOKUP('Data 1'!$B26,'Data 2'!$A$1:$F$46,MATCH('Data 1'!G$1,'Data 2'!$A$1:$F$1,0),0)</f>
        <v>Product06</v>
      </c>
      <c r="H26" s="39" t="str">
        <f>VLOOKUP('Data 1'!$B26,'Data 2'!$A$1:$F$46,MATCH('Data 1'!H$1,'Data 2'!$A$1:$F$1,0),0)</f>
        <v>Category01</v>
      </c>
      <c r="I26" s="39" t="str">
        <f>VLOOKUP('Data 1'!$B26,'Data 2'!$A$1:$F$46,MATCH('Data 1'!I$1,'Data 2'!$A$1:$F$1,0),0)</f>
        <v>Kg</v>
      </c>
      <c r="J26" s="39">
        <f>VLOOKUP('Data 1'!$B26,'Data 2'!$A$1:$F$46,MATCH('Data 1'!J$1,'Data 2'!$A$1:$F$1,0),0)</f>
        <v>75</v>
      </c>
      <c r="K26" s="39">
        <f>VLOOKUP('Data 1'!$B26,'Data 2'!$A$1:$F$46,MATCH('Data 1'!K$1,'Data 2'!$A$1:$F$1,0),0)</f>
        <v>85.5</v>
      </c>
      <c r="L26" s="40">
        <f>SUM('Data 1'!$J26*'Data 1'!$C26)</f>
        <v>525</v>
      </c>
      <c r="M26" s="40">
        <f>'Data 1'!$C26*'Data 1'!$K26</f>
        <v>598.5</v>
      </c>
      <c r="N26" s="40">
        <f>'Data 1'!$M26-'Data 1'!$L26</f>
        <v>73.5</v>
      </c>
      <c r="O26" s="37">
        <f>DAY('Data 1'!$A26)</f>
        <v>26</v>
      </c>
      <c r="P26" s="37" t="str">
        <f>TEXT('Data 1'!$A26,"mmm")</f>
        <v>Jan</v>
      </c>
      <c r="Q26" s="41">
        <f>YEAR('Data 1'!$A26)</f>
        <v>2021</v>
      </c>
    </row>
    <row r="27" spans="1:17" x14ac:dyDescent="0.3">
      <c r="A27" s="35">
        <v>44222</v>
      </c>
      <c r="B27" s="36" t="s">
        <v>35</v>
      </c>
      <c r="C27" s="37">
        <v>7</v>
      </c>
      <c r="D27" s="37" t="s">
        <v>17</v>
      </c>
      <c r="E27" s="37" t="s">
        <v>17</v>
      </c>
      <c r="F27" s="38">
        <v>0</v>
      </c>
      <c r="G27" s="42" t="str">
        <f>VLOOKUP('Data 1'!$B27,'Data 2'!$A$1:$F$46,MATCH('Data 1'!G$1,'Data 2'!$A$1:$F$1,0),0)</f>
        <v>Product01</v>
      </c>
      <c r="H27" s="42" t="str">
        <f>VLOOKUP('Data 1'!$B27,'Data 2'!$A$1:$F$46,MATCH('Data 1'!H$1,'Data 2'!$A$1:$F$1,0),0)</f>
        <v>Category01</v>
      </c>
      <c r="I27" s="42" t="str">
        <f>VLOOKUP('Data 1'!$B27,'Data 2'!$A$1:$F$46,MATCH('Data 1'!I$1,'Data 2'!$A$1:$F$1,0),0)</f>
        <v>Kg</v>
      </c>
      <c r="J27" s="42">
        <f>VLOOKUP('Data 1'!$B27,'Data 2'!$A$1:$F$46,MATCH('Data 1'!J$1,'Data 2'!$A$1:$F$1,0),0)</f>
        <v>98</v>
      </c>
      <c r="K27" s="42">
        <f>VLOOKUP('Data 1'!$B27,'Data 2'!$A$1:$F$46,MATCH('Data 1'!K$1,'Data 2'!$A$1:$F$1,0),0)</f>
        <v>103.88</v>
      </c>
      <c r="L27" s="40">
        <f>SUM('Data 1'!$J27*'Data 1'!$C27)</f>
        <v>686</v>
      </c>
      <c r="M27" s="40">
        <f>'Data 1'!$C27*'Data 1'!$K27</f>
        <v>727.16</v>
      </c>
      <c r="N27" s="40">
        <f>'Data 1'!$M27-'Data 1'!$L27</f>
        <v>41.159999999999968</v>
      </c>
      <c r="O27" s="37">
        <f>DAY('Data 1'!$A27)</f>
        <v>26</v>
      </c>
      <c r="P27" s="37" t="str">
        <f>TEXT('Data 1'!$A27,"mmm")</f>
        <v>Jan</v>
      </c>
      <c r="Q27" s="41">
        <f>YEAR('Data 1'!$A27)</f>
        <v>2021</v>
      </c>
    </row>
    <row r="28" spans="1:17" x14ac:dyDescent="0.3">
      <c r="A28" s="35">
        <v>44223</v>
      </c>
      <c r="B28" s="36" t="s">
        <v>36</v>
      </c>
      <c r="C28" s="37">
        <v>7</v>
      </c>
      <c r="D28" s="37" t="s">
        <v>16</v>
      </c>
      <c r="E28" s="37" t="s">
        <v>17</v>
      </c>
      <c r="F28" s="38">
        <v>0</v>
      </c>
      <c r="G28" s="39" t="str">
        <f>VLOOKUP('Data 1'!$B28,'Data 2'!$A$1:$F$46,MATCH('Data 1'!G$1,'Data 2'!$A$1:$F$1,0),0)</f>
        <v>Product40</v>
      </c>
      <c r="H28" s="39" t="str">
        <f>VLOOKUP('Data 1'!$B28,'Data 2'!$A$1:$F$46,MATCH('Data 1'!H$1,'Data 2'!$A$1:$F$1,0),0)</f>
        <v>Category05</v>
      </c>
      <c r="I28" s="39" t="str">
        <f>VLOOKUP('Data 1'!$B28,'Data 2'!$A$1:$F$46,MATCH('Data 1'!I$1,'Data 2'!$A$1:$F$1,0),0)</f>
        <v>Kg</v>
      </c>
      <c r="J28" s="39">
        <f>VLOOKUP('Data 1'!$B28,'Data 2'!$A$1:$F$46,MATCH('Data 1'!J$1,'Data 2'!$A$1:$F$1,0),0)</f>
        <v>90</v>
      </c>
      <c r="K28" s="39">
        <f>VLOOKUP('Data 1'!$B28,'Data 2'!$A$1:$F$46,MATCH('Data 1'!K$1,'Data 2'!$A$1:$F$1,0),0)</f>
        <v>115.2</v>
      </c>
      <c r="L28" s="40">
        <f>SUM('Data 1'!$J28*'Data 1'!$C28)</f>
        <v>630</v>
      </c>
      <c r="M28" s="40">
        <f>'Data 1'!$C28*'Data 1'!$K28</f>
        <v>806.4</v>
      </c>
      <c r="N28" s="40">
        <f>'Data 1'!$M28-'Data 1'!$L28</f>
        <v>176.39999999999998</v>
      </c>
      <c r="O28" s="37">
        <f>DAY('Data 1'!$A28)</f>
        <v>27</v>
      </c>
      <c r="P28" s="37" t="str">
        <f>TEXT('Data 1'!$A28,"mmm")</f>
        <v>Jan</v>
      </c>
      <c r="Q28" s="41">
        <f>YEAR('Data 1'!$A28)</f>
        <v>2021</v>
      </c>
    </row>
    <row r="29" spans="1:17" x14ac:dyDescent="0.3">
      <c r="A29" s="35">
        <v>44223</v>
      </c>
      <c r="B29" s="36" t="s">
        <v>37</v>
      </c>
      <c r="C29" s="37">
        <v>3</v>
      </c>
      <c r="D29" s="37" t="s">
        <v>16</v>
      </c>
      <c r="E29" s="37" t="s">
        <v>17</v>
      </c>
      <c r="F29" s="38">
        <v>0</v>
      </c>
      <c r="G29" s="42" t="str">
        <f>VLOOKUP('Data 1'!$B29,'Data 2'!$A$1:$F$46,MATCH('Data 1'!G$1,'Data 2'!$A$1:$F$1,0),0)</f>
        <v>Product32</v>
      </c>
      <c r="H29" s="42" t="str">
        <f>VLOOKUP('Data 1'!$B29,'Data 2'!$A$1:$F$46,MATCH('Data 1'!H$1,'Data 2'!$A$1:$F$1,0),0)</f>
        <v>Category04</v>
      </c>
      <c r="I29" s="42" t="str">
        <f>VLOOKUP('Data 1'!$B29,'Data 2'!$A$1:$F$46,MATCH('Data 1'!I$1,'Data 2'!$A$1:$F$1,0),0)</f>
        <v>Kg</v>
      </c>
      <c r="J29" s="42">
        <f>VLOOKUP('Data 1'!$B29,'Data 2'!$A$1:$F$46,MATCH('Data 1'!J$1,'Data 2'!$A$1:$F$1,0),0)</f>
        <v>89</v>
      </c>
      <c r="K29" s="42">
        <f>VLOOKUP('Data 1'!$B29,'Data 2'!$A$1:$F$46,MATCH('Data 1'!K$1,'Data 2'!$A$1:$F$1,0),0)</f>
        <v>117.48</v>
      </c>
      <c r="L29" s="40">
        <f>SUM('Data 1'!$J29*'Data 1'!$C29)</f>
        <v>267</v>
      </c>
      <c r="M29" s="40">
        <f>'Data 1'!$C29*'Data 1'!$K29</f>
        <v>352.44</v>
      </c>
      <c r="N29" s="40">
        <f>'Data 1'!$M29-'Data 1'!$L29</f>
        <v>85.44</v>
      </c>
      <c r="O29" s="37">
        <f>DAY('Data 1'!$A29)</f>
        <v>27</v>
      </c>
      <c r="P29" s="37" t="str">
        <f>TEXT('Data 1'!$A29,"mmm")</f>
        <v>Jan</v>
      </c>
      <c r="Q29" s="41">
        <f>YEAR('Data 1'!$A29)</f>
        <v>2021</v>
      </c>
    </row>
    <row r="30" spans="1:17" x14ac:dyDescent="0.3">
      <c r="A30" s="35">
        <v>44224</v>
      </c>
      <c r="B30" s="36" t="s">
        <v>22</v>
      </c>
      <c r="C30" s="37">
        <v>10</v>
      </c>
      <c r="D30" s="37" t="s">
        <v>17</v>
      </c>
      <c r="E30" s="37" t="s">
        <v>19</v>
      </c>
      <c r="F30" s="38">
        <v>0</v>
      </c>
      <c r="G30" s="39" t="str">
        <f>VLOOKUP('Data 1'!$B30,'Data 2'!$A$1:$F$46,MATCH('Data 1'!G$1,'Data 2'!$A$1:$F$1,0),0)</f>
        <v>Product04</v>
      </c>
      <c r="H30" s="39" t="str">
        <f>VLOOKUP('Data 1'!$B30,'Data 2'!$A$1:$F$46,MATCH('Data 1'!H$1,'Data 2'!$A$1:$F$1,0),0)</f>
        <v>Category01</v>
      </c>
      <c r="I30" s="39" t="str">
        <f>VLOOKUP('Data 1'!$B30,'Data 2'!$A$1:$F$46,MATCH('Data 1'!I$1,'Data 2'!$A$1:$F$1,0),0)</f>
        <v>Lt</v>
      </c>
      <c r="J30" s="39">
        <f>VLOOKUP('Data 1'!$B30,'Data 2'!$A$1:$F$46,MATCH('Data 1'!J$1,'Data 2'!$A$1:$F$1,0),0)</f>
        <v>44</v>
      </c>
      <c r="K30" s="39">
        <f>VLOOKUP('Data 1'!$B30,'Data 2'!$A$1:$F$46,MATCH('Data 1'!K$1,'Data 2'!$A$1:$F$1,0),0)</f>
        <v>48.84</v>
      </c>
      <c r="L30" s="40">
        <f>SUM('Data 1'!$J30*'Data 1'!$C30)</f>
        <v>440</v>
      </c>
      <c r="M30" s="40">
        <f>'Data 1'!$C30*'Data 1'!$K30</f>
        <v>488.40000000000003</v>
      </c>
      <c r="N30" s="40">
        <f>'Data 1'!$M30-'Data 1'!$L30</f>
        <v>48.400000000000034</v>
      </c>
      <c r="O30" s="37">
        <f>DAY('Data 1'!$A30)</f>
        <v>28</v>
      </c>
      <c r="P30" s="37" t="str">
        <f>TEXT('Data 1'!$A30,"mmm")</f>
        <v>Jan</v>
      </c>
      <c r="Q30" s="41">
        <f>YEAR('Data 1'!$A30)</f>
        <v>2021</v>
      </c>
    </row>
    <row r="31" spans="1:17" x14ac:dyDescent="0.3">
      <c r="A31" s="35">
        <v>44224</v>
      </c>
      <c r="B31" s="36" t="s">
        <v>38</v>
      </c>
      <c r="C31" s="37">
        <v>2</v>
      </c>
      <c r="D31" s="37" t="s">
        <v>21</v>
      </c>
      <c r="E31" s="37" t="s">
        <v>19</v>
      </c>
      <c r="F31" s="38">
        <v>0</v>
      </c>
      <c r="G31" s="42" t="str">
        <f>VLOOKUP('Data 1'!$B31,'Data 2'!$A$1:$F$46,MATCH('Data 1'!G$1,'Data 2'!$A$1:$F$1,0),0)</f>
        <v>Product29</v>
      </c>
      <c r="H31" s="42" t="str">
        <f>VLOOKUP('Data 1'!$B31,'Data 2'!$A$1:$F$46,MATCH('Data 1'!H$1,'Data 2'!$A$1:$F$1,0),0)</f>
        <v>Category04</v>
      </c>
      <c r="I31" s="42" t="str">
        <f>VLOOKUP('Data 1'!$B31,'Data 2'!$A$1:$F$46,MATCH('Data 1'!I$1,'Data 2'!$A$1:$F$1,0),0)</f>
        <v>Lt</v>
      </c>
      <c r="J31" s="42">
        <f>VLOOKUP('Data 1'!$B31,'Data 2'!$A$1:$F$46,MATCH('Data 1'!J$1,'Data 2'!$A$1:$F$1,0),0)</f>
        <v>47</v>
      </c>
      <c r="K31" s="42">
        <f>VLOOKUP('Data 1'!$B31,'Data 2'!$A$1:$F$46,MATCH('Data 1'!K$1,'Data 2'!$A$1:$F$1,0),0)</f>
        <v>53.11</v>
      </c>
      <c r="L31" s="40">
        <f>SUM('Data 1'!$J31*'Data 1'!$C31)</f>
        <v>94</v>
      </c>
      <c r="M31" s="40">
        <f>'Data 1'!$C31*'Data 1'!$K31</f>
        <v>106.22</v>
      </c>
      <c r="N31" s="40">
        <f>'Data 1'!$M31-'Data 1'!$L31</f>
        <v>12.219999999999999</v>
      </c>
      <c r="O31" s="37">
        <f>DAY('Data 1'!$A31)</f>
        <v>28</v>
      </c>
      <c r="P31" s="37" t="str">
        <f>TEXT('Data 1'!$A31,"mmm")</f>
        <v>Jan</v>
      </c>
      <c r="Q31" s="41">
        <f>YEAR('Data 1'!$A31)</f>
        <v>2021</v>
      </c>
    </row>
    <row r="32" spans="1:17" x14ac:dyDescent="0.3">
      <c r="A32" s="35">
        <v>44229</v>
      </c>
      <c r="B32" s="36" t="s">
        <v>39</v>
      </c>
      <c r="C32" s="37">
        <v>7</v>
      </c>
      <c r="D32" s="37" t="s">
        <v>17</v>
      </c>
      <c r="E32" s="37" t="s">
        <v>17</v>
      </c>
      <c r="F32" s="38">
        <v>0</v>
      </c>
      <c r="G32" s="39" t="str">
        <f>VLOOKUP('Data 1'!$B32,'Data 2'!$A$1:$F$46,MATCH('Data 1'!G$1,'Data 2'!$A$1:$F$1,0),0)</f>
        <v>Product10</v>
      </c>
      <c r="H32" s="39" t="str">
        <f>VLOOKUP('Data 1'!$B32,'Data 2'!$A$1:$F$46,MATCH('Data 1'!H$1,'Data 2'!$A$1:$F$1,0),0)</f>
        <v>Category02</v>
      </c>
      <c r="I32" s="39" t="str">
        <f>VLOOKUP('Data 1'!$B32,'Data 2'!$A$1:$F$46,MATCH('Data 1'!I$1,'Data 2'!$A$1:$F$1,0),0)</f>
        <v>Ft</v>
      </c>
      <c r="J32" s="39">
        <f>VLOOKUP('Data 1'!$B32,'Data 2'!$A$1:$F$46,MATCH('Data 1'!J$1,'Data 2'!$A$1:$F$1,0),0)</f>
        <v>148</v>
      </c>
      <c r="K32" s="39">
        <f>VLOOKUP('Data 1'!$B32,'Data 2'!$A$1:$F$46,MATCH('Data 1'!K$1,'Data 2'!$A$1:$F$1,0),0)</f>
        <v>164.28</v>
      </c>
      <c r="L32" s="40">
        <f>SUM('Data 1'!$J32*'Data 1'!$C32)</f>
        <v>1036</v>
      </c>
      <c r="M32" s="40">
        <f>'Data 1'!$C32*'Data 1'!$K32</f>
        <v>1149.96</v>
      </c>
      <c r="N32" s="40">
        <f>'Data 1'!$M32-'Data 1'!$L32</f>
        <v>113.96000000000004</v>
      </c>
      <c r="O32" s="37">
        <f>DAY('Data 1'!$A32)</f>
        <v>2</v>
      </c>
      <c r="P32" s="37" t="str">
        <f>TEXT('Data 1'!$A32,"mmm")</f>
        <v>Feb</v>
      </c>
      <c r="Q32" s="41">
        <f>YEAR('Data 1'!$A32)</f>
        <v>2021</v>
      </c>
    </row>
    <row r="33" spans="1:17" x14ac:dyDescent="0.3">
      <c r="A33" s="35">
        <v>44230</v>
      </c>
      <c r="B33" s="36" t="s">
        <v>40</v>
      </c>
      <c r="C33" s="37">
        <v>13</v>
      </c>
      <c r="D33" s="37" t="s">
        <v>21</v>
      </c>
      <c r="E33" s="37" t="s">
        <v>17</v>
      </c>
      <c r="F33" s="38">
        <v>0</v>
      </c>
      <c r="G33" s="42" t="str">
        <f>VLOOKUP('Data 1'!$B33,'Data 2'!$A$1:$F$46,MATCH('Data 1'!G$1,'Data 2'!$A$1:$F$1,0),0)</f>
        <v>Product16</v>
      </c>
      <c r="H33" s="42" t="str">
        <f>VLOOKUP('Data 1'!$B33,'Data 2'!$A$1:$F$46,MATCH('Data 1'!H$1,'Data 2'!$A$1:$F$1,0),0)</f>
        <v>Category02</v>
      </c>
      <c r="I33" s="42" t="str">
        <f>VLOOKUP('Data 1'!$B33,'Data 2'!$A$1:$F$46,MATCH('Data 1'!I$1,'Data 2'!$A$1:$F$1,0),0)</f>
        <v>No.</v>
      </c>
      <c r="J33" s="42">
        <f>VLOOKUP('Data 1'!$B33,'Data 2'!$A$1:$F$46,MATCH('Data 1'!J$1,'Data 2'!$A$1:$F$1,0),0)</f>
        <v>13</v>
      </c>
      <c r="K33" s="42">
        <f>VLOOKUP('Data 1'!$B33,'Data 2'!$A$1:$F$46,MATCH('Data 1'!K$1,'Data 2'!$A$1:$F$1,0),0)</f>
        <v>16.64</v>
      </c>
      <c r="L33" s="40">
        <f>SUM('Data 1'!$J33*'Data 1'!$C33)</f>
        <v>169</v>
      </c>
      <c r="M33" s="40">
        <f>'Data 1'!$C33*'Data 1'!$K33</f>
        <v>216.32</v>
      </c>
      <c r="N33" s="40">
        <f>'Data 1'!$M33-'Data 1'!$L33</f>
        <v>47.319999999999993</v>
      </c>
      <c r="O33" s="37">
        <f>DAY('Data 1'!$A33)</f>
        <v>3</v>
      </c>
      <c r="P33" s="37" t="str">
        <f>TEXT('Data 1'!$A33,"mmm")</f>
        <v>Feb</v>
      </c>
      <c r="Q33" s="41">
        <f>YEAR('Data 1'!$A33)</f>
        <v>2021</v>
      </c>
    </row>
    <row r="34" spans="1:17" x14ac:dyDescent="0.3">
      <c r="A34" s="35">
        <v>44230</v>
      </c>
      <c r="B34" s="36" t="s">
        <v>41</v>
      </c>
      <c r="C34" s="37">
        <v>2</v>
      </c>
      <c r="D34" s="37" t="s">
        <v>16</v>
      </c>
      <c r="E34" s="37" t="s">
        <v>19</v>
      </c>
      <c r="F34" s="38">
        <v>0</v>
      </c>
      <c r="G34" s="39" t="str">
        <f>VLOOKUP('Data 1'!$B34,'Data 2'!$A$1:$F$46,MATCH('Data 1'!G$1,'Data 2'!$A$1:$F$1,0),0)</f>
        <v>Product22</v>
      </c>
      <c r="H34" s="39" t="str">
        <f>VLOOKUP('Data 1'!$B34,'Data 2'!$A$1:$F$46,MATCH('Data 1'!H$1,'Data 2'!$A$1:$F$1,0),0)</f>
        <v>Category03</v>
      </c>
      <c r="I34" s="39" t="str">
        <f>VLOOKUP('Data 1'!$B34,'Data 2'!$A$1:$F$46,MATCH('Data 1'!I$1,'Data 2'!$A$1:$F$1,0),0)</f>
        <v>Ft</v>
      </c>
      <c r="J34" s="39">
        <f>VLOOKUP('Data 1'!$B34,'Data 2'!$A$1:$F$46,MATCH('Data 1'!J$1,'Data 2'!$A$1:$F$1,0),0)</f>
        <v>121</v>
      </c>
      <c r="K34" s="39">
        <f>VLOOKUP('Data 1'!$B34,'Data 2'!$A$1:$F$46,MATCH('Data 1'!K$1,'Data 2'!$A$1:$F$1,0),0)</f>
        <v>141.57</v>
      </c>
      <c r="L34" s="40">
        <f>SUM('Data 1'!$J34*'Data 1'!$C34)</f>
        <v>242</v>
      </c>
      <c r="M34" s="40">
        <f>'Data 1'!$C34*'Data 1'!$K34</f>
        <v>283.14</v>
      </c>
      <c r="N34" s="40">
        <f>'Data 1'!$M34-'Data 1'!$L34</f>
        <v>41.139999999999986</v>
      </c>
      <c r="O34" s="37">
        <f>DAY('Data 1'!$A34)</f>
        <v>3</v>
      </c>
      <c r="P34" s="37" t="str">
        <f>TEXT('Data 1'!$A34,"mmm")</f>
        <v>Feb</v>
      </c>
      <c r="Q34" s="41">
        <f>YEAR('Data 1'!$A34)</f>
        <v>2021</v>
      </c>
    </row>
    <row r="35" spans="1:17" x14ac:dyDescent="0.3">
      <c r="A35" s="35">
        <v>44231</v>
      </c>
      <c r="B35" s="36" t="s">
        <v>27</v>
      </c>
      <c r="C35" s="37">
        <v>4</v>
      </c>
      <c r="D35" s="37" t="s">
        <v>17</v>
      </c>
      <c r="E35" s="37" t="s">
        <v>17</v>
      </c>
      <c r="F35" s="38">
        <v>0</v>
      </c>
      <c r="G35" s="42" t="str">
        <f>VLOOKUP('Data 1'!$B35,'Data 2'!$A$1:$F$46,MATCH('Data 1'!G$1,'Data 2'!$A$1:$F$1,0),0)</f>
        <v>Product37</v>
      </c>
      <c r="H35" s="42" t="str">
        <f>VLOOKUP('Data 1'!$B35,'Data 2'!$A$1:$F$46,MATCH('Data 1'!H$1,'Data 2'!$A$1:$F$1,0),0)</f>
        <v>Category05</v>
      </c>
      <c r="I35" s="42" t="str">
        <f>VLOOKUP('Data 1'!$B35,'Data 2'!$A$1:$F$46,MATCH('Data 1'!I$1,'Data 2'!$A$1:$F$1,0),0)</f>
        <v>Kg</v>
      </c>
      <c r="J35" s="42">
        <f>VLOOKUP('Data 1'!$B35,'Data 2'!$A$1:$F$46,MATCH('Data 1'!J$1,'Data 2'!$A$1:$F$1,0),0)</f>
        <v>67</v>
      </c>
      <c r="K35" s="42">
        <f>VLOOKUP('Data 1'!$B35,'Data 2'!$A$1:$F$46,MATCH('Data 1'!K$1,'Data 2'!$A$1:$F$1,0),0)</f>
        <v>85.76</v>
      </c>
      <c r="L35" s="40">
        <f>SUM('Data 1'!$J35*'Data 1'!$C35)</f>
        <v>268</v>
      </c>
      <c r="M35" s="40">
        <f>'Data 1'!$C35*'Data 1'!$K35</f>
        <v>343.04</v>
      </c>
      <c r="N35" s="40">
        <f>'Data 1'!$M35-'Data 1'!$L35</f>
        <v>75.04000000000002</v>
      </c>
      <c r="O35" s="37">
        <f>DAY('Data 1'!$A35)</f>
        <v>4</v>
      </c>
      <c r="P35" s="37" t="str">
        <f>TEXT('Data 1'!$A35,"mmm")</f>
        <v>Feb</v>
      </c>
      <c r="Q35" s="41">
        <f>YEAR('Data 1'!$A35)</f>
        <v>2021</v>
      </c>
    </row>
    <row r="36" spans="1:17" x14ac:dyDescent="0.3">
      <c r="A36" s="35">
        <v>44232</v>
      </c>
      <c r="B36" s="36" t="s">
        <v>42</v>
      </c>
      <c r="C36" s="37">
        <v>7</v>
      </c>
      <c r="D36" s="37" t="s">
        <v>17</v>
      </c>
      <c r="E36" s="37" t="s">
        <v>19</v>
      </c>
      <c r="F36" s="38">
        <v>0</v>
      </c>
      <c r="G36" s="39" t="str">
        <f>VLOOKUP('Data 1'!$B36,'Data 2'!$A$1:$F$46,MATCH('Data 1'!G$1,'Data 2'!$A$1:$F$1,0),0)</f>
        <v>Product43</v>
      </c>
      <c r="H36" s="39" t="str">
        <f>VLOOKUP('Data 1'!$B36,'Data 2'!$A$1:$F$46,MATCH('Data 1'!H$1,'Data 2'!$A$1:$F$1,0),0)</f>
        <v>Category05</v>
      </c>
      <c r="I36" s="39" t="str">
        <f>VLOOKUP('Data 1'!$B36,'Data 2'!$A$1:$F$46,MATCH('Data 1'!I$1,'Data 2'!$A$1:$F$1,0),0)</f>
        <v>Kg</v>
      </c>
      <c r="J36" s="39">
        <f>VLOOKUP('Data 1'!$B36,'Data 2'!$A$1:$F$46,MATCH('Data 1'!J$1,'Data 2'!$A$1:$F$1,0),0)</f>
        <v>67</v>
      </c>
      <c r="K36" s="39">
        <f>VLOOKUP('Data 1'!$B36,'Data 2'!$A$1:$F$46,MATCH('Data 1'!K$1,'Data 2'!$A$1:$F$1,0),0)</f>
        <v>83.08</v>
      </c>
      <c r="L36" s="40">
        <f>SUM('Data 1'!$J36*'Data 1'!$C36)</f>
        <v>469</v>
      </c>
      <c r="M36" s="40">
        <f>'Data 1'!$C36*'Data 1'!$K36</f>
        <v>581.55999999999995</v>
      </c>
      <c r="N36" s="40">
        <f>'Data 1'!$M36-'Data 1'!$L36</f>
        <v>112.55999999999995</v>
      </c>
      <c r="O36" s="37">
        <f>DAY('Data 1'!$A36)</f>
        <v>5</v>
      </c>
      <c r="P36" s="37" t="str">
        <f>TEXT('Data 1'!$A36,"mmm")</f>
        <v>Feb</v>
      </c>
      <c r="Q36" s="41">
        <f>YEAR('Data 1'!$A36)</f>
        <v>2021</v>
      </c>
    </row>
    <row r="37" spans="1:17" x14ac:dyDescent="0.3">
      <c r="A37" s="35">
        <v>44232</v>
      </c>
      <c r="B37" s="36" t="s">
        <v>43</v>
      </c>
      <c r="C37" s="37">
        <v>1</v>
      </c>
      <c r="D37" s="37" t="s">
        <v>21</v>
      </c>
      <c r="E37" s="37" t="s">
        <v>19</v>
      </c>
      <c r="F37" s="38">
        <v>0</v>
      </c>
      <c r="G37" s="42" t="str">
        <f>VLOOKUP('Data 1'!$B37,'Data 2'!$A$1:$F$46,MATCH('Data 1'!G$1,'Data 2'!$A$1:$F$1,0),0)</f>
        <v>Product05</v>
      </c>
      <c r="H37" s="42" t="str">
        <f>VLOOKUP('Data 1'!$B37,'Data 2'!$A$1:$F$46,MATCH('Data 1'!H$1,'Data 2'!$A$1:$F$1,0),0)</f>
        <v>Category01</v>
      </c>
      <c r="I37" s="42" t="str">
        <f>VLOOKUP('Data 1'!$B37,'Data 2'!$A$1:$F$46,MATCH('Data 1'!I$1,'Data 2'!$A$1:$F$1,0),0)</f>
        <v>Ft</v>
      </c>
      <c r="J37" s="42">
        <f>VLOOKUP('Data 1'!$B37,'Data 2'!$A$1:$F$46,MATCH('Data 1'!J$1,'Data 2'!$A$1:$F$1,0),0)</f>
        <v>133</v>
      </c>
      <c r="K37" s="42">
        <f>VLOOKUP('Data 1'!$B37,'Data 2'!$A$1:$F$46,MATCH('Data 1'!K$1,'Data 2'!$A$1:$F$1,0),0)</f>
        <v>155.61000000000001</v>
      </c>
      <c r="L37" s="40">
        <f>SUM('Data 1'!$J37*'Data 1'!$C37)</f>
        <v>133</v>
      </c>
      <c r="M37" s="40">
        <f>'Data 1'!$C37*'Data 1'!$K37</f>
        <v>155.61000000000001</v>
      </c>
      <c r="N37" s="40">
        <f>'Data 1'!$M37-'Data 1'!$L37</f>
        <v>22.610000000000014</v>
      </c>
      <c r="O37" s="37">
        <f>DAY('Data 1'!$A37)</f>
        <v>5</v>
      </c>
      <c r="P37" s="37" t="str">
        <f>TEXT('Data 1'!$A37,"mmm")</f>
        <v>Feb</v>
      </c>
      <c r="Q37" s="41">
        <f>YEAR('Data 1'!$A37)</f>
        <v>2021</v>
      </c>
    </row>
    <row r="38" spans="1:17" x14ac:dyDescent="0.3">
      <c r="A38" s="35">
        <v>44232</v>
      </c>
      <c r="B38" s="36" t="s">
        <v>42</v>
      </c>
      <c r="C38" s="37">
        <v>9</v>
      </c>
      <c r="D38" s="37" t="s">
        <v>21</v>
      </c>
      <c r="E38" s="37" t="s">
        <v>19</v>
      </c>
      <c r="F38" s="38">
        <v>0</v>
      </c>
      <c r="G38" s="39" t="str">
        <f>VLOOKUP('Data 1'!$B38,'Data 2'!$A$1:$F$46,MATCH('Data 1'!G$1,'Data 2'!$A$1:$F$1,0),0)</f>
        <v>Product43</v>
      </c>
      <c r="H38" s="39" t="str">
        <f>VLOOKUP('Data 1'!$B38,'Data 2'!$A$1:$F$46,MATCH('Data 1'!H$1,'Data 2'!$A$1:$F$1,0),0)</f>
        <v>Category05</v>
      </c>
      <c r="I38" s="39" t="str">
        <f>VLOOKUP('Data 1'!$B38,'Data 2'!$A$1:$F$46,MATCH('Data 1'!I$1,'Data 2'!$A$1:$F$1,0),0)</f>
        <v>Kg</v>
      </c>
      <c r="J38" s="39">
        <f>VLOOKUP('Data 1'!$B38,'Data 2'!$A$1:$F$46,MATCH('Data 1'!J$1,'Data 2'!$A$1:$F$1,0),0)</f>
        <v>67</v>
      </c>
      <c r="K38" s="39">
        <f>VLOOKUP('Data 1'!$B38,'Data 2'!$A$1:$F$46,MATCH('Data 1'!K$1,'Data 2'!$A$1:$F$1,0),0)</f>
        <v>83.08</v>
      </c>
      <c r="L38" s="40">
        <f>SUM('Data 1'!$J38*'Data 1'!$C38)</f>
        <v>603</v>
      </c>
      <c r="M38" s="40">
        <f>'Data 1'!$C38*'Data 1'!$K38</f>
        <v>747.72</v>
      </c>
      <c r="N38" s="40">
        <f>'Data 1'!$M38-'Data 1'!$L38</f>
        <v>144.72000000000003</v>
      </c>
      <c r="O38" s="37">
        <f>DAY('Data 1'!$A38)</f>
        <v>5</v>
      </c>
      <c r="P38" s="37" t="str">
        <f>TEXT('Data 1'!$A38,"mmm")</f>
        <v>Feb</v>
      </c>
      <c r="Q38" s="41">
        <f>YEAR('Data 1'!$A38)</f>
        <v>2021</v>
      </c>
    </row>
    <row r="39" spans="1:17" x14ac:dyDescent="0.3">
      <c r="A39" s="35">
        <v>44233</v>
      </c>
      <c r="B39" s="36" t="s">
        <v>23</v>
      </c>
      <c r="C39" s="37">
        <v>1</v>
      </c>
      <c r="D39" s="37" t="s">
        <v>21</v>
      </c>
      <c r="E39" s="37" t="s">
        <v>19</v>
      </c>
      <c r="F39" s="38">
        <v>0</v>
      </c>
      <c r="G39" s="42" t="str">
        <f>VLOOKUP('Data 1'!$B39,'Data 2'!$A$1:$F$46,MATCH('Data 1'!G$1,'Data 2'!$A$1:$F$1,0),0)</f>
        <v>Product35</v>
      </c>
      <c r="H39" s="42" t="str">
        <f>VLOOKUP('Data 1'!$B39,'Data 2'!$A$1:$F$46,MATCH('Data 1'!H$1,'Data 2'!$A$1:$F$1,0),0)</f>
        <v>Category04</v>
      </c>
      <c r="I39" s="42" t="str">
        <f>VLOOKUP('Data 1'!$B39,'Data 2'!$A$1:$F$46,MATCH('Data 1'!I$1,'Data 2'!$A$1:$F$1,0),0)</f>
        <v>No.</v>
      </c>
      <c r="J39" s="42">
        <f>VLOOKUP('Data 1'!$B39,'Data 2'!$A$1:$F$46,MATCH('Data 1'!J$1,'Data 2'!$A$1:$F$1,0),0)</f>
        <v>5</v>
      </c>
      <c r="K39" s="42">
        <f>VLOOKUP('Data 1'!$B39,'Data 2'!$A$1:$F$46,MATCH('Data 1'!K$1,'Data 2'!$A$1:$F$1,0),0)</f>
        <v>6.7</v>
      </c>
      <c r="L39" s="40">
        <f>SUM('Data 1'!$J39*'Data 1'!$C39)</f>
        <v>5</v>
      </c>
      <c r="M39" s="40">
        <f>'Data 1'!$C39*'Data 1'!$K39</f>
        <v>6.7</v>
      </c>
      <c r="N39" s="40">
        <f>'Data 1'!$M39-'Data 1'!$L39</f>
        <v>1.7000000000000002</v>
      </c>
      <c r="O39" s="37">
        <f>DAY('Data 1'!$A39)</f>
        <v>6</v>
      </c>
      <c r="P39" s="37" t="str">
        <f>TEXT('Data 1'!$A39,"mmm")</f>
        <v>Feb</v>
      </c>
      <c r="Q39" s="41">
        <f>YEAR('Data 1'!$A39)</f>
        <v>2021</v>
      </c>
    </row>
    <row r="40" spans="1:17" x14ac:dyDescent="0.3">
      <c r="A40" s="35">
        <v>44236</v>
      </c>
      <c r="B40" s="36" t="s">
        <v>32</v>
      </c>
      <c r="C40" s="37">
        <v>14</v>
      </c>
      <c r="D40" s="37" t="s">
        <v>21</v>
      </c>
      <c r="E40" s="37" t="s">
        <v>17</v>
      </c>
      <c r="F40" s="38">
        <v>0</v>
      </c>
      <c r="G40" s="39" t="str">
        <f>VLOOKUP('Data 1'!$B40,'Data 2'!$A$1:$F$46,MATCH('Data 1'!G$1,'Data 2'!$A$1:$F$1,0),0)</f>
        <v>Product34</v>
      </c>
      <c r="H40" s="39" t="str">
        <f>VLOOKUP('Data 1'!$B40,'Data 2'!$A$1:$F$46,MATCH('Data 1'!H$1,'Data 2'!$A$1:$F$1,0),0)</f>
        <v>Category04</v>
      </c>
      <c r="I40" s="39" t="str">
        <f>VLOOKUP('Data 1'!$B40,'Data 2'!$A$1:$F$46,MATCH('Data 1'!I$1,'Data 2'!$A$1:$F$1,0),0)</f>
        <v>Lt</v>
      </c>
      <c r="J40" s="39">
        <f>VLOOKUP('Data 1'!$B40,'Data 2'!$A$1:$F$46,MATCH('Data 1'!J$1,'Data 2'!$A$1:$F$1,0),0)</f>
        <v>55</v>
      </c>
      <c r="K40" s="39">
        <f>VLOOKUP('Data 1'!$B40,'Data 2'!$A$1:$F$46,MATCH('Data 1'!K$1,'Data 2'!$A$1:$F$1,0),0)</f>
        <v>58.3</v>
      </c>
      <c r="L40" s="40">
        <f>SUM('Data 1'!$J40*'Data 1'!$C40)</f>
        <v>770</v>
      </c>
      <c r="M40" s="40">
        <f>'Data 1'!$C40*'Data 1'!$K40</f>
        <v>816.19999999999993</v>
      </c>
      <c r="N40" s="40">
        <f>'Data 1'!$M40-'Data 1'!$L40</f>
        <v>46.199999999999932</v>
      </c>
      <c r="O40" s="37">
        <f>DAY('Data 1'!$A40)</f>
        <v>9</v>
      </c>
      <c r="P40" s="37" t="str">
        <f>TEXT('Data 1'!$A40,"mmm")</f>
        <v>Feb</v>
      </c>
      <c r="Q40" s="41">
        <f>YEAR('Data 1'!$A40)</f>
        <v>2021</v>
      </c>
    </row>
    <row r="41" spans="1:17" x14ac:dyDescent="0.3">
      <c r="A41" s="35">
        <v>44239</v>
      </c>
      <c r="B41" s="36" t="s">
        <v>44</v>
      </c>
      <c r="C41" s="37">
        <v>7</v>
      </c>
      <c r="D41" s="37" t="s">
        <v>21</v>
      </c>
      <c r="E41" s="37" t="s">
        <v>19</v>
      </c>
      <c r="F41" s="38">
        <v>0</v>
      </c>
      <c r="G41" s="42" t="str">
        <f>VLOOKUP('Data 1'!$B41,'Data 2'!$A$1:$F$46,MATCH('Data 1'!G$1,'Data 2'!$A$1:$F$1,0),0)</f>
        <v>Product08</v>
      </c>
      <c r="H41" s="42" t="str">
        <f>VLOOKUP('Data 1'!$B41,'Data 2'!$A$1:$F$46,MATCH('Data 1'!H$1,'Data 2'!$A$1:$F$1,0),0)</f>
        <v>Category01</v>
      </c>
      <c r="I41" s="42" t="str">
        <f>VLOOKUP('Data 1'!$B41,'Data 2'!$A$1:$F$46,MATCH('Data 1'!I$1,'Data 2'!$A$1:$F$1,0),0)</f>
        <v>Kg</v>
      </c>
      <c r="J41" s="42">
        <f>VLOOKUP('Data 1'!$B41,'Data 2'!$A$1:$F$46,MATCH('Data 1'!J$1,'Data 2'!$A$1:$F$1,0),0)</f>
        <v>83</v>
      </c>
      <c r="K41" s="42">
        <f>VLOOKUP('Data 1'!$B41,'Data 2'!$A$1:$F$46,MATCH('Data 1'!K$1,'Data 2'!$A$1:$F$1,0),0)</f>
        <v>94.62</v>
      </c>
      <c r="L41" s="40">
        <f>SUM('Data 1'!$J41*'Data 1'!$C41)</f>
        <v>581</v>
      </c>
      <c r="M41" s="40">
        <f>'Data 1'!$C41*'Data 1'!$K41</f>
        <v>662.34</v>
      </c>
      <c r="N41" s="40">
        <f>'Data 1'!$M41-'Data 1'!$L41</f>
        <v>81.340000000000032</v>
      </c>
      <c r="O41" s="37">
        <f>DAY('Data 1'!$A41)</f>
        <v>12</v>
      </c>
      <c r="P41" s="37" t="str">
        <f>TEXT('Data 1'!$A41,"mmm")</f>
        <v>Feb</v>
      </c>
      <c r="Q41" s="41">
        <f>YEAR('Data 1'!$A41)</f>
        <v>2021</v>
      </c>
    </row>
    <row r="42" spans="1:17" x14ac:dyDescent="0.3">
      <c r="A42" s="35">
        <v>44239</v>
      </c>
      <c r="B42" s="36" t="s">
        <v>31</v>
      </c>
      <c r="C42" s="37">
        <v>9</v>
      </c>
      <c r="D42" s="37" t="s">
        <v>17</v>
      </c>
      <c r="E42" s="37" t="s">
        <v>19</v>
      </c>
      <c r="F42" s="38">
        <v>0</v>
      </c>
      <c r="G42" s="39" t="str">
        <f>VLOOKUP('Data 1'!$B42,'Data 2'!$A$1:$F$46,MATCH('Data 1'!G$1,'Data 2'!$A$1:$F$1,0),0)</f>
        <v>Product23</v>
      </c>
      <c r="H42" s="39" t="str">
        <f>VLOOKUP('Data 1'!$B42,'Data 2'!$A$1:$F$46,MATCH('Data 1'!H$1,'Data 2'!$A$1:$F$1,0),0)</f>
        <v>Category03</v>
      </c>
      <c r="I42" s="39" t="str">
        <f>VLOOKUP('Data 1'!$B42,'Data 2'!$A$1:$F$46,MATCH('Data 1'!I$1,'Data 2'!$A$1:$F$1,0),0)</f>
        <v>Ft</v>
      </c>
      <c r="J42" s="39">
        <f>VLOOKUP('Data 1'!$B42,'Data 2'!$A$1:$F$46,MATCH('Data 1'!J$1,'Data 2'!$A$1:$F$1,0),0)</f>
        <v>141</v>
      </c>
      <c r="K42" s="39">
        <f>VLOOKUP('Data 1'!$B42,'Data 2'!$A$1:$F$46,MATCH('Data 1'!K$1,'Data 2'!$A$1:$F$1,0),0)</f>
        <v>149.46</v>
      </c>
      <c r="L42" s="40">
        <f>SUM('Data 1'!$J42*'Data 1'!$C42)</f>
        <v>1269</v>
      </c>
      <c r="M42" s="40">
        <f>'Data 1'!$C42*'Data 1'!$K42</f>
        <v>1345.14</v>
      </c>
      <c r="N42" s="40">
        <f>'Data 1'!$M42-'Data 1'!$L42</f>
        <v>76.1400000000001</v>
      </c>
      <c r="O42" s="37">
        <f>DAY('Data 1'!$A42)</f>
        <v>12</v>
      </c>
      <c r="P42" s="37" t="str">
        <f>TEXT('Data 1'!$A42,"mmm")</f>
        <v>Feb</v>
      </c>
      <c r="Q42" s="41">
        <f>YEAR('Data 1'!$A42)</f>
        <v>2021</v>
      </c>
    </row>
    <row r="43" spans="1:17" x14ac:dyDescent="0.3">
      <c r="A43" s="35">
        <v>44242</v>
      </c>
      <c r="B43" s="36" t="s">
        <v>45</v>
      </c>
      <c r="C43" s="37">
        <v>4</v>
      </c>
      <c r="D43" s="37" t="s">
        <v>21</v>
      </c>
      <c r="E43" s="37" t="s">
        <v>17</v>
      </c>
      <c r="F43" s="38">
        <v>0</v>
      </c>
      <c r="G43" s="42" t="str">
        <f>VLOOKUP('Data 1'!$B43,'Data 2'!$A$1:$F$46,MATCH('Data 1'!G$1,'Data 2'!$A$1:$F$1,0),0)</f>
        <v>Product27</v>
      </c>
      <c r="H43" s="42" t="str">
        <f>VLOOKUP('Data 1'!$B43,'Data 2'!$A$1:$F$46,MATCH('Data 1'!H$1,'Data 2'!$A$1:$F$1,0),0)</f>
        <v>Category04</v>
      </c>
      <c r="I43" s="42" t="str">
        <f>VLOOKUP('Data 1'!$B43,'Data 2'!$A$1:$F$46,MATCH('Data 1'!I$1,'Data 2'!$A$1:$F$1,0),0)</f>
        <v>Lt</v>
      </c>
      <c r="J43" s="42">
        <f>VLOOKUP('Data 1'!$B43,'Data 2'!$A$1:$F$46,MATCH('Data 1'!J$1,'Data 2'!$A$1:$F$1,0),0)</f>
        <v>48</v>
      </c>
      <c r="K43" s="42">
        <f>VLOOKUP('Data 1'!$B43,'Data 2'!$A$1:$F$46,MATCH('Data 1'!K$1,'Data 2'!$A$1:$F$1,0),0)</f>
        <v>57.120000000000005</v>
      </c>
      <c r="L43" s="40">
        <f>SUM('Data 1'!$J43*'Data 1'!$C43)</f>
        <v>192</v>
      </c>
      <c r="M43" s="40">
        <f>'Data 1'!$C43*'Data 1'!$K43</f>
        <v>228.48000000000002</v>
      </c>
      <c r="N43" s="40">
        <f>'Data 1'!$M43-'Data 1'!$L43</f>
        <v>36.480000000000018</v>
      </c>
      <c r="O43" s="37">
        <f>DAY('Data 1'!$A43)</f>
        <v>15</v>
      </c>
      <c r="P43" s="37" t="str">
        <f>TEXT('Data 1'!$A43,"mmm")</f>
        <v>Feb</v>
      </c>
      <c r="Q43" s="41">
        <f>YEAR('Data 1'!$A43)</f>
        <v>2021</v>
      </c>
    </row>
    <row r="44" spans="1:17" x14ac:dyDescent="0.3">
      <c r="A44" s="35">
        <v>44245</v>
      </c>
      <c r="B44" s="36" t="s">
        <v>46</v>
      </c>
      <c r="C44" s="37">
        <v>6</v>
      </c>
      <c r="D44" s="37" t="s">
        <v>17</v>
      </c>
      <c r="E44" s="37" t="s">
        <v>19</v>
      </c>
      <c r="F44" s="38">
        <v>0</v>
      </c>
      <c r="G44" s="39" t="str">
        <f>VLOOKUP('Data 1'!$B44,'Data 2'!$A$1:$F$46,MATCH('Data 1'!G$1,'Data 2'!$A$1:$F$1,0),0)</f>
        <v>Product15</v>
      </c>
      <c r="H44" s="39" t="str">
        <f>VLOOKUP('Data 1'!$B44,'Data 2'!$A$1:$F$46,MATCH('Data 1'!H$1,'Data 2'!$A$1:$F$1,0),0)</f>
        <v>Category02</v>
      </c>
      <c r="I44" s="39" t="str">
        <f>VLOOKUP('Data 1'!$B44,'Data 2'!$A$1:$F$46,MATCH('Data 1'!I$1,'Data 2'!$A$1:$F$1,0),0)</f>
        <v>No.</v>
      </c>
      <c r="J44" s="39">
        <f>VLOOKUP('Data 1'!$B44,'Data 2'!$A$1:$F$46,MATCH('Data 1'!J$1,'Data 2'!$A$1:$F$1,0),0)</f>
        <v>12</v>
      </c>
      <c r="K44" s="39">
        <f>VLOOKUP('Data 1'!$B44,'Data 2'!$A$1:$F$46,MATCH('Data 1'!K$1,'Data 2'!$A$1:$F$1,0),0)</f>
        <v>15.719999999999999</v>
      </c>
      <c r="L44" s="40">
        <f>SUM('Data 1'!$J44*'Data 1'!$C44)</f>
        <v>72</v>
      </c>
      <c r="M44" s="40">
        <f>'Data 1'!$C44*'Data 1'!$K44</f>
        <v>94.32</v>
      </c>
      <c r="N44" s="40">
        <f>'Data 1'!$M44-'Data 1'!$L44</f>
        <v>22.319999999999993</v>
      </c>
      <c r="O44" s="37">
        <f>DAY('Data 1'!$A44)</f>
        <v>18</v>
      </c>
      <c r="P44" s="37" t="str">
        <f>TEXT('Data 1'!$A44,"mmm")</f>
        <v>Feb</v>
      </c>
      <c r="Q44" s="41">
        <f>YEAR('Data 1'!$A44)</f>
        <v>2021</v>
      </c>
    </row>
    <row r="45" spans="1:17" x14ac:dyDescent="0.3">
      <c r="A45" s="35">
        <v>44247</v>
      </c>
      <c r="B45" s="36" t="s">
        <v>47</v>
      </c>
      <c r="C45" s="37">
        <v>11</v>
      </c>
      <c r="D45" s="37" t="s">
        <v>17</v>
      </c>
      <c r="E45" s="37" t="s">
        <v>19</v>
      </c>
      <c r="F45" s="38">
        <v>0</v>
      </c>
      <c r="G45" s="42" t="str">
        <f>VLOOKUP('Data 1'!$B45,'Data 2'!$A$1:$F$46,MATCH('Data 1'!G$1,'Data 2'!$A$1:$F$1,0),0)</f>
        <v>Product30</v>
      </c>
      <c r="H45" s="42" t="str">
        <f>VLOOKUP('Data 1'!$B45,'Data 2'!$A$1:$F$46,MATCH('Data 1'!H$1,'Data 2'!$A$1:$F$1,0),0)</f>
        <v>Category04</v>
      </c>
      <c r="I45" s="42" t="str">
        <f>VLOOKUP('Data 1'!$B45,'Data 2'!$A$1:$F$46,MATCH('Data 1'!I$1,'Data 2'!$A$1:$F$1,0),0)</f>
        <v>Ft</v>
      </c>
      <c r="J45" s="42">
        <f>VLOOKUP('Data 1'!$B45,'Data 2'!$A$1:$F$46,MATCH('Data 1'!J$1,'Data 2'!$A$1:$F$1,0),0)</f>
        <v>148</v>
      </c>
      <c r="K45" s="42">
        <f>VLOOKUP('Data 1'!$B45,'Data 2'!$A$1:$F$46,MATCH('Data 1'!K$1,'Data 2'!$A$1:$F$1,0),0)</f>
        <v>201.28</v>
      </c>
      <c r="L45" s="40">
        <f>SUM('Data 1'!$J45*'Data 1'!$C45)</f>
        <v>1628</v>
      </c>
      <c r="M45" s="40">
        <f>'Data 1'!$C45*'Data 1'!$K45</f>
        <v>2214.08</v>
      </c>
      <c r="N45" s="40">
        <f>'Data 1'!$M45-'Data 1'!$L45</f>
        <v>586.07999999999993</v>
      </c>
      <c r="O45" s="37">
        <f>DAY('Data 1'!$A45)</f>
        <v>20</v>
      </c>
      <c r="P45" s="37" t="str">
        <f>TEXT('Data 1'!$A45,"mmm")</f>
        <v>Feb</v>
      </c>
      <c r="Q45" s="41">
        <f>YEAR('Data 1'!$A45)</f>
        <v>2021</v>
      </c>
    </row>
    <row r="46" spans="1:17" x14ac:dyDescent="0.3">
      <c r="A46" s="35">
        <v>44249</v>
      </c>
      <c r="B46" s="36" t="s">
        <v>20</v>
      </c>
      <c r="C46" s="37">
        <v>5</v>
      </c>
      <c r="D46" s="37" t="s">
        <v>17</v>
      </c>
      <c r="E46" s="37" t="s">
        <v>19</v>
      </c>
      <c r="F46" s="38">
        <v>0</v>
      </c>
      <c r="G46" s="39" t="str">
        <f>VLOOKUP('Data 1'!$B46,'Data 2'!$A$1:$F$46,MATCH('Data 1'!G$1,'Data 2'!$A$1:$F$1,0),0)</f>
        <v>Product13</v>
      </c>
      <c r="H46" s="39" t="str">
        <f>VLOOKUP('Data 1'!$B46,'Data 2'!$A$1:$F$46,MATCH('Data 1'!H$1,'Data 2'!$A$1:$F$1,0),0)</f>
        <v>Category02</v>
      </c>
      <c r="I46" s="39" t="str">
        <f>VLOOKUP('Data 1'!$B46,'Data 2'!$A$1:$F$46,MATCH('Data 1'!I$1,'Data 2'!$A$1:$F$1,0),0)</f>
        <v>Kg</v>
      </c>
      <c r="J46" s="39">
        <f>VLOOKUP('Data 1'!$B46,'Data 2'!$A$1:$F$46,MATCH('Data 1'!J$1,'Data 2'!$A$1:$F$1,0),0)</f>
        <v>112</v>
      </c>
      <c r="K46" s="39">
        <f>VLOOKUP('Data 1'!$B46,'Data 2'!$A$1:$F$46,MATCH('Data 1'!K$1,'Data 2'!$A$1:$F$1,0),0)</f>
        <v>122.08</v>
      </c>
      <c r="L46" s="40">
        <f>SUM('Data 1'!$J46*'Data 1'!$C46)</f>
        <v>560</v>
      </c>
      <c r="M46" s="40">
        <f>'Data 1'!$C46*'Data 1'!$K46</f>
        <v>610.4</v>
      </c>
      <c r="N46" s="40">
        <f>'Data 1'!$M46-'Data 1'!$L46</f>
        <v>50.399999999999977</v>
      </c>
      <c r="O46" s="37">
        <f>DAY('Data 1'!$A46)</f>
        <v>22</v>
      </c>
      <c r="P46" s="37" t="str">
        <f>TEXT('Data 1'!$A46,"mmm")</f>
        <v>Feb</v>
      </c>
      <c r="Q46" s="41">
        <f>YEAR('Data 1'!$A46)</f>
        <v>2021</v>
      </c>
    </row>
    <row r="47" spans="1:17" x14ac:dyDescent="0.3">
      <c r="A47" s="35">
        <v>44250</v>
      </c>
      <c r="B47" s="36" t="s">
        <v>26</v>
      </c>
      <c r="C47" s="37">
        <v>3</v>
      </c>
      <c r="D47" s="37" t="s">
        <v>21</v>
      </c>
      <c r="E47" s="37" t="s">
        <v>19</v>
      </c>
      <c r="F47" s="38">
        <v>0</v>
      </c>
      <c r="G47" s="42" t="str">
        <f>VLOOKUP('Data 1'!$B47,'Data 2'!$A$1:$F$46,MATCH('Data 1'!G$1,'Data 2'!$A$1:$F$1,0),0)</f>
        <v>Product25</v>
      </c>
      <c r="H47" s="42" t="str">
        <f>VLOOKUP('Data 1'!$B47,'Data 2'!$A$1:$F$46,MATCH('Data 1'!H$1,'Data 2'!$A$1:$F$1,0),0)</f>
        <v>Category03</v>
      </c>
      <c r="I47" s="42" t="str">
        <f>VLOOKUP('Data 1'!$B47,'Data 2'!$A$1:$F$46,MATCH('Data 1'!I$1,'Data 2'!$A$1:$F$1,0),0)</f>
        <v>No.</v>
      </c>
      <c r="J47" s="42">
        <f>VLOOKUP('Data 1'!$B47,'Data 2'!$A$1:$F$46,MATCH('Data 1'!J$1,'Data 2'!$A$1:$F$1,0),0)</f>
        <v>7</v>
      </c>
      <c r="K47" s="42">
        <f>VLOOKUP('Data 1'!$B47,'Data 2'!$A$1:$F$46,MATCH('Data 1'!K$1,'Data 2'!$A$1:$F$1,0),0)</f>
        <v>8.33</v>
      </c>
      <c r="L47" s="40">
        <f>SUM('Data 1'!$J47*'Data 1'!$C47)</f>
        <v>21</v>
      </c>
      <c r="M47" s="40">
        <f>'Data 1'!$C47*'Data 1'!$K47</f>
        <v>24.990000000000002</v>
      </c>
      <c r="N47" s="40">
        <f>'Data 1'!$M47-'Data 1'!$L47</f>
        <v>3.990000000000002</v>
      </c>
      <c r="O47" s="37">
        <f>DAY('Data 1'!$A47)</f>
        <v>23</v>
      </c>
      <c r="P47" s="37" t="str">
        <f>TEXT('Data 1'!$A47,"mmm")</f>
        <v>Feb</v>
      </c>
      <c r="Q47" s="41">
        <f>YEAR('Data 1'!$A47)</f>
        <v>2021</v>
      </c>
    </row>
    <row r="48" spans="1:17" x14ac:dyDescent="0.3">
      <c r="A48" s="35">
        <v>44250</v>
      </c>
      <c r="B48" s="36" t="s">
        <v>43</v>
      </c>
      <c r="C48" s="37">
        <v>2</v>
      </c>
      <c r="D48" s="37" t="s">
        <v>21</v>
      </c>
      <c r="E48" s="37" t="s">
        <v>17</v>
      </c>
      <c r="F48" s="38">
        <v>0</v>
      </c>
      <c r="G48" s="39" t="str">
        <f>VLOOKUP('Data 1'!$B48,'Data 2'!$A$1:$F$46,MATCH('Data 1'!G$1,'Data 2'!$A$1:$F$1,0),0)</f>
        <v>Product05</v>
      </c>
      <c r="H48" s="39" t="str">
        <f>VLOOKUP('Data 1'!$B48,'Data 2'!$A$1:$F$46,MATCH('Data 1'!H$1,'Data 2'!$A$1:$F$1,0),0)</f>
        <v>Category01</v>
      </c>
      <c r="I48" s="39" t="str">
        <f>VLOOKUP('Data 1'!$B48,'Data 2'!$A$1:$F$46,MATCH('Data 1'!I$1,'Data 2'!$A$1:$F$1,0),0)</f>
        <v>Ft</v>
      </c>
      <c r="J48" s="39">
        <f>VLOOKUP('Data 1'!$B48,'Data 2'!$A$1:$F$46,MATCH('Data 1'!J$1,'Data 2'!$A$1:$F$1,0),0)</f>
        <v>133</v>
      </c>
      <c r="K48" s="39">
        <f>VLOOKUP('Data 1'!$B48,'Data 2'!$A$1:$F$46,MATCH('Data 1'!K$1,'Data 2'!$A$1:$F$1,0),0)</f>
        <v>155.61000000000001</v>
      </c>
      <c r="L48" s="40">
        <f>SUM('Data 1'!$J48*'Data 1'!$C48)</f>
        <v>266</v>
      </c>
      <c r="M48" s="40">
        <f>'Data 1'!$C48*'Data 1'!$K48</f>
        <v>311.22000000000003</v>
      </c>
      <c r="N48" s="40">
        <f>'Data 1'!$M48-'Data 1'!$L48</f>
        <v>45.220000000000027</v>
      </c>
      <c r="O48" s="37">
        <f>DAY('Data 1'!$A48)</f>
        <v>23</v>
      </c>
      <c r="P48" s="37" t="str">
        <f>TEXT('Data 1'!$A48,"mmm")</f>
        <v>Feb</v>
      </c>
      <c r="Q48" s="41">
        <f>YEAR('Data 1'!$A48)</f>
        <v>2021</v>
      </c>
    </row>
    <row r="49" spans="1:17" x14ac:dyDescent="0.3">
      <c r="A49" s="35">
        <v>44252</v>
      </c>
      <c r="B49" s="36" t="s">
        <v>48</v>
      </c>
      <c r="C49" s="37">
        <v>4</v>
      </c>
      <c r="D49" s="37" t="s">
        <v>16</v>
      </c>
      <c r="E49" s="37" t="s">
        <v>17</v>
      </c>
      <c r="F49" s="38">
        <v>0</v>
      </c>
      <c r="G49" s="42" t="str">
        <f>VLOOKUP('Data 1'!$B49,'Data 2'!$A$1:$F$46,MATCH('Data 1'!G$1,'Data 2'!$A$1:$F$1,0),0)</f>
        <v>Product02</v>
      </c>
      <c r="H49" s="42" t="str">
        <f>VLOOKUP('Data 1'!$B49,'Data 2'!$A$1:$F$46,MATCH('Data 1'!H$1,'Data 2'!$A$1:$F$1,0),0)</f>
        <v>Category01</v>
      </c>
      <c r="I49" s="42" t="str">
        <f>VLOOKUP('Data 1'!$B49,'Data 2'!$A$1:$F$46,MATCH('Data 1'!I$1,'Data 2'!$A$1:$F$1,0),0)</f>
        <v>Kg</v>
      </c>
      <c r="J49" s="42">
        <f>VLOOKUP('Data 1'!$B49,'Data 2'!$A$1:$F$46,MATCH('Data 1'!J$1,'Data 2'!$A$1:$F$1,0),0)</f>
        <v>105</v>
      </c>
      <c r="K49" s="42">
        <f>VLOOKUP('Data 1'!$B49,'Data 2'!$A$1:$F$46,MATCH('Data 1'!K$1,'Data 2'!$A$1:$F$1,0),0)</f>
        <v>142.80000000000001</v>
      </c>
      <c r="L49" s="40">
        <f>SUM('Data 1'!$J49*'Data 1'!$C49)</f>
        <v>420</v>
      </c>
      <c r="M49" s="40">
        <f>'Data 1'!$C49*'Data 1'!$K49</f>
        <v>571.20000000000005</v>
      </c>
      <c r="N49" s="40">
        <f>'Data 1'!$M49-'Data 1'!$L49</f>
        <v>151.20000000000005</v>
      </c>
      <c r="O49" s="37">
        <f>DAY('Data 1'!$A49)</f>
        <v>25</v>
      </c>
      <c r="P49" s="37" t="str">
        <f>TEXT('Data 1'!$A49,"mmm")</f>
        <v>Feb</v>
      </c>
      <c r="Q49" s="41">
        <f>YEAR('Data 1'!$A49)</f>
        <v>2021</v>
      </c>
    </row>
    <row r="50" spans="1:17" x14ac:dyDescent="0.3">
      <c r="A50" s="35">
        <v>44252</v>
      </c>
      <c r="B50" s="36" t="s">
        <v>37</v>
      </c>
      <c r="C50" s="37">
        <v>11</v>
      </c>
      <c r="D50" s="37" t="s">
        <v>17</v>
      </c>
      <c r="E50" s="37" t="s">
        <v>19</v>
      </c>
      <c r="F50" s="38">
        <v>0</v>
      </c>
      <c r="G50" s="39" t="str">
        <f>VLOOKUP('Data 1'!$B50,'Data 2'!$A$1:$F$46,MATCH('Data 1'!G$1,'Data 2'!$A$1:$F$1,0),0)</f>
        <v>Product32</v>
      </c>
      <c r="H50" s="39" t="str">
        <f>VLOOKUP('Data 1'!$B50,'Data 2'!$A$1:$F$46,MATCH('Data 1'!H$1,'Data 2'!$A$1:$F$1,0),0)</f>
        <v>Category04</v>
      </c>
      <c r="I50" s="39" t="str">
        <f>VLOOKUP('Data 1'!$B50,'Data 2'!$A$1:$F$46,MATCH('Data 1'!I$1,'Data 2'!$A$1:$F$1,0),0)</f>
        <v>Kg</v>
      </c>
      <c r="J50" s="39">
        <f>VLOOKUP('Data 1'!$B50,'Data 2'!$A$1:$F$46,MATCH('Data 1'!J$1,'Data 2'!$A$1:$F$1,0),0)</f>
        <v>89</v>
      </c>
      <c r="K50" s="39">
        <f>VLOOKUP('Data 1'!$B50,'Data 2'!$A$1:$F$46,MATCH('Data 1'!K$1,'Data 2'!$A$1:$F$1,0),0)</f>
        <v>117.48</v>
      </c>
      <c r="L50" s="40">
        <f>SUM('Data 1'!$J50*'Data 1'!$C50)</f>
        <v>979</v>
      </c>
      <c r="M50" s="40">
        <f>'Data 1'!$C50*'Data 1'!$K50</f>
        <v>1292.28</v>
      </c>
      <c r="N50" s="40">
        <f>'Data 1'!$M50-'Data 1'!$L50</f>
        <v>313.27999999999997</v>
      </c>
      <c r="O50" s="37">
        <f>DAY('Data 1'!$A50)</f>
        <v>25</v>
      </c>
      <c r="P50" s="37" t="str">
        <f>TEXT('Data 1'!$A50,"mmm")</f>
        <v>Feb</v>
      </c>
      <c r="Q50" s="41">
        <f>YEAR('Data 1'!$A50)</f>
        <v>2021</v>
      </c>
    </row>
    <row r="51" spans="1:17" x14ac:dyDescent="0.3">
      <c r="A51" s="35">
        <v>44252</v>
      </c>
      <c r="B51" s="36" t="s">
        <v>47</v>
      </c>
      <c r="C51" s="37">
        <v>2</v>
      </c>
      <c r="D51" s="37" t="s">
        <v>21</v>
      </c>
      <c r="E51" s="37" t="s">
        <v>17</v>
      </c>
      <c r="F51" s="38">
        <v>0</v>
      </c>
      <c r="G51" s="42" t="str">
        <f>VLOOKUP('Data 1'!$B51,'Data 2'!$A$1:$F$46,MATCH('Data 1'!G$1,'Data 2'!$A$1:$F$1,0),0)</f>
        <v>Product30</v>
      </c>
      <c r="H51" s="42" t="str">
        <f>VLOOKUP('Data 1'!$B51,'Data 2'!$A$1:$F$46,MATCH('Data 1'!H$1,'Data 2'!$A$1:$F$1,0),0)</f>
        <v>Category04</v>
      </c>
      <c r="I51" s="42" t="str">
        <f>VLOOKUP('Data 1'!$B51,'Data 2'!$A$1:$F$46,MATCH('Data 1'!I$1,'Data 2'!$A$1:$F$1,0),0)</f>
        <v>Ft</v>
      </c>
      <c r="J51" s="42">
        <f>VLOOKUP('Data 1'!$B51,'Data 2'!$A$1:$F$46,MATCH('Data 1'!J$1,'Data 2'!$A$1:$F$1,0),0)</f>
        <v>148</v>
      </c>
      <c r="K51" s="42">
        <f>VLOOKUP('Data 1'!$B51,'Data 2'!$A$1:$F$46,MATCH('Data 1'!K$1,'Data 2'!$A$1:$F$1,0),0)</f>
        <v>201.28</v>
      </c>
      <c r="L51" s="40">
        <f>SUM('Data 1'!$J51*'Data 1'!$C51)</f>
        <v>296</v>
      </c>
      <c r="M51" s="40">
        <f>'Data 1'!$C51*'Data 1'!$K51</f>
        <v>402.56</v>
      </c>
      <c r="N51" s="40">
        <f>'Data 1'!$M51-'Data 1'!$L51</f>
        <v>106.56</v>
      </c>
      <c r="O51" s="37">
        <f>DAY('Data 1'!$A51)</f>
        <v>25</v>
      </c>
      <c r="P51" s="37" t="str">
        <f>TEXT('Data 1'!$A51,"mmm")</f>
        <v>Feb</v>
      </c>
      <c r="Q51" s="41">
        <f>YEAR('Data 1'!$A51)</f>
        <v>2021</v>
      </c>
    </row>
    <row r="52" spans="1:17" x14ac:dyDescent="0.3">
      <c r="A52" s="35">
        <v>44254</v>
      </c>
      <c r="B52" s="36" t="s">
        <v>49</v>
      </c>
      <c r="C52" s="37">
        <v>11</v>
      </c>
      <c r="D52" s="37" t="s">
        <v>16</v>
      </c>
      <c r="E52" s="37" t="s">
        <v>17</v>
      </c>
      <c r="F52" s="38">
        <v>0</v>
      </c>
      <c r="G52" s="39" t="str">
        <f>VLOOKUP('Data 1'!$B52,'Data 2'!$A$1:$F$46,MATCH('Data 1'!G$1,'Data 2'!$A$1:$F$1,0),0)</f>
        <v>Product18</v>
      </c>
      <c r="H52" s="39" t="str">
        <f>VLOOKUP('Data 1'!$B52,'Data 2'!$A$1:$F$46,MATCH('Data 1'!H$1,'Data 2'!$A$1:$F$1,0),0)</f>
        <v>Category02</v>
      </c>
      <c r="I52" s="39" t="str">
        <f>VLOOKUP('Data 1'!$B52,'Data 2'!$A$1:$F$46,MATCH('Data 1'!I$1,'Data 2'!$A$1:$F$1,0),0)</f>
        <v>No.</v>
      </c>
      <c r="J52" s="39">
        <f>VLOOKUP('Data 1'!$B52,'Data 2'!$A$1:$F$46,MATCH('Data 1'!J$1,'Data 2'!$A$1:$F$1,0),0)</f>
        <v>37</v>
      </c>
      <c r="K52" s="39">
        <f>VLOOKUP('Data 1'!$B52,'Data 2'!$A$1:$F$46,MATCH('Data 1'!K$1,'Data 2'!$A$1:$F$1,0),0)</f>
        <v>49.21</v>
      </c>
      <c r="L52" s="40">
        <f>SUM('Data 1'!$J52*'Data 1'!$C52)</f>
        <v>407</v>
      </c>
      <c r="M52" s="40">
        <f>'Data 1'!$C52*'Data 1'!$K52</f>
        <v>541.31000000000006</v>
      </c>
      <c r="N52" s="40">
        <f>'Data 1'!$M52-'Data 1'!$L52</f>
        <v>134.31000000000006</v>
      </c>
      <c r="O52" s="37">
        <f>DAY('Data 1'!$A52)</f>
        <v>27</v>
      </c>
      <c r="P52" s="37" t="str">
        <f>TEXT('Data 1'!$A52,"mmm")</f>
        <v>Feb</v>
      </c>
      <c r="Q52" s="41">
        <f>YEAR('Data 1'!$A52)</f>
        <v>2021</v>
      </c>
    </row>
    <row r="53" spans="1:17" x14ac:dyDescent="0.3">
      <c r="A53" s="35">
        <v>44258</v>
      </c>
      <c r="B53" s="36" t="s">
        <v>50</v>
      </c>
      <c r="C53" s="37">
        <v>1</v>
      </c>
      <c r="D53" s="37" t="s">
        <v>21</v>
      </c>
      <c r="E53" s="37" t="s">
        <v>17</v>
      </c>
      <c r="F53" s="38">
        <v>0</v>
      </c>
      <c r="G53" s="42" t="str">
        <f>VLOOKUP('Data 1'!$B53,'Data 2'!$A$1:$F$46,MATCH('Data 1'!G$1,'Data 2'!$A$1:$F$1,0),0)</f>
        <v>Product11</v>
      </c>
      <c r="H53" s="42" t="str">
        <f>VLOOKUP('Data 1'!$B53,'Data 2'!$A$1:$F$46,MATCH('Data 1'!H$1,'Data 2'!$A$1:$F$1,0),0)</f>
        <v>Category02</v>
      </c>
      <c r="I53" s="42" t="str">
        <f>VLOOKUP('Data 1'!$B53,'Data 2'!$A$1:$F$46,MATCH('Data 1'!I$1,'Data 2'!$A$1:$F$1,0),0)</f>
        <v>Lt</v>
      </c>
      <c r="J53" s="42">
        <f>VLOOKUP('Data 1'!$B53,'Data 2'!$A$1:$F$46,MATCH('Data 1'!J$1,'Data 2'!$A$1:$F$1,0),0)</f>
        <v>44</v>
      </c>
      <c r="K53" s="42">
        <f>VLOOKUP('Data 1'!$B53,'Data 2'!$A$1:$F$46,MATCH('Data 1'!K$1,'Data 2'!$A$1:$F$1,0),0)</f>
        <v>48.4</v>
      </c>
      <c r="L53" s="40">
        <f>SUM('Data 1'!$J53*'Data 1'!$C53)</f>
        <v>44</v>
      </c>
      <c r="M53" s="40">
        <f>'Data 1'!$C53*'Data 1'!$K53</f>
        <v>48.4</v>
      </c>
      <c r="N53" s="40">
        <f>'Data 1'!$M53-'Data 1'!$L53</f>
        <v>4.3999999999999986</v>
      </c>
      <c r="O53" s="37">
        <f>DAY('Data 1'!$A53)</f>
        <v>3</v>
      </c>
      <c r="P53" s="37" t="str">
        <f>TEXT('Data 1'!$A53,"mmm")</f>
        <v>Mar</v>
      </c>
      <c r="Q53" s="41">
        <f>YEAR('Data 1'!$A53)</f>
        <v>2021</v>
      </c>
    </row>
    <row r="54" spans="1:17" x14ac:dyDescent="0.3">
      <c r="A54" s="35">
        <v>44262</v>
      </c>
      <c r="B54" s="36" t="s">
        <v>51</v>
      </c>
      <c r="C54" s="37">
        <v>9</v>
      </c>
      <c r="D54" s="37" t="s">
        <v>21</v>
      </c>
      <c r="E54" s="37" t="s">
        <v>19</v>
      </c>
      <c r="F54" s="38">
        <v>0</v>
      </c>
      <c r="G54" s="39" t="str">
        <f>VLOOKUP('Data 1'!$B54,'Data 2'!$A$1:$F$46,MATCH('Data 1'!G$1,'Data 2'!$A$1:$F$1,0),0)</f>
        <v>Product21</v>
      </c>
      <c r="H54" s="39" t="str">
        <f>VLOOKUP('Data 1'!$B54,'Data 2'!$A$1:$F$46,MATCH('Data 1'!H$1,'Data 2'!$A$1:$F$1,0),0)</f>
        <v>Category03</v>
      </c>
      <c r="I54" s="39" t="str">
        <f>VLOOKUP('Data 1'!$B54,'Data 2'!$A$1:$F$46,MATCH('Data 1'!I$1,'Data 2'!$A$1:$F$1,0),0)</f>
        <v>Ft</v>
      </c>
      <c r="J54" s="39">
        <f>VLOOKUP('Data 1'!$B54,'Data 2'!$A$1:$F$46,MATCH('Data 1'!J$1,'Data 2'!$A$1:$F$1,0),0)</f>
        <v>126</v>
      </c>
      <c r="K54" s="39">
        <f>VLOOKUP('Data 1'!$B54,'Data 2'!$A$1:$F$46,MATCH('Data 1'!K$1,'Data 2'!$A$1:$F$1,0),0)</f>
        <v>162.54</v>
      </c>
      <c r="L54" s="40">
        <f>SUM('Data 1'!$J54*'Data 1'!$C54)</f>
        <v>1134</v>
      </c>
      <c r="M54" s="40">
        <f>'Data 1'!$C54*'Data 1'!$K54</f>
        <v>1462.86</v>
      </c>
      <c r="N54" s="40">
        <f>'Data 1'!$M54-'Data 1'!$L54</f>
        <v>328.8599999999999</v>
      </c>
      <c r="O54" s="37">
        <f>DAY('Data 1'!$A54)</f>
        <v>7</v>
      </c>
      <c r="P54" s="37" t="str">
        <f>TEXT('Data 1'!$A54,"mmm")</f>
        <v>Mar</v>
      </c>
      <c r="Q54" s="41">
        <f>YEAR('Data 1'!$A54)</f>
        <v>2021</v>
      </c>
    </row>
    <row r="55" spans="1:17" x14ac:dyDescent="0.3">
      <c r="A55" s="35">
        <v>44263</v>
      </c>
      <c r="B55" s="36" t="s">
        <v>45</v>
      </c>
      <c r="C55" s="37">
        <v>6</v>
      </c>
      <c r="D55" s="37" t="s">
        <v>17</v>
      </c>
      <c r="E55" s="37" t="s">
        <v>19</v>
      </c>
      <c r="F55" s="38">
        <v>0</v>
      </c>
      <c r="G55" s="42" t="str">
        <f>VLOOKUP('Data 1'!$B55,'Data 2'!$A$1:$F$46,MATCH('Data 1'!G$1,'Data 2'!$A$1:$F$1,0),0)</f>
        <v>Product27</v>
      </c>
      <c r="H55" s="42" t="str">
        <f>VLOOKUP('Data 1'!$B55,'Data 2'!$A$1:$F$46,MATCH('Data 1'!H$1,'Data 2'!$A$1:$F$1,0),0)</f>
        <v>Category04</v>
      </c>
      <c r="I55" s="42" t="str">
        <f>VLOOKUP('Data 1'!$B55,'Data 2'!$A$1:$F$46,MATCH('Data 1'!I$1,'Data 2'!$A$1:$F$1,0),0)</f>
        <v>Lt</v>
      </c>
      <c r="J55" s="42">
        <f>VLOOKUP('Data 1'!$B55,'Data 2'!$A$1:$F$46,MATCH('Data 1'!J$1,'Data 2'!$A$1:$F$1,0),0)</f>
        <v>48</v>
      </c>
      <c r="K55" s="42">
        <f>VLOOKUP('Data 1'!$B55,'Data 2'!$A$1:$F$46,MATCH('Data 1'!K$1,'Data 2'!$A$1:$F$1,0),0)</f>
        <v>57.120000000000005</v>
      </c>
      <c r="L55" s="40">
        <f>SUM('Data 1'!$J55*'Data 1'!$C55)</f>
        <v>288</v>
      </c>
      <c r="M55" s="40">
        <f>'Data 1'!$C55*'Data 1'!$K55</f>
        <v>342.72</v>
      </c>
      <c r="N55" s="40">
        <f>'Data 1'!$M55-'Data 1'!$L55</f>
        <v>54.720000000000027</v>
      </c>
      <c r="O55" s="37">
        <f>DAY('Data 1'!$A55)</f>
        <v>8</v>
      </c>
      <c r="P55" s="37" t="str">
        <f>TEXT('Data 1'!$A55,"mmm")</f>
        <v>Mar</v>
      </c>
      <c r="Q55" s="41">
        <f>YEAR('Data 1'!$A55)</f>
        <v>2021</v>
      </c>
    </row>
    <row r="56" spans="1:17" x14ac:dyDescent="0.3">
      <c r="A56" s="35">
        <v>44263</v>
      </c>
      <c r="B56" s="36" t="s">
        <v>30</v>
      </c>
      <c r="C56" s="37">
        <v>9</v>
      </c>
      <c r="D56" s="37" t="s">
        <v>17</v>
      </c>
      <c r="E56" s="37" t="s">
        <v>17</v>
      </c>
      <c r="F56" s="38">
        <v>0</v>
      </c>
      <c r="G56" s="39" t="str">
        <f>VLOOKUP('Data 1'!$B56,'Data 2'!$A$1:$F$46,MATCH('Data 1'!G$1,'Data 2'!$A$1:$F$1,0),0)</f>
        <v>Product44</v>
      </c>
      <c r="H56" s="39" t="str">
        <f>VLOOKUP('Data 1'!$B56,'Data 2'!$A$1:$F$46,MATCH('Data 1'!H$1,'Data 2'!$A$1:$F$1,0),0)</f>
        <v>Category05</v>
      </c>
      <c r="I56" s="39" t="str">
        <f>VLOOKUP('Data 1'!$B56,'Data 2'!$A$1:$F$46,MATCH('Data 1'!I$1,'Data 2'!$A$1:$F$1,0),0)</f>
        <v>Kg</v>
      </c>
      <c r="J56" s="39">
        <f>VLOOKUP('Data 1'!$B56,'Data 2'!$A$1:$F$46,MATCH('Data 1'!J$1,'Data 2'!$A$1:$F$1,0),0)</f>
        <v>76</v>
      </c>
      <c r="K56" s="39">
        <f>VLOOKUP('Data 1'!$B56,'Data 2'!$A$1:$F$46,MATCH('Data 1'!K$1,'Data 2'!$A$1:$F$1,0),0)</f>
        <v>82.08</v>
      </c>
      <c r="L56" s="40">
        <f>SUM('Data 1'!$J56*'Data 1'!$C56)</f>
        <v>684</v>
      </c>
      <c r="M56" s="40">
        <f>'Data 1'!$C56*'Data 1'!$K56</f>
        <v>738.72</v>
      </c>
      <c r="N56" s="40">
        <f>'Data 1'!$M56-'Data 1'!$L56</f>
        <v>54.720000000000027</v>
      </c>
      <c r="O56" s="37">
        <f>DAY('Data 1'!$A56)</f>
        <v>8</v>
      </c>
      <c r="P56" s="37" t="str">
        <f>TEXT('Data 1'!$A56,"mmm")</f>
        <v>Mar</v>
      </c>
      <c r="Q56" s="41">
        <f>YEAR('Data 1'!$A56)</f>
        <v>2021</v>
      </c>
    </row>
    <row r="57" spans="1:17" x14ac:dyDescent="0.3">
      <c r="A57" s="35">
        <v>44264</v>
      </c>
      <c r="B57" s="36" t="s">
        <v>38</v>
      </c>
      <c r="C57" s="37">
        <v>6</v>
      </c>
      <c r="D57" s="37" t="s">
        <v>16</v>
      </c>
      <c r="E57" s="37" t="s">
        <v>17</v>
      </c>
      <c r="F57" s="38">
        <v>0</v>
      </c>
      <c r="G57" s="42" t="str">
        <f>VLOOKUP('Data 1'!$B57,'Data 2'!$A$1:$F$46,MATCH('Data 1'!G$1,'Data 2'!$A$1:$F$1,0),0)</f>
        <v>Product29</v>
      </c>
      <c r="H57" s="42" t="str">
        <f>VLOOKUP('Data 1'!$B57,'Data 2'!$A$1:$F$46,MATCH('Data 1'!H$1,'Data 2'!$A$1:$F$1,0),0)</f>
        <v>Category04</v>
      </c>
      <c r="I57" s="42" t="str">
        <f>VLOOKUP('Data 1'!$B57,'Data 2'!$A$1:$F$46,MATCH('Data 1'!I$1,'Data 2'!$A$1:$F$1,0),0)</f>
        <v>Lt</v>
      </c>
      <c r="J57" s="42">
        <f>VLOOKUP('Data 1'!$B57,'Data 2'!$A$1:$F$46,MATCH('Data 1'!J$1,'Data 2'!$A$1:$F$1,0),0)</f>
        <v>47</v>
      </c>
      <c r="K57" s="42">
        <f>VLOOKUP('Data 1'!$B57,'Data 2'!$A$1:$F$46,MATCH('Data 1'!K$1,'Data 2'!$A$1:$F$1,0),0)</f>
        <v>53.11</v>
      </c>
      <c r="L57" s="40">
        <f>SUM('Data 1'!$J57*'Data 1'!$C57)</f>
        <v>282</v>
      </c>
      <c r="M57" s="40">
        <f>'Data 1'!$C57*'Data 1'!$K57</f>
        <v>318.65999999999997</v>
      </c>
      <c r="N57" s="40">
        <f>'Data 1'!$M57-'Data 1'!$L57</f>
        <v>36.659999999999968</v>
      </c>
      <c r="O57" s="37">
        <f>DAY('Data 1'!$A57)</f>
        <v>9</v>
      </c>
      <c r="P57" s="37" t="str">
        <f>TEXT('Data 1'!$A57,"mmm")</f>
        <v>Mar</v>
      </c>
      <c r="Q57" s="41">
        <f>YEAR('Data 1'!$A57)</f>
        <v>2021</v>
      </c>
    </row>
    <row r="58" spans="1:17" x14ac:dyDescent="0.3">
      <c r="A58" s="35">
        <v>44266</v>
      </c>
      <c r="B58" s="36" t="s">
        <v>26</v>
      </c>
      <c r="C58" s="37">
        <v>11</v>
      </c>
      <c r="D58" s="37" t="s">
        <v>21</v>
      </c>
      <c r="E58" s="37" t="s">
        <v>19</v>
      </c>
      <c r="F58" s="38">
        <v>0</v>
      </c>
      <c r="G58" s="39" t="str">
        <f>VLOOKUP('Data 1'!$B58,'Data 2'!$A$1:$F$46,MATCH('Data 1'!G$1,'Data 2'!$A$1:$F$1,0),0)</f>
        <v>Product25</v>
      </c>
      <c r="H58" s="39" t="str">
        <f>VLOOKUP('Data 1'!$B58,'Data 2'!$A$1:$F$46,MATCH('Data 1'!H$1,'Data 2'!$A$1:$F$1,0),0)</f>
        <v>Category03</v>
      </c>
      <c r="I58" s="39" t="str">
        <f>VLOOKUP('Data 1'!$B58,'Data 2'!$A$1:$F$46,MATCH('Data 1'!I$1,'Data 2'!$A$1:$F$1,0),0)</f>
        <v>No.</v>
      </c>
      <c r="J58" s="39">
        <f>VLOOKUP('Data 1'!$B58,'Data 2'!$A$1:$F$46,MATCH('Data 1'!J$1,'Data 2'!$A$1:$F$1,0),0)</f>
        <v>7</v>
      </c>
      <c r="K58" s="39">
        <f>VLOOKUP('Data 1'!$B58,'Data 2'!$A$1:$F$46,MATCH('Data 1'!K$1,'Data 2'!$A$1:$F$1,0),0)</f>
        <v>8.33</v>
      </c>
      <c r="L58" s="40">
        <f>SUM('Data 1'!$J58*'Data 1'!$C58)</f>
        <v>77</v>
      </c>
      <c r="M58" s="40">
        <f>'Data 1'!$C58*'Data 1'!$K58</f>
        <v>91.63</v>
      </c>
      <c r="N58" s="40">
        <f>'Data 1'!$M58-'Data 1'!$L58</f>
        <v>14.629999999999995</v>
      </c>
      <c r="O58" s="37">
        <f>DAY('Data 1'!$A58)</f>
        <v>11</v>
      </c>
      <c r="P58" s="37" t="str">
        <f>TEXT('Data 1'!$A58,"mmm")</f>
        <v>Mar</v>
      </c>
      <c r="Q58" s="41">
        <f>YEAR('Data 1'!$A58)</f>
        <v>2021</v>
      </c>
    </row>
    <row r="59" spans="1:17" x14ac:dyDescent="0.3">
      <c r="A59" s="35">
        <v>44268</v>
      </c>
      <c r="B59" s="36" t="s">
        <v>52</v>
      </c>
      <c r="C59" s="37">
        <v>10</v>
      </c>
      <c r="D59" s="37" t="s">
        <v>16</v>
      </c>
      <c r="E59" s="37" t="s">
        <v>19</v>
      </c>
      <c r="F59" s="38">
        <v>0</v>
      </c>
      <c r="G59" s="42" t="str">
        <f>VLOOKUP('Data 1'!$B59,'Data 2'!$A$1:$F$46,MATCH('Data 1'!G$1,'Data 2'!$A$1:$F$1,0),0)</f>
        <v>Product28</v>
      </c>
      <c r="H59" s="42" t="str">
        <f>VLOOKUP('Data 1'!$B59,'Data 2'!$A$1:$F$46,MATCH('Data 1'!H$1,'Data 2'!$A$1:$F$1,0),0)</f>
        <v>Category04</v>
      </c>
      <c r="I59" s="42" t="str">
        <f>VLOOKUP('Data 1'!$B59,'Data 2'!$A$1:$F$46,MATCH('Data 1'!I$1,'Data 2'!$A$1:$F$1,0),0)</f>
        <v>No.</v>
      </c>
      <c r="J59" s="42">
        <f>VLOOKUP('Data 1'!$B59,'Data 2'!$A$1:$F$46,MATCH('Data 1'!J$1,'Data 2'!$A$1:$F$1,0),0)</f>
        <v>37</v>
      </c>
      <c r="K59" s="42">
        <f>VLOOKUP('Data 1'!$B59,'Data 2'!$A$1:$F$46,MATCH('Data 1'!K$1,'Data 2'!$A$1:$F$1,0),0)</f>
        <v>41.81</v>
      </c>
      <c r="L59" s="40">
        <f>SUM('Data 1'!$J59*'Data 1'!$C59)</f>
        <v>370</v>
      </c>
      <c r="M59" s="40">
        <f>'Data 1'!$C59*'Data 1'!$K59</f>
        <v>418.1</v>
      </c>
      <c r="N59" s="40">
        <f>'Data 1'!$M59-'Data 1'!$L59</f>
        <v>48.100000000000023</v>
      </c>
      <c r="O59" s="37">
        <f>DAY('Data 1'!$A59)</f>
        <v>13</v>
      </c>
      <c r="P59" s="37" t="str">
        <f>TEXT('Data 1'!$A59,"mmm")</f>
        <v>Mar</v>
      </c>
      <c r="Q59" s="41">
        <f>YEAR('Data 1'!$A59)</f>
        <v>2021</v>
      </c>
    </row>
    <row r="60" spans="1:17" x14ac:dyDescent="0.3">
      <c r="A60" s="35">
        <v>44270</v>
      </c>
      <c r="B60" s="36" t="s">
        <v>53</v>
      </c>
      <c r="C60" s="37">
        <v>11</v>
      </c>
      <c r="D60" s="37" t="s">
        <v>17</v>
      </c>
      <c r="E60" s="37" t="s">
        <v>19</v>
      </c>
      <c r="F60" s="38">
        <v>0</v>
      </c>
      <c r="G60" s="39" t="str">
        <f>VLOOKUP('Data 1'!$B60,'Data 2'!$A$1:$F$46,MATCH('Data 1'!G$1,'Data 2'!$A$1:$F$1,0),0)</f>
        <v>Product39</v>
      </c>
      <c r="H60" s="39" t="str">
        <f>VLOOKUP('Data 1'!$B60,'Data 2'!$A$1:$F$46,MATCH('Data 1'!H$1,'Data 2'!$A$1:$F$1,0),0)</f>
        <v>Category05</v>
      </c>
      <c r="I60" s="39" t="str">
        <f>VLOOKUP('Data 1'!$B60,'Data 2'!$A$1:$F$46,MATCH('Data 1'!I$1,'Data 2'!$A$1:$F$1,0),0)</f>
        <v>No.</v>
      </c>
      <c r="J60" s="39">
        <f>VLOOKUP('Data 1'!$B60,'Data 2'!$A$1:$F$46,MATCH('Data 1'!J$1,'Data 2'!$A$1:$F$1,0),0)</f>
        <v>37</v>
      </c>
      <c r="K60" s="39">
        <f>VLOOKUP('Data 1'!$B60,'Data 2'!$A$1:$F$46,MATCH('Data 1'!K$1,'Data 2'!$A$1:$F$1,0),0)</f>
        <v>42.55</v>
      </c>
      <c r="L60" s="40">
        <f>SUM('Data 1'!$J60*'Data 1'!$C60)</f>
        <v>407</v>
      </c>
      <c r="M60" s="40">
        <f>'Data 1'!$C60*'Data 1'!$K60</f>
        <v>468.04999999999995</v>
      </c>
      <c r="N60" s="40">
        <f>'Data 1'!$M60-'Data 1'!$L60</f>
        <v>61.049999999999955</v>
      </c>
      <c r="O60" s="37">
        <f>DAY('Data 1'!$A60)</f>
        <v>15</v>
      </c>
      <c r="P60" s="37" t="str">
        <f>TEXT('Data 1'!$A60,"mmm")</f>
        <v>Mar</v>
      </c>
      <c r="Q60" s="41">
        <f>YEAR('Data 1'!$A60)</f>
        <v>2021</v>
      </c>
    </row>
    <row r="61" spans="1:17" x14ac:dyDescent="0.3">
      <c r="A61" s="35">
        <v>44271</v>
      </c>
      <c r="B61" s="36" t="s">
        <v>54</v>
      </c>
      <c r="C61" s="37">
        <v>14</v>
      </c>
      <c r="D61" s="37" t="s">
        <v>21</v>
      </c>
      <c r="E61" s="37" t="s">
        <v>19</v>
      </c>
      <c r="F61" s="38">
        <v>0</v>
      </c>
      <c r="G61" s="42" t="str">
        <f>VLOOKUP('Data 1'!$B61,'Data 2'!$A$1:$F$46,MATCH('Data 1'!G$1,'Data 2'!$A$1:$F$1,0),0)</f>
        <v>Product12</v>
      </c>
      <c r="H61" s="42" t="str">
        <f>VLOOKUP('Data 1'!$B61,'Data 2'!$A$1:$F$46,MATCH('Data 1'!H$1,'Data 2'!$A$1:$F$1,0),0)</f>
        <v>Category02</v>
      </c>
      <c r="I61" s="42" t="str">
        <f>VLOOKUP('Data 1'!$B61,'Data 2'!$A$1:$F$46,MATCH('Data 1'!I$1,'Data 2'!$A$1:$F$1,0),0)</f>
        <v>Kg</v>
      </c>
      <c r="J61" s="42">
        <f>VLOOKUP('Data 1'!$B61,'Data 2'!$A$1:$F$46,MATCH('Data 1'!J$1,'Data 2'!$A$1:$F$1,0),0)</f>
        <v>73</v>
      </c>
      <c r="K61" s="42">
        <f>VLOOKUP('Data 1'!$B61,'Data 2'!$A$1:$F$46,MATCH('Data 1'!K$1,'Data 2'!$A$1:$F$1,0),0)</f>
        <v>94.17</v>
      </c>
      <c r="L61" s="40">
        <f>SUM('Data 1'!$J61*'Data 1'!$C61)</f>
        <v>1022</v>
      </c>
      <c r="M61" s="40">
        <f>'Data 1'!$C61*'Data 1'!$K61</f>
        <v>1318.38</v>
      </c>
      <c r="N61" s="40">
        <f>'Data 1'!$M61-'Data 1'!$L61</f>
        <v>296.38000000000011</v>
      </c>
      <c r="O61" s="37">
        <f>DAY('Data 1'!$A61)</f>
        <v>16</v>
      </c>
      <c r="P61" s="37" t="str">
        <f>TEXT('Data 1'!$A61,"mmm")</f>
        <v>Mar</v>
      </c>
      <c r="Q61" s="41">
        <f>YEAR('Data 1'!$A61)</f>
        <v>2021</v>
      </c>
    </row>
    <row r="62" spans="1:17" x14ac:dyDescent="0.3">
      <c r="A62" s="35">
        <v>44273</v>
      </c>
      <c r="B62" s="36" t="s">
        <v>29</v>
      </c>
      <c r="C62" s="37">
        <v>8</v>
      </c>
      <c r="D62" s="37" t="s">
        <v>16</v>
      </c>
      <c r="E62" s="37" t="s">
        <v>19</v>
      </c>
      <c r="F62" s="38">
        <v>0</v>
      </c>
      <c r="G62" s="39" t="str">
        <f>VLOOKUP('Data 1'!$B62,'Data 2'!$A$1:$F$46,MATCH('Data 1'!G$1,'Data 2'!$A$1:$F$1,0),0)</f>
        <v>Product42</v>
      </c>
      <c r="H62" s="39" t="str">
        <f>VLOOKUP('Data 1'!$B62,'Data 2'!$A$1:$F$46,MATCH('Data 1'!H$1,'Data 2'!$A$1:$F$1,0),0)</f>
        <v>Category05</v>
      </c>
      <c r="I62" s="39" t="str">
        <f>VLOOKUP('Data 1'!$B62,'Data 2'!$A$1:$F$46,MATCH('Data 1'!I$1,'Data 2'!$A$1:$F$1,0),0)</f>
        <v>Ft</v>
      </c>
      <c r="J62" s="39">
        <f>VLOOKUP('Data 1'!$B62,'Data 2'!$A$1:$F$46,MATCH('Data 1'!J$1,'Data 2'!$A$1:$F$1,0),0)</f>
        <v>120</v>
      </c>
      <c r="K62" s="39">
        <f>VLOOKUP('Data 1'!$B62,'Data 2'!$A$1:$F$46,MATCH('Data 1'!K$1,'Data 2'!$A$1:$F$1,0),0)</f>
        <v>162</v>
      </c>
      <c r="L62" s="40">
        <f>SUM('Data 1'!$J62*'Data 1'!$C62)</f>
        <v>960</v>
      </c>
      <c r="M62" s="40">
        <f>'Data 1'!$C62*'Data 1'!$K62</f>
        <v>1296</v>
      </c>
      <c r="N62" s="40">
        <f>'Data 1'!$M62-'Data 1'!$L62</f>
        <v>336</v>
      </c>
      <c r="O62" s="37">
        <f>DAY('Data 1'!$A62)</f>
        <v>18</v>
      </c>
      <c r="P62" s="37" t="str">
        <f>TEXT('Data 1'!$A62,"mmm")</f>
        <v>Mar</v>
      </c>
      <c r="Q62" s="41">
        <f>YEAR('Data 1'!$A62)</f>
        <v>2021</v>
      </c>
    </row>
    <row r="63" spans="1:17" x14ac:dyDescent="0.3">
      <c r="A63" s="35">
        <v>44274</v>
      </c>
      <c r="B63" s="36" t="s">
        <v>52</v>
      </c>
      <c r="C63" s="37">
        <v>9</v>
      </c>
      <c r="D63" s="37" t="s">
        <v>17</v>
      </c>
      <c r="E63" s="37" t="s">
        <v>19</v>
      </c>
      <c r="F63" s="38">
        <v>0</v>
      </c>
      <c r="G63" s="42" t="str">
        <f>VLOOKUP('Data 1'!$B63,'Data 2'!$A$1:$F$46,MATCH('Data 1'!G$1,'Data 2'!$A$1:$F$1,0),0)</f>
        <v>Product28</v>
      </c>
      <c r="H63" s="42" t="str">
        <f>VLOOKUP('Data 1'!$B63,'Data 2'!$A$1:$F$46,MATCH('Data 1'!H$1,'Data 2'!$A$1:$F$1,0),0)</f>
        <v>Category04</v>
      </c>
      <c r="I63" s="42" t="str">
        <f>VLOOKUP('Data 1'!$B63,'Data 2'!$A$1:$F$46,MATCH('Data 1'!I$1,'Data 2'!$A$1:$F$1,0),0)</f>
        <v>No.</v>
      </c>
      <c r="J63" s="42">
        <f>VLOOKUP('Data 1'!$B63,'Data 2'!$A$1:$F$46,MATCH('Data 1'!J$1,'Data 2'!$A$1:$F$1,0),0)</f>
        <v>37</v>
      </c>
      <c r="K63" s="42">
        <f>VLOOKUP('Data 1'!$B63,'Data 2'!$A$1:$F$46,MATCH('Data 1'!K$1,'Data 2'!$A$1:$F$1,0),0)</f>
        <v>41.81</v>
      </c>
      <c r="L63" s="40">
        <f>SUM('Data 1'!$J63*'Data 1'!$C63)</f>
        <v>333</v>
      </c>
      <c r="M63" s="40">
        <f>'Data 1'!$C63*'Data 1'!$K63</f>
        <v>376.29</v>
      </c>
      <c r="N63" s="40">
        <f>'Data 1'!$M63-'Data 1'!$L63</f>
        <v>43.29000000000002</v>
      </c>
      <c r="O63" s="37">
        <f>DAY('Data 1'!$A63)</f>
        <v>19</v>
      </c>
      <c r="P63" s="37" t="str">
        <f>TEXT('Data 1'!$A63,"mmm")</f>
        <v>Mar</v>
      </c>
      <c r="Q63" s="41">
        <f>YEAR('Data 1'!$A63)</f>
        <v>2021</v>
      </c>
    </row>
    <row r="64" spans="1:17" x14ac:dyDescent="0.3">
      <c r="A64" s="35">
        <v>44276</v>
      </c>
      <c r="B64" s="36" t="s">
        <v>33</v>
      </c>
      <c r="C64" s="37">
        <v>13</v>
      </c>
      <c r="D64" s="37" t="s">
        <v>17</v>
      </c>
      <c r="E64" s="37" t="s">
        <v>17</v>
      </c>
      <c r="F64" s="38">
        <v>0</v>
      </c>
      <c r="G64" s="39" t="str">
        <f>VLOOKUP('Data 1'!$B64,'Data 2'!$A$1:$F$46,MATCH('Data 1'!G$1,'Data 2'!$A$1:$F$1,0),0)</f>
        <v>Product20</v>
      </c>
      <c r="H64" s="39" t="str">
        <f>VLOOKUP('Data 1'!$B64,'Data 2'!$A$1:$F$46,MATCH('Data 1'!H$1,'Data 2'!$A$1:$F$1,0),0)</f>
        <v>Category03</v>
      </c>
      <c r="I64" s="39" t="str">
        <f>VLOOKUP('Data 1'!$B64,'Data 2'!$A$1:$F$46,MATCH('Data 1'!I$1,'Data 2'!$A$1:$F$1,0),0)</f>
        <v>Lt</v>
      </c>
      <c r="J64" s="39">
        <f>VLOOKUP('Data 1'!$B64,'Data 2'!$A$1:$F$46,MATCH('Data 1'!J$1,'Data 2'!$A$1:$F$1,0),0)</f>
        <v>61</v>
      </c>
      <c r="K64" s="39">
        <f>VLOOKUP('Data 1'!$B64,'Data 2'!$A$1:$F$46,MATCH('Data 1'!K$1,'Data 2'!$A$1:$F$1,0),0)</f>
        <v>76.25</v>
      </c>
      <c r="L64" s="40">
        <f>SUM('Data 1'!$J64*'Data 1'!$C64)</f>
        <v>793</v>
      </c>
      <c r="M64" s="40">
        <f>'Data 1'!$C64*'Data 1'!$K64</f>
        <v>991.25</v>
      </c>
      <c r="N64" s="40">
        <f>'Data 1'!$M64-'Data 1'!$L64</f>
        <v>198.25</v>
      </c>
      <c r="O64" s="37">
        <f>DAY('Data 1'!$A64)</f>
        <v>21</v>
      </c>
      <c r="P64" s="37" t="str">
        <f>TEXT('Data 1'!$A64,"mmm")</f>
        <v>Mar</v>
      </c>
      <c r="Q64" s="41">
        <f>YEAR('Data 1'!$A64)</f>
        <v>2021</v>
      </c>
    </row>
    <row r="65" spans="1:17" x14ac:dyDescent="0.3">
      <c r="A65" s="35">
        <v>44276</v>
      </c>
      <c r="B65" s="36" t="s">
        <v>53</v>
      </c>
      <c r="C65" s="37">
        <v>7</v>
      </c>
      <c r="D65" s="37" t="s">
        <v>21</v>
      </c>
      <c r="E65" s="37" t="s">
        <v>17</v>
      </c>
      <c r="F65" s="38">
        <v>0</v>
      </c>
      <c r="G65" s="42" t="str">
        <f>VLOOKUP('Data 1'!$B65,'Data 2'!$A$1:$F$46,MATCH('Data 1'!G$1,'Data 2'!$A$1:$F$1,0),0)</f>
        <v>Product39</v>
      </c>
      <c r="H65" s="42" t="str">
        <f>VLOOKUP('Data 1'!$B65,'Data 2'!$A$1:$F$46,MATCH('Data 1'!H$1,'Data 2'!$A$1:$F$1,0),0)</f>
        <v>Category05</v>
      </c>
      <c r="I65" s="42" t="str">
        <f>VLOOKUP('Data 1'!$B65,'Data 2'!$A$1:$F$46,MATCH('Data 1'!I$1,'Data 2'!$A$1:$F$1,0),0)</f>
        <v>No.</v>
      </c>
      <c r="J65" s="42">
        <f>VLOOKUP('Data 1'!$B65,'Data 2'!$A$1:$F$46,MATCH('Data 1'!J$1,'Data 2'!$A$1:$F$1,0),0)</f>
        <v>37</v>
      </c>
      <c r="K65" s="42">
        <f>VLOOKUP('Data 1'!$B65,'Data 2'!$A$1:$F$46,MATCH('Data 1'!K$1,'Data 2'!$A$1:$F$1,0),0)</f>
        <v>42.55</v>
      </c>
      <c r="L65" s="40">
        <f>SUM('Data 1'!$J65*'Data 1'!$C65)</f>
        <v>259</v>
      </c>
      <c r="M65" s="40">
        <f>'Data 1'!$C65*'Data 1'!$K65</f>
        <v>297.84999999999997</v>
      </c>
      <c r="N65" s="40">
        <f>'Data 1'!$M65-'Data 1'!$L65</f>
        <v>38.849999999999966</v>
      </c>
      <c r="O65" s="37">
        <f>DAY('Data 1'!$A65)</f>
        <v>21</v>
      </c>
      <c r="P65" s="37" t="str">
        <f>TEXT('Data 1'!$A65,"mmm")</f>
        <v>Mar</v>
      </c>
      <c r="Q65" s="41">
        <f>YEAR('Data 1'!$A65)</f>
        <v>2021</v>
      </c>
    </row>
    <row r="66" spans="1:17" x14ac:dyDescent="0.3">
      <c r="A66" s="35">
        <v>44277</v>
      </c>
      <c r="B66" s="36" t="s">
        <v>48</v>
      </c>
      <c r="C66" s="37">
        <v>8</v>
      </c>
      <c r="D66" s="37" t="s">
        <v>17</v>
      </c>
      <c r="E66" s="37" t="s">
        <v>17</v>
      </c>
      <c r="F66" s="38">
        <v>0</v>
      </c>
      <c r="G66" s="39" t="str">
        <f>VLOOKUP('Data 1'!$B66,'Data 2'!$A$1:$F$46,MATCH('Data 1'!G$1,'Data 2'!$A$1:$F$1,0),0)</f>
        <v>Product02</v>
      </c>
      <c r="H66" s="39" t="str">
        <f>VLOOKUP('Data 1'!$B66,'Data 2'!$A$1:$F$46,MATCH('Data 1'!H$1,'Data 2'!$A$1:$F$1,0),0)</f>
        <v>Category01</v>
      </c>
      <c r="I66" s="39" t="str">
        <f>VLOOKUP('Data 1'!$B66,'Data 2'!$A$1:$F$46,MATCH('Data 1'!I$1,'Data 2'!$A$1:$F$1,0),0)</f>
        <v>Kg</v>
      </c>
      <c r="J66" s="39">
        <f>VLOOKUP('Data 1'!$B66,'Data 2'!$A$1:$F$46,MATCH('Data 1'!J$1,'Data 2'!$A$1:$F$1,0),0)</f>
        <v>105</v>
      </c>
      <c r="K66" s="39">
        <f>VLOOKUP('Data 1'!$B66,'Data 2'!$A$1:$F$46,MATCH('Data 1'!K$1,'Data 2'!$A$1:$F$1,0),0)</f>
        <v>142.80000000000001</v>
      </c>
      <c r="L66" s="40">
        <f>SUM('Data 1'!$J66*'Data 1'!$C66)</f>
        <v>840</v>
      </c>
      <c r="M66" s="40">
        <f>'Data 1'!$C66*'Data 1'!$K66</f>
        <v>1142.4000000000001</v>
      </c>
      <c r="N66" s="40">
        <f>'Data 1'!$M66-'Data 1'!$L66</f>
        <v>302.40000000000009</v>
      </c>
      <c r="O66" s="37">
        <f>DAY('Data 1'!$A66)</f>
        <v>22</v>
      </c>
      <c r="P66" s="37" t="str">
        <f>TEXT('Data 1'!$A66,"mmm")</f>
        <v>Mar</v>
      </c>
      <c r="Q66" s="41">
        <f>YEAR('Data 1'!$A66)</f>
        <v>2021</v>
      </c>
    </row>
    <row r="67" spans="1:17" x14ac:dyDescent="0.3">
      <c r="A67" s="35">
        <v>44277</v>
      </c>
      <c r="B67" s="36" t="s">
        <v>54</v>
      </c>
      <c r="C67" s="37">
        <v>4</v>
      </c>
      <c r="D67" s="37" t="s">
        <v>17</v>
      </c>
      <c r="E67" s="37" t="s">
        <v>17</v>
      </c>
      <c r="F67" s="38">
        <v>0</v>
      </c>
      <c r="G67" s="42" t="str">
        <f>VLOOKUP('Data 1'!$B67,'Data 2'!$A$1:$F$46,MATCH('Data 1'!G$1,'Data 2'!$A$1:$F$1,0),0)</f>
        <v>Product12</v>
      </c>
      <c r="H67" s="42" t="str">
        <f>VLOOKUP('Data 1'!$B67,'Data 2'!$A$1:$F$46,MATCH('Data 1'!H$1,'Data 2'!$A$1:$F$1,0),0)</f>
        <v>Category02</v>
      </c>
      <c r="I67" s="42" t="str">
        <f>VLOOKUP('Data 1'!$B67,'Data 2'!$A$1:$F$46,MATCH('Data 1'!I$1,'Data 2'!$A$1:$F$1,0),0)</f>
        <v>Kg</v>
      </c>
      <c r="J67" s="42">
        <f>VLOOKUP('Data 1'!$B67,'Data 2'!$A$1:$F$46,MATCH('Data 1'!J$1,'Data 2'!$A$1:$F$1,0),0)</f>
        <v>73</v>
      </c>
      <c r="K67" s="42">
        <f>VLOOKUP('Data 1'!$B67,'Data 2'!$A$1:$F$46,MATCH('Data 1'!K$1,'Data 2'!$A$1:$F$1,0),0)</f>
        <v>94.17</v>
      </c>
      <c r="L67" s="40">
        <f>SUM('Data 1'!$J67*'Data 1'!$C67)</f>
        <v>292</v>
      </c>
      <c r="M67" s="40">
        <f>'Data 1'!$C67*'Data 1'!$K67</f>
        <v>376.68</v>
      </c>
      <c r="N67" s="40">
        <f>'Data 1'!$M67-'Data 1'!$L67</f>
        <v>84.68</v>
      </c>
      <c r="O67" s="37">
        <f>DAY('Data 1'!$A67)</f>
        <v>22</v>
      </c>
      <c r="P67" s="37" t="str">
        <f>TEXT('Data 1'!$A67,"mmm")</f>
        <v>Mar</v>
      </c>
      <c r="Q67" s="41">
        <f>YEAR('Data 1'!$A67)</f>
        <v>2021</v>
      </c>
    </row>
    <row r="68" spans="1:17" x14ac:dyDescent="0.3">
      <c r="A68" s="35">
        <v>44280</v>
      </c>
      <c r="B68" s="36" t="s">
        <v>15</v>
      </c>
      <c r="C68" s="37">
        <v>14</v>
      </c>
      <c r="D68" s="37" t="s">
        <v>17</v>
      </c>
      <c r="E68" s="37" t="s">
        <v>19</v>
      </c>
      <c r="F68" s="38">
        <v>0</v>
      </c>
      <c r="G68" s="39" t="str">
        <f>VLOOKUP('Data 1'!$B68,'Data 2'!$A$1:$F$46,MATCH('Data 1'!G$1,'Data 2'!$A$1:$F$1,0),0)</f>
        <v>Product24</v>
      </c>
      <c r="H68" s="39" t="str">
        <f>VLOOKUP('Data 1'!$B68,'Data 2'!$A$1:$F$46,MATCH('Data 1'!H$1,'Data 2'!$A$1:$F$1,0),0)</f>
        <v>Category03</v>
      </c>
      <c r="I68" s="39" t="str">
        <f>VLOOKUP('Data 1'!$B68,'Data 2'!$A$1:$F$46,MATCH('Data 1'!I$1,'Data 2'!$A$1:$F$1,0),0)</f>
        <v>Ft</v>
      </c>
      <c r="J68" s="39">
        <f>VLOOKUP('Data 1'!$B68,'Data 2'!$A$1:$F$46,MATCH('Data 1'!J$1,'Data 2'!$A$1:$F$1,0),0)</f>
        <v>144</v>
      </c>
      <c r="K68" s="39">
        <f>VLOOKUP('Data 1'!$B68,'Data 2'!$A$1:$F$46,MATCH('Data 1'!K$1,'Data 2'!$A$1:$F$1,0),0)</f>
        <v>156.96</v>
      </c>
      <c r="L68" s="40">
        <f>SUM('Data 1'!$J68*'Data 1'!$C68)</f>
        <v>2016</v>
      </c>
      <c r="M68" s="40">
        <f>'Data 1'!$C68*'Data 1'!$K68</f>
        <v>2197.44</v>
      </c>
      <c r="N68" s="40">
        <f>'Data 1'!$M68-'Data 1'!$L68</f>
        <v>181.44000000000005</v>
      </c>
      <c r="O68" s="37">
        <f>DAY('Data 1'!$A68)</f>
        <v>25</v>
      </c>
      <c r="P68" s="37" t="str">
        <f>TEXT('Data 1'!$A68,"mmm")</f>
        <v>Mar</v>
      </c>
      <c r="Q68" s="41">
        <f>YEAR('Data 1'!$A68)</f>
        <v>2021</v>
      </c>
    </row>
    <row r="69" spans="1:17" x14ac:dyDescent="0.3">
      <c r="A69" s="35">
        <v>44280</v>
      </c>
      <c r="B69" s="36" t="s">
        <v>34</v>
      </c>
      <c r="C69" s="37">
        <v>4</v>
      </c>
      <c r="D69" s="37" t="s">
        <v>21</v>
      </c>
      <c r="E69" s="37" t="s">
        <v>19</v>
      </c>
      <c r="F69" s="38">
        <v>0</v>
      </c>
      <c r="G69" s="42" t="str">
        <f>VLOOKUP('Data 1'!$B69,'Data 2'!$A$1:$F$46,MATCH('Data 1'!G$1,'Data 2'!$A$1:$F$1,0),0)</f>
        <v>Product06</v>
      </c>
      <c r="H69" s="42" t="str">
        <f>VLOOKUP('Data 1'!$B69,'Data 2'!$A$1:$F$46,MATCH('Data 1'!H$1,'Data 2'!$A$1:$F$1,0),0)</f>
        <v>Category01</v>
      </c>
      <c r="I69" s="42" t="str">
        <f>VLOOKUP('Data 1'!$B69,'Data 2'!$A$1:$F$46,MATCH('Data 1'!I$1,'Data 2'!$A$1:$F$1,0),0)</f>
        <v>Kg</v>
      </c>
      <c r="J69" s="42">
        <f>VLOOKUP('Data 1'!$B69,'Data 2'!$A$1:$F$46,MATCH('Data 1'!J$1,'Data 2'!$A$1:$F$1,0),0)</f>
        <v>75</v>
      </c>
      <c r="K69" s="42">
        <f>VLOOKUP('Data 1'!$B69,'Data 2'!$A$1:$F$46,MATCH('Data 1'!K$1,'Data 2'!$A$1:$F$1,0),0)</f>
        <v>85.5</v>
      </c>
      <c r="L69" s="40">
        <f>SUM('Data 1'!$J69*'Data 1'!$C69)</f>
        <v>300</v>
      </c>
      <c r="M69" s="40">
        <f>'Data 1'!$C69*'Data 1'!$K69</f>
        <v>342</v>
      </c>
      <c r="N69" s="40">
        <f>'Data 1'!$M69-'Data 1'!$L69</f>
        <v>42</v>
      </c>
      <c r="O69" s="37">
        <f>DAY('Data 1'!$A69)</f>
        <v>25</v>
      </c>
      <c r="P69" s="37" t="str">
        <f>TEXT('Data 1'!$A69,"mmm")</f>
        <v>Mar</v>
      </c>
      <c r="Q69" s="41">
        <f>YEAR('Data 1'!$A69)</f>
        <v>2021</v>
      </c>
    </row>
    <row r="70" spans="1:17" x14ac:dyDescent="0.3">
      <c r="A70" s="35">
        <v>44280</v>
      </c>
      <c r="B70" s="36" t="s">
        <v>38</v>
      </c>
      <c r="C70" s="37">
        <v>8</v>
      </c>
      <c r="D70" s="37" t="s">
        <v>21</v>
      </c>
      <c r="E70" s="37" t="s">
        <v>19</v>
      </c>
      <c r="F70" s="38">
        <v>0</v>
      </c>
      <c r="G70" s="39" t="str">
        <f>VLOOKUP('Data 1'!$B70,'Data 2'!$A$1:$F$46,MATCH('Data 1'!G$1,'Data 2'!$A$1:$F$1,0),0)</f>
        <v>Product29</v>
      </c>
      <c r="H70" s="39" t="str">
        <f>VLOOKUP('Data 1'!$B70,'Data 2'!$A$1:$F$46,MATCH('Data 1'!H$1,'Data 2'!$A$1:$F$1,0),0)</f>
        <v>Category04</v>
      </c>
      <c r="I70" s="39" t="str">
        <f>VLOOKUP('Data 1'!$B70,'Data 2'!$A$1:$F$46,MATCH('Data 1'!I$1,'Data 2'!$A$1:$F$1,0),0)</f>
        <v>Lt</v>
      </c>
      <c r="J70" s="39">
        <f>VLOOKUP('Data 1'!$B70,'Data 2'!$A$1:$F$46,MATCH('Data 1'!J$1,'Data 2'!$A$1:$F$1,0),0)</f>
        <v>47</v>
      </c>
      <c r="K70" s="39">
        <f>VLOOKUP('Data 1'!$B70,'Data 2'!$A$1:$F$46,MATCH('Data 1'!K$1,'Data 2'!$A$1:$F$1,0),0)</f>
        <v>53.11</v>
      </c>
      <c r="L70" s="40">
        <f>SUM('Data 1'!$J70*'Data 1'!$C70)</f>
        <v>376</v>
      </c>
      <c r="M70" s="40">
        <f>'Data 1'!$C70*'Data 1'!$K70</f>
        <v>424.88</v>
      </c>
      <c r="N70" s="40">
        <f>'Data 1'!$M70-'Data 1'!$L70</f>
        <v>48.879999999999995</v>
      </c>
      <c r="O70" s="37">
        <f>DAY('Data 1'!$A70)</f>
        <v>25</v>
      </c>
      <c r="P70" s="37" t="str">
        <f>TEXT('Data 1'!$A70,"mmm")</f>
        <v>Mar</v>
      </c>
      <c r="Q70" s="41">
        <f>YEAR('Data 1'!$A70)</f>
        <v>2021</v>
      </c>
    </row>
    <row r="71" spans="1:17" x14ac:dyDescent="0.3">
      <c r="A71" s="35">
        <v>44280</v>
      </c>
      <c r="B71" s="36" t="s">
        <v>18</v>
      </c>
      <c r="C71" s="37">
        <v>2</v>
      </c>
      <c r="D71" s="37" t="s">
        <v>21</v>
      </c>
      <c r="E71" s="37" t="s">
        <v>17</v>
      </c>
      <c r="F71" s="38">
        <v>0</v>
      </c>
      <c r="G71" s="42" t="str">
        <f>VLOOKUP('Data 1'!$B71,'Data 2'!$A$1:$F$46,MATCH('Data 1'!G$1,'Data 2'!$A$1:$F$1,0),0)</f>
        <v>Product38</v>
      </c>
      <c r="H71" s="42" t="str">
        <f>VLOOKUP('Data 1'!$B71,'Data 2'!$A$1:$F$46,MATCH('Data 1'!H$1,'Data 2'!$A$1:$F$1,0),0)</f>
        <v>Category05</v>
      </c>
      <c r="I71" s="42" t="str">
        <f>VLOOKUP('Data 1'!$B71,'Data 2'!$A$1:$F$46,MATCH('Data 1'!I$1,'Data 2'!$A$1:$F$1,0),0)</f>
        <v>Kg</v>
      </c>
      <c r="J71" s="42">
        <f>VLOOKUP('Data 1'!$B71,'Data 2'!$A$1:$F$46,MATCH('Data 1'!J$1,'Data 2'!$A$1:$F$1,0),0)</f>
        <v>72</v>
      </c>
      <c r="K71" s="42">
        <f>VLOOKUP('Data 1'!$B71,'Data 2'!$A$1:$F$46,MATCH('Data 1'!K$1,'Data 2'!$A$1:$F$1,0),0)</f>
        <v>79.92</v>
      </c>
      <c r="L71" s="40">
        <f>SUM('Data 1'!$J71*'Data 1'!$C71)</f>
        <v>144</v>
      </c>
      <c r="M71" s="40">
        <f>'Data 1'!$C71*'Data 1'!$K71</f>
        <v>159.84</v>
      </c>
      <c r="N71" s="40">
        <f>'Data 1'!$M71-'Data 1'!$L71</f>
        <v>15.840000000000003</v>
      </c>
      <c r="O71" s="37">
        <f>DAY('Data 1'!$A71)</f>
        <v>25</v>
      </c>
      <c r="P71" s="37" t="str">
        <f>TEXT('Data 1'!$A71,"mmm")</f>
        <v>Mar</v>
      </c>
      <c r="Q71" s="41">
        <f>YEAR('Data 1'!$A71)</f>
        <v>2021</v>
      </c>
    </row>
    <row r="72" spans="1:17" x14ac:dyDescent="0.3">
      <c r="A72" s="35">
        <v>44281</v>
      </c>
      <c r="B72" s="36" t="s">
        <v>35</v>
      </c>
      <c r="C72" s="37">
        <v>4</v>
      </c>
      <c r="D72" s="37" t="s">
        <v>21</v>
      </c>
      <c r="E72" s="37" t="s">
        <v>19</v>
      </c>
      <c r="F72" s="38">
        <v>0</v>
      </c>
      <c r="G72" s="39" t="str">
        <f>VLOOKUP('Data 1'!$B72,'Data 2'!$A$1:$F$46,MATCH('Data 1'!G$1,'Data 2'!$A$1:$F$1,0),0)</f>
        <v>Product01</v>
      </c>
      <c r="H72" s="39" t="str">
        <f>VLOOKUP('Data 1'!$B72,'Data 2'!$A$1:$F$46,MATCH('Data 1'!H$1,'Data 2'!$A$1:$F$1,0),0)</f>
        <v>Category01</v>
      </c>
      <c r="I72" s="39" t="str">
        <f>VLOOKUP('Data 1'!$B72,'Data 2'!$A$1:$F$46,MATCH('Data 1'!I$1,'Data 2'!$A$1:$F$1,0),0)</f>
        <v>Kg</v>
      </c>
      <c r="J72" s="39">
        <f>VLOOKUP('Data 1'!$B72,'Data 2'!$A$1:$F$46,MATCH('Data 1'!J$1,'Data 2'!$A$1:$F$1,0),0)</f>
        <v>98</v>
      </c>
      <c r="K72" s="39">
        <f>VLOOKUP('Data 1'!$B72,'Data 2'!$A$1:$F$46,MATCH('Data 1'!K$1,'Data 2'!$A$1:$F$1,0),0)</f>
        <v>103.88</v>
      </c>
      <c r="L72" s="40">
        <f>SUM('Data 1'!$J72*'Data 1'!$C72)</f>
        <v>392</v>
      </c>
      <c r="M72" s="40">
        <f>'Data 1'!$C72*'Data 1'!$K72</f>
        <v>415.52</v>
      </c>
      <c r="N72" s="40">
        <f>'Data 1'!$M72-'Data 1'!$L72</f>
        <v>23.519999999999982</v>
      </c>
      <c r="O72" s="37">
        <f>DAY('Data 1'!$A72)</f>
        <v>26</v>
      </c>
      <c r="P72" s="37" t="str">
        <f>TEXT('Data 1'!$A72,"mmm")</f>
        <v>Mar</v>
      </c>
      <c r="Q72" s="41">
        <f>YEAR('Data 1'!$A72)</f>
        <v>2021</v>
      </c>
    </row>
    <row r="73" spans="1:17" x14ac:dyDescent="0.3">
      <c r="A73" s="35">
        <v>44281</v>
      </c>
      <c r="B73" s="36" t="s">
        <v>29</v>
      </c>
      <c r="C73" s="37">
        <v>1</v>
      </c>
      <c r="D73" s="37" t="s">
        <v>21</v>
      </c>
      <c r="E73" s="37" t="s">
        <v>19</v>
      </c>
      <c r="F73" s="38">
        <v>0</v>
      </c>
      <c r="G73" s="42" t="str">
        <f>VLOOKUP('Data 1'!$B73,'Data 2'!$A$1:$F$46,MATCH('Data 1'!G$1,'Data 2'!$A$1:$F$1,0),0)</f>
        <v>Product42</v>
      </c>
      <c r="H73" s="42" t="str">
        <f>VLOOKUP('Data 1'!$B73,'Data 2'!$A$1:$F$46,MATCH('Data 1'!H$1,'Data 2'!$A$1:$F$1,0),0)</f>
        <v>Category05</v>
      </c>
      <c r="I73" s="42" t="str">
        <f>VLOOKUP('Data 1'!$B73,'Data 2'!$A$1:$F$46,MATCH('Data 1'!I$1,'Data 2'!$A$1:$F$1,0),0)</f>
        <v>Ft</v>
      </c>
      <c r="J73" s="42">
        <f>VLOOKUP('Data 1'!$B73,'Data 2'!$A$1:$F$46,MATCH('Data 1'!J$1,'Data 2'!$A$1:$F$1,0),0)</f>
        <v>120</v>
      </c>
      <c r="K73" s="42">
        <f>VLOOKUP('Data 1'!$B73,'Data 2'!$A$1:$F$46,MATCH('Data 1'!K$1,'Data 2'!$A$1:$F$1,0),0)</f>
        <v>162</v>
      </c>
      <c r="L73" s="40">
        <f>SUM('Data 1'!$J73*'Data 1'!$C73)</f>
        <v>120</v>
      </c>
      <c r="M73" s="40">
        <f>'Data 1'!$C73*'Data 1'!$K73</f>
        <v>162</v>
      </c>
      <c r="N73" s="40">
        <f>'Data 1'!$M73-'Data 1'!$L73</f>
        <v>42</v>
      </c>
      <c r="O73" s="37">
        <f>DAY('Data 1'!$A73)</f>
        <v>26</v>
      </c>
      <c r="P73" s="37" t="str">
        <f>TEXT('Data 1'!$A73,"mmm")</f>
        <v>Mar</v>
      </c>
      <c r="Q73" s="41">
        <f>YEAR('Data 1'!$A73)</f>
        <v>2021</v>
      </c>
    </row>
    <row r="74" spans="1:17" x14ac:dyDescent="0.3">
      <c r="A74" s="35">
        <v>44281</v>
      </c>
      <c r="B74" s="36" t="s">
        <v>39</v>
      </c>
      <c r="C74" s="37">
        <v>9</v>
      </c>
      <c r="D74" s="37" t="s">
        <v>21</v>
      </c>
      <c r="E74" s="37" t="s">
        <v>17</v>
      </c>
      <c r="F74" s="38">
        <v>0</v>
      </c>
      <c r="G74" s="39" t="str">
        <f>VLOOKUP('Data 1'!$B74,'Data 2'!$A$1:$F$46,MATCH('Data 1'!G$1,'Data 2'!$A$1:$F$1,0),0)</f>
        <v>Product10</v>
      </c>
      <c r="H74" s="39" t="str">
        <f>VLOOKUP('Data 1'!$B74,'Data 2'!$A$1:$F$46,MATCH('Data 1'!H$1,'Data 2'!$A$1:$F$1,0),0)</f>
        <v>Category02</v>
      </c>
      <c r="I74" s="39" t="str">
        <f>VLOOKUP('Data 1'!$B74,'Data 2'!$A$1:$F$46,MATCH('Data 1'!I$1,'Data 2'!$A$1:$F$1,0),0)</f>
        <v>Ft</v>
      </c>
      <c r="J74" s="39">
        <f>VLOOKUP('Data 1'!$B74,'Data 2'!$A$1:$F$46,MATCH('Data 1'!J$1,'Data 2'!$A$1:$F$1,0),0)</f>
        <v>148</v>
      </c>
      <c r="K74" s="39">
        <f>VLOOKUP('Data 1'!$B74,'Data 2'!$A$1:$F$46,MATCH('Data 1'!K$1,'Data 2'!$A$1:$F$1,0),0)</f>
        <v>164.28</v>
      </c>
      <c r="L74" s="40">
        <f>SUM('Data 1'!$J74*'Data 1'!$C74)</f>
        <v>1332</v>
      </c>
      <c r="M74" s="40">
        <f>'Data 1'!$C74*'Data 1'!$K74</f>
        <v>1478.52</v>
      </c>
      <c r="N74" s="40">
        <f>'Data 1'!$M74-'Data 1'!$L74</f>
        <v>146.51999999999998</v>
      </c>
      <c r="O74" s="37">
        <f>DAY('Data 1'!$A74)</f>
        <v>26</v>
      </c>
      <c r="P74" s="37" t="str">
        <f>TEXT('Data 1'!$A74,"mmm")</f>
        <v>Mar</v>
      </c>
      <c r="Q74" s="41">
        <f>YEAR('Data 1'!$A74)</f>
        <v>2021</v>
      </c>
    </row>
    <row r="75" spans="1:17" x14ac:dyDescent="0.3">
      <c r="A75" s="35">
        <v>44282</v>
      </c>
      <c r="B75" s="36" t="s">
        <v>47</v>
      </c>
      <c r="C75" s="37">
        <v>3</v>
      </c>
      <c r="D75" s="37" t="s">
        <v>21</v>
      </c>
      <c r="E75" s="37" t="s">
        <v>17</v>
      </c>
      <c r="F75" s="38">
        <v>0</v>
      </c>
      <c r="G75" s="42" t="str">
        <f>VLOOKUP('Data 1'!$B75,'Data 2'!$A$1:$F$46,MATCH('Data 1'!G$1,'Data 2'!$A$1:$F$1,0),0)</f>
        <v>Product30</v>
      </c>
      <c r="H75" s="42" t="str">
        <f>VLOOKUP('Data 1'!$B75,'Data 2'!$A$1:$F$46,MATCH('Data 1'!H$1,'Data 2'!$A$1:$F$1,0),0)</f>
        <v>Category04</v>
      </c>
      <c r="I75" s="42" t="str">
        <f>VLOOKUP('Data 1'!$B75,'Data 2'!$A$1:$F$46,MATCH('Data 1'!I$1,'Data 2'!$A$1:$F$1,0),0)</f>
        <v>Ft</v>
      </c>
      <c r="J75" s="42">
        <f>VLOOKUP('Data 1'!$B75,'Data 2'!$A$1:$F$46,MATCH('Data 1'!J$1,'Data 2'!$A$1:$F$1,0),0)</f>
        <v>148</v>
      </c>
      <c r="K75" s="42">
        <f>VLOOKUP('Data 1'!$B75,'Data 2'!$A$1:$F$46,MATCH('Data 1'!K$1,'Data 2'!$A$1:$F$1,0),0)</f>
        <v>201.28</v>
      </c>
      <c r="L75" s="40">
        <f>SUM('Data 1'!$J75*'Data 1'!$C75)</f>
        <v>444</v>
      </c>
      <c r="M75" s="40">
        <f>'Data 1'!$C75*'Data 1'!$K75</f>
        <v>603.84</v>
      </c>
      <c r="N75" s="40">
        <f>'Data 1'!$M75-'Data 1'!$L75</f>
        <v>159.84000000000003</v>
      </c>
      <c r="O75" s="37">
        <f>DAY('Data 1'!$A75)</f>
        <v>27</v>
      </c>
      <c r="P75" s="37" t="str">
        <f>TEXT('Data 1'!$A75,"mmm")</f>
        <v>Mar</v>
      </c>
      <c r="Q75" s="41">
        <f>YEAR('Data 1'!$A75)</f>
        <v>2021</v>
      </c>
    </row>
    <row r="76" spans="1:17" x14ac:dyDescent="0.3">
      <c r="A76" s="35">
        <v>44283</v>
      </c>
      <c r="B76" s="36" t="s">
        <v>55</v>
      </c>
      <c r="C76" s="37">
        <v>8</v>
      </c>
      <c r="D76" s="37" t="s">
        <v>17</v>
      </c>
      <c r="E76" s="37" t="s">
        <v>19</v>
      </c>
      <c r="F76" s="38">
        <v>0</v>
      </c>
      <c r="G76" s="39" t="str">
        <f>VLOOKUP('Data 1'!$B76,'Data 2'!$A$1:$F$46,MATCH('Data 1'!G$1,'Data 2'!$A$1:$F$1,0),0)</f>
        <v>Product07</v>
      </c>
      <c r="H76" s="39" t="str">
        <f>VLOOKUP('Data 1'!$B76,'Data 2'!$A$1:$F$46,MATCH('Data 1'!H$1,'Data 2'!$A$1:$F$1,0),0)</f>
        <v>Category01</v>
      </c>
      <c r="I76" s="39" t="str">
        <f>VLOOKUP('Data 1'!$B76,'Data 2'!$A$1:$F$46,MATCH('Data 1'!I$1,'Data 2'!$A$1:$F$1,0),0)</f>
        <v>Lt</v>
      </c>
      <c r="J76" s="39">
        <f>VLOOKUP('Data 1'!$B76,'Data 2'!$A$1:$F$46,MATCH('Data 1'!J$1,'Data 2'!$A$1:$F$1,0),0)</f>
        <v>43</v>
      </c>
      <c r="K76" s="39">
        <f>VLOOKUP('Data 1'!$B76,'Data 2'!$A$1:$F$46,MATCH('Data 1'!K$1,'Data 2'!$A$1:$F$1,0),0)</f>
        <v>47.730000000000004</v>
      </c>
      <c r="L76" s="40">
        <f>SUM('Data 1'!$J76*'Data 1'!$C76)</f>
        <v>344</v>
      </c>
      <c r="M76" s="40">
        <f>'Data 1'!$C76*'Data 1'!$K76</f>
        <v>381.84000000000003</v>
      </c>
      <c r="N76" s="40">
        <f>'Data 1'!$M76-'Data 1'!$L76</f>
        <v>37.840000000000032</v>
      </c>
      <c r="O76" s="37">
        <f>DAY('Data 1'!$A76)</f>
        <v>28</v>
      </c>
      <c r="P76" s="37" t="str">
        <f>TEXT('Data 1'!$A76,"mmm")</f>
        <v>Mar</v>
      </c>
      <c r="Q76" s="41">
        <f>YEAR('Data 1'!$A76)</f>
        <v>2021</v>
      </c>
    </row>
    <row r="77" spans="1:17" x14ac:dyDescent="0.3">
      <c r="A77" s="35">
        <v>44285</v>
      </c>
      <c r="B77" s="36" t="s">
        <v>18</v>
      </c>
      <c r="C77" s="37">
        <v>1</v>
      </c>
      <c r="D77" s="37" t="s">
        <v>17</v>
      </c>
      <c r="E77" s="37" t="s">
        <v>19</v>
      </c>
      <c r="F77" s="38">
        <v>0</v>
      </c>
      <c r="G77" s="42" t="str">
        <f>VLOOKUP('Data 1'!$B77,'Data 2'!$A$1:$F$46,MATCH('Data 1'!G$1,'Data 2'!$A$1:$F$1,0),0)</f>
        <v>Product38</v>
      </c>
      <c r="H77" s="42" t="str">
        <f>VLOOKUP('Data 1'!$B77,'Data 2'!$A$1:$F$46,MATCH('Data 1'!H$1,'Data 2'!$A$1:$F$1,0),0)</f>
        <v>Category05</v>
      </c>
      <c r="I77" s="42" t="str">
        <f>VLOOKUP('Data 1'!$B77,'Data 2'!$A$1:$F$46,MATCH('Data 1'!I$1,'Data 2'!$A$1:$F$1,0),0)</f>
        <v>Kg</v>
      </c>
      <c r="J77" s="42">
        <f>VLOOKUP('Data 1'!$B77,'Data 2'!$A$1:$F$46,MATCH('Data 1'!J$1,'Data 2'!$A$1:$F$1,0),0)</f>
        <v>72</v>
      </c>
      <c r="K77" s="42">
        <f>VLOOKUP('Data 1'!$B77,'Data 2'!$A$1:$F$46,MATCH('Data 1'!K$1,'Data 2'!$A$1:$F$1,0),0)</f>
        <v>79.92</v>
      </c>
      <c r="L77" s="40">
        <f>SUM('Data 1'!$J77*'Data 1'!$C77)</f>
        <v>72</v>
      </c>
      <c r="M77" s="40">
        <f>'Data 1'!$C77*'Data 1'!$K77</f>
        <v>79.92</v>
      </c>
      <c r="N77" s="40">
        <f>'Data 1'!$M77-'Data 1'!$L77</f>
        <v>7.9200000000000017</v>
      </c>
      <c r="O77" s="37">
        <f>DAY('Data 1'!$A77)</f>
        <v>30</v>
      </c>
      <c r="P77" s="37" t="str">
        <f>TEXT('Data 1'!$A77,"mmm")</f>
        <v>Mar</v>
      </c>
      <c r="Q77" s="41">
        <f>YEAR('Data 1'!$A77)</f>
        <v>2021</v>
      </c>
    </row>
    <row r="78" spans="1:17" x14ac:dyDescent="0.3">
      <c r="A78" s="35">
        <v>44286</v>
      </c>
      <c r="B78" s="36" t="s">
        <v>29</v>
      </c>
      <c r="C78" s="37">
        <v>3</v>
      </c>
      <c r="D78" s="37" t="s">
        <v>21</v>
      </c>
      <c r="E78" s="37" t="s">
        <v>19</v>
      </c>
      <c r="F78" s="38">
        <v>0</v>
      </c>
      <c r="G78" s="39" t="str">
        <f>VLOOKUP('Data 1'!$B78,'Data 2'!$A$1:$F$46,MATCH('Data 1'!G$1,'Data 2'!$A$1:$F$1,0),0)</f>
        <v>Product42</v>
      </c>
      <c r="H78" s="39" t="str">
        <f>VLOOKUP('Data 1'!$B78,'Data 2'!$A$1:$F$46,MATCH('Data 1'!H$1,'Data 2'!$A$1:$F$1,0),0)</f>
        <v>Category05</v>
      </c>
      <c r="I78" s="39" t="str">
        <f>VLOOKUP('Data 1'!$B78,'Data 2'!$A$1:$F$46,MATCH('Data 1'!I$1,'Data 2'!$A$1:$F$1,0),0)</f>
        <v>Ft</v>
      </c>
      <c r="J78" s="39">
        <f>VLOOKUP('Data 1'!$B78,'Data 2'!$A$1:$F$46,MATCH('Data 1'!J$1,'Data 2'!$A$1:$F$1,0),0)</f>
        <v>120</v>
      </c>
      <c r="K78" s="39">
        <f>VLOOKUP('Data 1'!$B78,'Data 2'!$A$1:$F$46,MATCH('Data 1'!K$1,'Data 2'!$A$1:$F$1,0),0)</f>
        <v>162</v>
      </c>
      <c r="L78" s="40">
        <f>SUM('Data 1'!$J78*'Data 1'!$C78)</f>
        <v>360</v>
      </c>
      <c r="M78" s="40">
        <f>'Data 1'!$C78*'Data 1'!$K78</f>
        <v>486</v>
      </c>
      <c r="N78" s="40">
        <f>'Data 1'!$M78-'Data 1'!$L78</f>
        <v>126</v>
      </c>
      <c r="O78" s="37">
        <f>DAY('Data 1'!$A78)</f>
        <v>31</v>
      </c>
      <c r="P78" s="37" t="str">
        <f>TEXT('Data 1'!$A78,"mmm")</f>
        <v>Mar</v>
      </c>
      <c r="Q78" s="41">
        <f>YEAR('Data 1'!$A78)</f>
        <v>2021</v>
      </c>
    </row>
    <row r="79" spans="1:17" x14ac:dyDescent="0.3">
      <c r="A79" s="35">
        <v>44290</v>
      </c>
      <c r="B79" s="36" t="s">
        <v>36</v>
      </c>
      <c r="C79" s="37">
        <v>4</v>
      </c>
      <c r="D79" s="37" t="s">
        <v>21</v>
      </c>
      <c r="E79" s="37" t="s">
        <v>19</v>
      </c>
      <c r="F79" s="38">
        <v>0</v>
      </c>
      <c r="G79" s="42" t="str">
        <f>VLOOKUP('Data 1'!$B79,'Data 2'!$A$1:$F$46,MATCH('Data 1'!G$1,'Data 2'!$A$1:$F$1,0),0)</f>
        <v>Product40</v>
      </c>
      <c r="H79" s="42" t="str">
        <f>VLOOKUP('Data 1'!$B79,'Data 2'!$A$1:$F$46,MATCH('Data 1'!H$1,'Data 2'!$A$1:$F$1,0),0)</f>
        <v>Category05</v>
      </c>
      <c r="I79" s="42" t="str">
        <f>VLOOKUP('Data 1'!$B79,'Data 2'!$A$1:$F$46,MATCH('Data 1'!I$1,'Data 2'!$A$1:$F$1,0),0)</f>
        <v>Kg</v>
      </c>
      <c r="J79" s="42">
        <f>VLOOKUP('Data 1'!$B79,'Data 2'!$A$1:$F$46,MATCH('Data 1'!J$1,'Data 2'!$A$1:$F$1,0),0)</f>
        <v>90</v>
      </c>
      <c r="K79" s="42">
        <f>VLOOKUP('Data 1'!$B79,'Data 2'!$A$1:$F$46,MATCH('Data 1'!K$1,'Data 2'!$A$1:$F$1,0),0)</f>
        <v>115.2</v>
      </c>
      <c r="L79" s="40">
        <f>SUM('Data 1'!$J79*'Data 1'!$C79)</f>
        <v>360</v>
      </c>
      <c r="M79" s="40">
        <f>'Data 1'!$C79*'Data 1'!$K79</f>
        <v>460.8</v>
      </c>
      <c r="N79" s="40">
        <f>'Data 1'!$M79-'Data 1'!$L79</f>
        <v>100.80000000000001</v>
      </c>
      <c r="O79" s="37">
        <f>DAY('Data 1'!$A79)</f>
        <v>4</v>
      </c>
      <c r="P79" s="37" t="str">
        <f>TEXT('Data 1'!$A79,"mmm")</f>
        <v>Apr</v>
      </c>
      <c r="Q79" s="41">
        <f>YEAR('Data 1'!$A79)</f>
        <v>2021</v>
      </c>
    </row>
    <row r="80" spans="1:17" x14ac:dyDescent="0.3">
      <c r="A80" s="35">
        <v>44290</v>
      </c>
      <c r="B80" s="36" t="s">
        <v>56</v>
      </c>
      <c r="C80" s="37">
        <v>9</v>
      </c>
      <c r="D80" s="37" t="s">
        <v>17</v>
      </c>
      <c r="E80" s="37" t="s">
        <v>19</v>
      </c>
      <c r="F80" s="38">
        <v>0</v>
      </c>
      <c r="G80" s="39" t="str">
        <f>VLOOKUP('Data 1'!$B80,'Data 2'!$A$1:$F$46,MATCH('Data 1'!G$1,'Data 2'!$A$1:$F$1,0),0)</f>
        <v>Product09</v>
      </c>
      <c r="H80" s="39" t="str">
        <f>VLOOKUP('Data 1'!$B80,'Data 2'!$A$1:$F$46,MATCH('Data 1'!H$1,'Data 2'!$A$1:$F$1,0),0)</f>
        <v>Category03</v>
      </c>
      <c r="I80" s="39" t="str">
        <f>VLOOKUP('Data 1'!$B80,'Data 2'!$A$1:$F$46,MATCH('Data 1'!I$1,'Data 2'!$A$1:$F$1,0),0)</f>
        <v>No.</v>
      </c>
      <c r="J80" s="39">
        <f>VLOOKUP('Data 1'!$B80,'Data 2'!$A$1:$F$46,MATCH('Data 1'!J$1,'Data 2'!$A$1:$F$1,0),0)</f>
        <v>6</v>
      </c>
      <c r="K80" s="39">
        <f>VLOOKUP('Data 1'!$B80,'Data 2'!$A$1:$F$46,MATCH('Data 1'!K$1,'Data 2'!$A$1:$F$1,0),0)</f>
        <v>7.8599999999999994</v>
      </c>
      <c r="L80" s="40">
        <f>SUM('Data 1'!$J80*'Data 1'!$C80)</f>
        <v>54</v>
      </c>
      <c r="M80" s="40">
        <f>'Data 1'!$C80*'Data 1'!$K80</f>
        <v>70.739999999999995</v>
      </c>
      <c r="N80" s="40">
        <f>'Data 1'!$M80-'Data 1'!$L80</f>
        <v>16.739999999999995</v>
      </c>
      <c r="O80" s="37">
        <f>DAY('Data 1'!$A80)</f>
        <v>4</v>
      </c>
      <c r="P80" s="37" t="str">
        <f>TEXT('Data 1'!$A80,"mmm")</f>
        <v>Apr</v>
      </c>
      <c r="Q80" s="41">
        <f>YEAR('Data 1'!$A80)</f>
        <v>2021</v>
      </c>
    </row>
    <row r="81" spans="1:17" x14ac:dyDescent="0.3">
      <c r="A81" s="35">
        <v>44291</v>
      </c>
      <c r="B81" s="36" t="s">
        <v>24</v>
      </c>
      <c r="C81" s="37">
        <v>15</v>
      </c>
      <c r="D81" s="37" t="s">
        <v>17</v>
      </c>
      <c r="E81" s="37" t="s">
        <v>17</v>
      </c>
      <c r="F81" s="38">
        <v>0</v>
      </c>
      <c r="G81" s="42" t="str">
        <f>VLOOKUP('Data 1'!$B81,'Data 2'!$A$1:$F$46,MATCH('Data 1'!G$1,'Data 2'!$A$1:$F$1,0),0)</f>
        <v>Product31</v>
      </c>
      <c r="H81" s="42" t="str">
        <f>VLOOKUP('Data 1'!$B81,'Data 2'!$A$1:$F$46,MATCH('Data 1'!H$1,'Data 2'!$A$1:$F$1,0),0)</f>
        <v>Category04</v>
      </c>
      <c r="I81" s="42" t="str">
        <f>VLOOKUP('Data 1'!$B81,'Data 2'!$A$1:$F$46,MATCH('Data 1'!I$1,'Data 2'!$A$1:$F$1,0),0)</f>
        <v>Kg</v>
      </c>
      <c r="J81" s="42">
        <f>VLOOKUP('Data 1'!$B81,'Data 2'!$A$1:$F$46,MATCH('Data 1'!J$1,'Data 2'!$A$1:$F$1,0),0)</f>
        <v>93</v>
      </c>
      <c r="K81" s="42">
        <f>VLOOKUP('Data 1'!$B81,'Data 2'!$A$1:$F$46,MATCH('Data 1'!K$1,'Data 2'!$A$1:$F$1,0),0)</f>
        <v>104.16</v>
      </c>
      <c r="L81" s="40">
        <f>SUM('Data 1'!$J81*'Data 1'!$C81)</f>
        <v>1395</v>
      </c>
      <c r="M81" s="40">
        <f>'Data 1'!$C81*'Data 1'!$K81</f>
        <v>1562.3999999999999</v>
      </c>
      <c r="N81" s="40">
        <f>'Data 1'!$M81-'Data 1'!$L81</f>
        <v>167.39999999999986</v>
      </c>
      <c r="O81" s="37">
        <f>DAY('Data 1'!$A81)</f>
        <v>5</v>
      </c>
      <c r="P81" s="37" t="str">
        <f>TEXT('Data 1'!$A81,"mmm")</f>
        <v>Apr</v>
      </c>
      <c r="Q81" s="41">
        <f>YEAR('Data 1'!$A81)</f>
        <v>2021</v>
      </c>
    </row>
    <row r="82" spans="1:17" x14ac:dyDescent="0.3">
      <c r="A82" s="35">
        <v>44295</v>
      </c>
      <c r="B82" s="36" t="s">
        <v>43</v>
      </c>
      <c r="C82" s="37">
        <v>3</v>
      </c>
      <c r="D82" s="37" t="s">
        <v>17</v>
      </c>
      <c r="E82" s="37" t="s">
        <v>17</v>
      </c>
      <c r="F82" s="38">
        <v>0</v>
      </c>
      <c r="G82" s="39" t="str">
        <f>VLOOKUP('Data 1'!$B82,'Data 2'!$A$1:$F$46,MATCH('Data 1'!G$1,'Data 2'!$A$1:$F$1,0),0)</f>
        <v>Product05</v>
      </c>
      <c r="H82" s="39" t="str">
        <f>VLOOKUP('Data 1'!$B82,'Data 2'!$A$1:$F$46,MATCH('Data 1'!H$1,'Data 2'!$A$1:$F$1,0),0)</f>
        <v>Category01</v>
      </c>
      <c r="I82" s="39" t="str">
        <f>VLOOKUP('Data 1'!$B82,'Data 2'!$A$1:$F$46,MATCH('Data 1'!I$1,'Data 2'!$A$1:$F$1,0),0)</f>
        <v>Ft</v>
      </c>
      <c r="J82" s="39">
        <f>VLOOKUP('Data 1'!$B82,'Data 2'!$A$1:$F$46,MATCH('Data 1'!J$1,'Data 2'!$A$1:$F$1,0),0)</f>
        <v>133</v>
      </c>
      <c r="K82" s="39">
        <f>VLOOKUP('Data 1'!$B82,'Data 2'!$A$1:$F$46,MATCH('Data 1'!K$1,'Data 2'!$A$1:$F$1,0),0)</f>
        <v>155.61000000000001</v>
      </c>
      <c r="L82" s="40">
        <f>SUM('Data 1'!$J82*'Data 1'!$C82)</f>
        <v>399</v>
      </c>
      <c r="M82" s="40">
        <f>'Data 1'!$C82*'Data 1'!$K82</f>
        <v>466.83000000000004</v>
      </c>
      <c r="N82" s="40">
        <f>'Data 1'!$M82-'Data 1'!$L82</f>
        <v>67.830000000000041</v>
      </c>
      <c r="O82" s="37">
        <f>DAY('Data 1'!$A82)</f>
        <v>9</v>
      </c>
      <c r="P82" s="37" t="str">
        <f>TEXT('Data 1'!$A82,"mmm")</f>
        <v>Apr</v>
      </c>
      <c r="Q82" s="41">
        <f>YEAR('Data 1'!$A82)</f>
        <v>2021</v>
      </c>
    </row>
    <row r="83" spans="1:17" x14ac:dyDescent="0.3">
      <c r="A83" s="35">
        <v>44296</v>
      </c>
      <c r="B83" s="36" t="s">
        <v>41</v>
      </c>
      <c r="C83" s="37">
        <v>14</v>
      </c>
      <c r="D83" s="37" t="s">
        <v>21</v>
      </c>
      <c r="E83" s="37" t="s">
        <v>17</v>
      </c>
      <c r="F83" s="38">
        <v>0</v>
      </c>
      <c r="G83" s="42" t="str">
        <f>VLOOKUP('Data 1'!$B83,'Data 2'!$A$1:$F$46,MATCH('Data 1'!G$1,'Data 2'!$A$1:$F$1,0),0)</f>
        <v>Product22</v>
      </c>
      <c r="H83" s="42" t="str">
        <f>VLOOKUP('Data 1'!$B83,'Data 2'!$A$1:$F$46,MATCH('Data 1'!H$1,'Data 2'!$A$1:$F$1,0),0)</f>
        <v>Category03</v>
      </c>
      <c r="I83" s="42" t="str">
        <f>VLOOKUP('Data 1'!$B83,'Data 2'!$A$1:$F$46,MATCH('Data 1'!I$1,'Data 2'!$A$1:$F$1,0),0)</f>
        <v>Ft</v>
      </c>
      <c r="J83" s="42">
        <f>VLOOKUP('Data 1'!$B83,'Data 2'!$A$1:$F$46,MATCH('Data 1'!J$1,'Data 2'!$A$1:$F$1,0),0)</f>
        <v>121</v>
      </c>
      <c r="K83" s="42">
        <f>VLOOKUP('Data 1'!$B83,'Data 2'!$A$1:$F$46,MATCH('Data 1'!K$1,'Data 2'!$A$1:$F$1,0),0)</f>
        <v>141.57</v>
      </c>
      <c r="L83" s="40">
        <f>SUM('Data 1'!$J83*'Data 1'!$C83)</f>
        <v>1694</v>
      </c>
      <c r="M83" s="40">
        <f>'Data 1'!$C83*'Data 1'!$K83</f>
        <v>1981.98</v>
      </c>
      <c r="N83" s="40">
        <f>'Data 1'!$M83-'Data 1'!$L83</f>
        <v>287.98</v>
      </c>
      <c r="O83" s="37">
        <f>DAY('Data 1'!$A83)</f>
        <v>10</v>
      </c>
      <c r="P83" s="37" t="str">
        <f>TEXT('Data 1'!$A83,"mmm")</f>
        <v>Apr</v>
      </c>
      <c r="Q83" s="41">
        <f>YEAR('Data 1'!$A83)</f>
        <v>2021</v>
      </c>
    </row>
    <row r="84" spans="1:17" x14ac:dyDescent="0.3">
      <c r="A84" s="35">
        <v>44298</v>
      </c>
      <c r="B84" s="36" t="s">
        <v>27</v>
      </c>
      <c r="C84" s="37">
        <v>3</v>
      </c>
      <c r="D84" s="37" t="s">
        <v>21</v>
      </c>
      <c r="E84" s="37" t="s">
        <v>19</v>
      </c>
      <c r="F84" s="38">
        <v>0</v>
      </c>
      <c r="G84" s="39" t="str">
        <f>VLOOKUP('Data 1'!$B84,'Data 2'!$A$1:$F$46,MATCH('Data 1'!G$1,'Data 2'!$A$1:$F$1,0),0)</f>
        <v>Product37</v>
      </c>
      <c r="H84" s="39" t="str">
        <f>VLOOKUP('Data 1'!$B84,'Data 2'!$A$1:$F$46,MATCH('Data 1'!H$1,'Data 2'!$A$1:$F$1,0),0)</f>
        <v>Category05</v>
      </c>
      <c r="I84" s="39" t="str">
        <f>VLOOKUP('Data 1'!$B84,'Data 2'!$A$1:$F$46,MATCH('Data 1'!I$1,'Data 2'!$A$1:$F$1,0),0)</f>
        <v>Kg</v>
      </c>
      <c r="J84" s="39">
        <f>VLOOKUP('Data 1'!$B84,'Data 2'!$A$1:$F$46,MATCH('Data 1'!J$1,'Data 2'!$A$1:$F$1,0),0)</f>
        <v>67</v>
      </c>
      <c r="K84" s="39">
        <f>VLOOKUP('Data 1'!$B84,'Data 2'!$A$1:$F$46,MATCH('Data 1'!K$1,'Data 2'!$A$1:$F$1,0),0)</f>
        <v>85.76</v>
      </c>
      <c r="L84" s="40">
        <f>SUM('Data 1'!$J84*'Data 1'!$C84)</f>
        <v>201</v>
      </c>
      <c r="M84" s="40">
        <f>'Data 1'!$C84*'Data 1'!$K84</f>
        <v>257.28000000000003</v>
      </c>
      <c r="N84" s="40">
        <f>'Data 1'!$M84-'Data 1'!$L84</f>
        <v>56.28000000000003</v>
      </c>
      <c r="O84" s="37">
        <f>DAY('Data 1'!$A84)</f>
        <v>12</v>
      </c>
      <c r="P84" s="37" t="str">
        <f>TEXT('Data 1'!$A84,"mmm")</f>
        <v>Apr</v>
      </c>
      <c r="Q84" s="41">
        <f>YEAR('Data 1'!$A84)</f>
        <v>2021</v>
      </c>
    </row>
    <row r="85" spans="1:17" x14ac:dyDescent="0.3">
      <c r="A85" s="35">
        <v>44298</v>
      </c>
      <c r="B85" s="36" t="s">
        <v>38</v>
      </c>
      <c r="C85" s="37">
        <v>4</v>
      </c>
      <c r="D85" s="37" t="s">
        <v>21</v>
      </c>
      <c r="E85" s="37" t="s">
        <v>17</v>
      </c>
      <c r="F85" s="38">
        <v>0</v>
      </c>
      <c r="G85" s="42" t="str">
        <f>VLOOKUP('Data 1'!$B85,'Data 2'!$A$1:$F$46,MATCH('Data 1'!G$1,'Data 2'!$A$1:$F$1,0),0)</f>
        <v>Product29</v>
      </c>
      <c r="H85" s="42" t="str">
        <f>VLOOKUP('Data 1'!$B85,'Data 2'!$A$1:$F$46,MATCH('Data 1'!H$1,'Data 2'!$A$1:$F$1,0),0)</f>
        <v>Category04</v>
      </c>
      <c r="I85" s="42" t="str">
        <f>VLOOKUP('Data 1'!$B85,'Data 2'!$A$1:$F$46,MATCH('Data 1'!I$1,'Data 2'!$A$1:$F$1,0),0)</f>
        <v>Lt</v>
      </c>
      <c r="J85" s="42">
        <f>VLOOKUP('Data 1'!$B85,'Data 2'!$A$1:$F$46,MATCH('Data 1'!J$1,'Data 2'!$A$1:$F$1,0),0)</f>
        <v>47</v>
      </c>
      <c r="K85" s="42">
        <f>VLOOKUP('Data 1'!$B85,'Data 2'!$A$1:$F$46,MATCH('Data 1'!K$1,'Data 2'!$A$1:$F$1,0),0)</f>
        <v>53.11</v>
      </c>
      <c r="L85" s="40">
        <f>SUM('Data 1'!$J85*'Data 1'!$C85)</f>
        <v>188</v>
      </c>
      <c r="M85" s="40">
        <f>'Data 1'!$C85*'Data 1'!$K85</f>
        <v>212.44</v>
      </c>
      <c r="N85" s="40">
        <f>'Data 1'!$M85-'Data 1'!$L85</f>
        <v>24.439999999999998</v>
      </c>
      <c r="O85" s="37">
        <f>DAY('Data 1'!$A85)</f>
        <v>12</v>
      </c>
      <c r="P85" s="37" t="str">
        <f>TEXT('Data 1'!$A85,"mmm")</f>
        <v>Apr</v>
      </c>
      <c r="Q85" s="41">
        <f>YEAR('Data 1'!$A85)</f>
        <v>2021</v>
      </c>
    </row>
    <row r="86" spans="1:17" x14ac:dyDescent="0.3">
      <c r="A86" s="35">
        <v>44298</v>
      </c>
      <c r="B86" s="36" t="s">
        <v>45</v>
      </c>
      <c r="C86" s="37">
        <v>9</v>
      </c>
      <c r="D86" s="37" t="s">
        <v>21</v>
      </c>
      <c r="E86" s="37" t="s">
        <v>17</v>
      </c>
      <c r="F86" s="38">
        <v>0</v>
      </c>
      <c r="G86" s="39" t="str">
        <f>VLOOKUP('Data 1'!$B86,'Data 2'!$A$1:$F$46,MATCH('Data 1'!G$1,'Data 2'!$A$1:$F$1,0),0)</f>
        <v>Product27</v>
      </c>
      <c r="H86" s="39" t="str">
        <f>VLOOKUP('Data 1'!$B86,'Data 2'!$A$1:$F$46,MATCH('Data 1'!H$1,'Data 2'!$A$1:$F$1,0),0)</f>
        <v>Category04</v>
      </c>
      <c r="I86" s="39" t="str">
        <f>VLOOKUP('Data 1'!$B86,'Data 2'!$A$1:$F$46,MATCH('Data 1'!I$1,'Data 2'!$A$1:$F$1,0),0)</f>
        <v>Lt</v>
      </c>
      <c r="J86" s="39">
        <f>VLOOKUP('Data 1'!$B86,'Data 2'!$A$1:$F$46,MATCH('Data 1'!J$1,'Data 2'!$A$1:$F$1,0),0)</f>
        <v>48</v>
      </c>
      <c r="K86" s="39">
        <f>VLOOKUP('Data 1'!$B86,'Data 2'!$A$1:$F$46,MATCH('Data 1'!K$1,'Data 2'!$A$1:$F$1,0),0)</f>
        <v>57.120000000000005</v>
      </c>
      <c r="L86" s="40">
        <f>SUM('Data 1'!$J86*'Data 1'!$C86)</f>
        <v>432</v>
      </c>
      <c r="M86" s="40">
        <f>'Data 1'!$C86*'Data 1'!$K86</f>
        <v>514.08000000000004</v>
      </c>
      <c r="N86" s="40">
        <f>'Data 1'!$M86-'Data 1'!$L86</f>
        <v>82.080000000000041</v>
      </c>
      <c r="O86" s="37">
        <f>DAY('Data 1'!$A86)</f>
        <v>12</v>
      </c>
      <c r="P86" s="37" t="str">
        <f>TEXT('Data 1'!$A86,"mmm")</f>
        <v>Apr</v>
      </c>
      <c r="Q86" s="41">
        <f>YEAR('Data 1'!$A86)</f>
        <v>2021</v>
      </c>
    </row>
    <row r="87" spans="1:17" x14ac:dyDescent="0.3">
      <c r="A87" s="35">
        <v>44298</v>
      </c>
      <c r="B87" s="36" t="s">
        <v>57</v>
      </c>
      <c r="C87" s="37">
        <v>13</v>
      </c>
      <c r="D87" s="37" t="s">
        <v>21</v>
      </c>
      <c r="E87" s="37" t="s">
        <v>19</v>
      </c>
      <c r="F87" s="38">
        <v>0</v>
      </c>
      <c r="G87" s="42" t="str">
        <f>VLOOKUP('Data 1'!$B87,'Data 2'!$A$1:$F$46,MATCH('Data 1'!G$1,'Data 2'!$A$1:$F$1,0),0)</f>
        <v>Product33</v>
      </c>
      <c r="H87" s="42" t="str">
        <f>VLOOKUP('Data 1'!$B87,'Data 2'!$A$1:$F$46,MATCH('Data 1'!H$1,'Data 2'!$A$1:$F$1,0),0)</f>
        <v>Category04</v>
      </c>
      <c r="I87" s="42" t="str">
        <f>VLOOKUP('Data 1'!$B87,'Data 2'!$A$1:$F$46,MATCH('Data 1'!I$1,'Data 2'!$A$1:$F$1,0),0)</f>
        <v>Kg</v>
      </c>
      <c r="J87" s="42">
        <f>VLOOKUP('Data 1'!$B87,'Data 2'!$A$1:$F$46,MATCH('Data 1'!J$1,'Data 2'!$A$1:$F$1,0),0)</f>
        <v>95</v>
      </c>
      <c r="K87" s="42">
        <f>VLOOKUP('Data 1'!$B87,'Data 2'!$A$1:$F$46,MATCH('Data 1'!K$1,'Data 2'!$A$1:$F$1,0),0)</f>
        <v>119.7</v>
      </c>
      <c r="L87" s="40">
        <f>SUM('Data 1'!$J87*'Data 1'!$C87)</f>
        <v>1235</v>
      </c>
      <c r="M87" s="40">
        <f>'Data 1'!$C87*'Data 1'!$K87</f>
        <v>1556.1000000000001</v>
      </c>
      <c r="N87" s="40">
        <f>'Data 1'!$M87-'Data 1'!$L87</f>
        <v>321.10000000000014</v>
      </c>
      <c r="O87" s="37">
        <f>DAY('Data 1'!$A87)</f>
        <v>12</v>
      </c>
      <c r="P87" s="37" t="str">
        <f>TEXT('Data 1'!$A87,"mmm")</f>
        <v>Apr</v>
      </c>
      <c r="Q87" s="41">
        <f>YEAR('Data 1'!$A87)</f>
        <v>2021</v>
      </c>
    </row>
    <row r="88" spans="1:17" x14ac:dyDescent="0.3">
      <c r="A88" s="35">
        <v>44301</v>
      </c>
      <c r="B88" s="36" t="s">
        <v>58</v>
      </c>
      <c r="C88" s="37">
        <v>3</v>
      </c>
      <c r="D88" s="37" t="s">
        <v>21</v>
      </c>
      <c r="E88" s="37" t="s">
        <v>17</v>
      </c>
      <c r="F88" s="38">
        <v>0</v>
      </c>
      <c r="G88" s="39" t="str">
        <f>VLOOKUP('Data 1'!$B88,'Data 2'!$A$1:$F$46,MATCH('Data 1'!G$1,'Data 2'!$A$1:$F$1,0),0)</f>
        <v>Product17</v>
      </c>
      <c r="H88" s="39" t="str">
        <f>VLOOKUP('Data 1'!$B88,'Data 2'!$A$1:$F$46,MATCH('Data 1'!H$1,'Data 2'!$A$1:$F$1,0),0)</f>
        <v>Category02</v>
      </c>
      <c r="I88" s="39" t="str">
        <f>VLOOKUP('Data 1'!$B88,'Data 2'!$A$1:$F$46,MATCH('Data 1'!I$1,'Data 2'!$A$1:$F$1,0),0)</f>
        <v>Ft</v>
      </c>
      <c r="J88" s="39">
        <f>VLOOKUP('Data 1'!$B88,'Data 2'!$A$1:$F$46,MATCH('Data 1'!J$1,'Data 2'!$A$1:$F$1,0),0)</f>
        <v>134</v>
      </c>
      <c r="K88" s="39">
        <f>VLOOKUP('Data 1'!$B88,'Data 2'!$A$1:$F$46,MATCH('Data 1'!K$1,'Data 2'!$A$1:$F$1,0),0)</f>
        <v>156.78</v>
      </c>
      <c r="L88" s="40">
        <f>SUM('Data 1'!$J88*'Data 1'!$C88)</f>
        <v>402</v>
      </c>
      <c r="M88" s="40">
        <f>'Data 1'!$C88*'Data 1'!$K88</f>
        <v>470.34000000000003</v>
      </c>
      <c r="N88" s="40">
        <f>'Data 1'!$M88-'Data 1'!$L88</f>
        <v>68.340000000000032</v>
      </c>
      <c r="O88" s="37">
        <f>DAY('Data 1'!$A88)</f>
        <v>15</v>
      </c>
      <c r="P88" s="37" t="str">
        <f>TEXT('Data 1'!$A88,"mmm")</f>
        <v>Apr</v>
      </c>
      <c r="Q88" s="41">
        <f>YEAR('Data 1'!$A88)</f>
        <v>2021</v>
      </c>
    </row>
    <row r="89" spans="1:17" x14ac:dyDescent="0.3">
      <c r="A89" s="35">
        <v>44302</v>
      </c>
      <c r="B89" s="36" t="s">
        <v>49</v>
      </c>
      <c r="C89" s="37">
        <v>15</v>
      </c>
      <c r="D89" s="37" t="s">
        <v>21</v>
      </c>
      <c r="E89" s="37" t="s">
        <v>19</v>
      </c>
      <c r="F89" s="38">
        <v>0</v>
      </c>
      <c r="G89" s="42" t="str">
        <f>VLOOKUP('Data 1'!$B89,'Data 2'!$A$1:$F$46,MATCH('Data 1'!G$1,'Data 2'!$A$1:$F$1,0),0)</f>
        <v>Product18</v>
      </c>
      <c r="H89" s="42" t="str">
        <f>VLOOKUP('Data 1'!$B89,'Data 2'!$A$1:$F$46,MATCH('Data 1'!H$1,'Data 2'!$A$1:$F$1,0),0)</f>
        <v>Category02</v>
      </c>
      <c r="I89" s="42" t="str">
        <f>VLOOKUP('Data 1'!$B89,'Data 2'!$A$1:$F$46,MATCH('Data 1'!I$1,'Data 2'!$A$1:$F$1,0),0)</f>
        <v>No.</v>
      </c>
      <c r="J89" s="42">
        <f>VLOOKUP('Data 1'!$B89,'Data 2'!$A$1:$F$46,MATCH('Data 1'!J$1,'Data 2'!$A$1:$F$1,0),0)</f>
        <v>37</v>
      </c>
      <c r="K89" s="42">
        <f>VLOOKUP('Data 1'!$B89,'Data 2'!$A$1:$F$46,MATCH('Data 1'!K$1,'Data 2'!$A$1:$F$1,0),0)</f>
        <v>49.21</v>
      </c>
      <c r="L89" s="40">
        <f>SUM('Data 1'!$J89*'Data 1'!$C89)</f>
        <v>555</v>
      </c>
      <c r="M89" s="40">
        <f>'Data 1'!$C89*'Data 1'!$K89</f>
        <v>738.15</v>
      </c>
      <c r="N89" s="40">
        <f>'Data 1'!$M89-'Data 1'!$L89</f>
        <v>183.14999999999998</v>
      </c>
      <c r="O89" s="37">
        <f>DAY('Data 1'!$A89)</f>
        <v>16</v>
      </c>
      <c r="P89" s="37" t="str">
        <f>TEXT('Data 1'!$A89,"mmm")</f>
        <v>Apr</v>
      </c>
      <c r="Q89" s="41">
        <f>YEAR('Data 1'!$A89)</f>
        <v>2021</v>
      </c>
    </row>
    <row r="90" spans="1:17" x14ac:dyDescent="0.3">
      <c r="A90" s="35">
        <v>44304</v>
      </c>
      <c r="B90" s="36" t="s">
        <v>18</v>
      </c>
      <c r="C90" s="37">
        <v>9</v>
      </c>
      <c r="D90" s="37" t="s">
        <v>16</v>
      </c>
      <c r="E90" s="37" t="s">
        <v>17</v>
      </c>
      <c r="F90" s="38">
        <v>0</v>
      </c>
      <c r="G90" s="39" t="str">
        <f>VLOOKUP('Data 1'!$B90,'Data 2'!$A$1:$F$46,MATCH('Data 1'!G$1,'Data 2'!$A$1:$F$1,0),0)</f>
        <v>Product38</v>
      </c>
      <c r="H90" s="39" t="str">
        <f>VLOOKUP('Data 1'!$B90,'Data 2'!$A$1:$F$46,MATCH('Data 1'!H$1,'Data 2'!$A$1:$F$1,0),0)</f>
        <v>Category05</v>
      </c>
      <c r="I90" s="39" t="str">
        <f>VLOOKUP('Data 1'!$B90,'Data 2'!$A$1:$F$46,MATCH('Data 1'!I$1,'Data 2'!$A$1:$F$1,0),0)</f>
        <v>Kg</v>
      </c>
      <c r="J90" s="39">
        <f>VLOOKUP('Data 1'!$B90,'Data 2'!$A$1:$F$46,MATCH('Data 1'!J$1,'Data 2'!$A$1:$F$1,0),0)</f>
        <v>72</v>
      </c>
      <c r="K90" s="39">
        <f>VLOOKUP('Data 1'!$B90,'Data 2'!$A$1:$F$46,MATCH('Data 1'!K$1,'Data 2'!$A$1:$F$1,0),0)</f>
        <v>79.92</v>
      </c>
      <c r="L90" s="40">
        <f>SUM('Data 1'!$J90*'Data 1'!$C90)</f>
        <v>648</v>
      </c>
      <c r="M90" s="40">
        <f>'Data 1'!$C90*'Data 1'!$K90</f>
        <v>719.28</v>
      </c>
      <c r="N90" s="40">
        <f>'Data 1'!$M90-'Data 1'!$L90</f>
        <v>71.279999999999973</v>
      </c>
      <c r="O90" s="37">
        <f>DAY('Data 1'!$A90)</f>
        <v>18</v>
      </c>
      <c r="P90" s="37" t="str">
        <f>TEXT('Data 1'!$A90,"mmm")</f>
        <v>Apr</v>
      </c>
      <c r="Q90" s="41">
        <f>YEAR('Data 1'!$A90)</f>
        <v>2021</v>
      </c>
    </row>
    <row r="91" spans="1:17" x14ac:dyDescent="0.3">
      <c r="A91" s="35">
        <v>44304</v>
      </c>
      <c r="B91" s="36" t="s">
        <v>59</v>
      </c>
      <c r="C91" s="37">
        <v>13</v>
      </c>
      <c r="D91" s="37" t="s">
        <v>21</v>
      </c>
      <c r="E91" s="37" t="s">
        <v>19</v>
      </c>
      <c r="F91" s="38">
        <v>0</v>
      </c>
      <c r="G91" s="42" t="str">
        <f>VLOOKUP('Data 1'!$B91,'Data 2'!$A$1:$F$46,MATCH('Data 1'!G$1,'Data 2'!$A$1:$F$1,0),0)</f>
        <v>Product19</v>
      </c>
      <c r="H91" s="42" t="str">
        <f>VLOOKUP('Data 1'!$B91,'Data 2'!$A$1:$F$46,MATCH('Data 1'!H$1,'Data 2'!$A$1:$F$1,0),0)</f>
        <v>Category02</v>
      </c>
      <c r="I91" s="42" t="str">
        <f>VLOOKUP('Data 1'!$B91,'Data 2'!$A$1:$F$46,MATCH('Data 1'!I$1,'Data 2'!$A$1:$F$1,0),0)</f>
        <v>Ft</v>
      </c>
      <c r="J91" s="42">
        <f>VLOOKUP('Data 1'!$B91,'Data 2'!$A$1:$F$46,MATCH('Data 1'!J$1,'Data 2'!$A$1:$F$1,0),0)</f>
        <v>150</v>
      </c>
      <c r="K91" s="42">
        <f>VLOOKUP('Data 1'!$B91,'Data 2'!$A$1:$F$46,MATCH('Data 1'!K$1,'Data 2'!$A$1:$F$1,0),0)</f>
        <v>210</v>
      </c>
      <c r="L91" s="40">
        <f>SUM('Data 1'!$J91*'Data 1'!$C91)</f>
        <v>1950</v>
      </c>
      <c r="M91" s="40">
        <f>'Data 1'!$C91*'Data 1'!$K91</f>
        <v>2730</v>
      </c>
      <c r="N91" s="40">
        <f>'Data 1'!$M91-'Data 1'!$L91</f>
        <v>780</v>
      </c>
      <c r="O91" s="37">
        <f>DAY('Data 1'!$A91)</f>
        <v>18</v>
      </c>
      <c r="P91" s="37" t="str">
        <f>TEXT('Data 1'!$A91,"mmm")</f>
        <v>Apr</v>
      </c>
      <c r="Q91" s="41">
        <f>YEAR('Data 1'!$A91)</f>
        <v>2021</v>
      </c>
    </row>
    <row r="92" spans="1:17" x14ac:dyDescent="0.3">
      <c r="A92" s="35">
        <v>44309</v>
      </c>
      <c r="B92" s="36" t="s">
        <v>29</v>
      </c>
      <c r="C92" s="37">
        <v>6</v>
      </c>
      <c r="D92" s="37" t="s">
        <v>21</v>
      </c>
      <c r="E92" s="37" t="s">
        <v>17</v>
      </c>
      <c r="F92" s="38">
        <v>0</v>
      </c>
      <c r="G92" s="39" t="str">
        <f>VLOOKUP('Data 1'!$B92,'Data 2'!$A$1:$F$46,MATCH('Data 1'!G$1,'Data 2'!$A$1:$F$1,0),0)</f>
        <v>Product42</v>
      </c>
      <c r="H92" s="39" t="str">
        <f>VLOOKUP('Data 1'!$B92,'Data 2'!$A$1:$F$46,MATCH('Data 1'!H$1,'Data 2'!$A$1:$F$1,0),0)</f>
        <v>Category05</v>
      </c>
      <c r="I92" s="39" t="str">
        <f>VLOOKUP('Data 1'!$B92,'Data 2'!$A$1:$F$46,MATCH('Data 1'!I$1,'Data 2'!$A$1:$F$1,0),0)</f>
        <v>Ft</v>
      </c>
      <c r="J92" s="39">
        <f>VLOOKUP('Data 1'!$B92,'Data 2'!$A$1:$F$46,MATCH('Data 1'!J$1,'Data 2'!$A$1:$F$1,0),0)</f>
        <v>120</v>
      </c>
      <c r="K92" s="39">
        <f>VLOOKUP('Data 1'!$B92,'Data 2'!$A$1:$F$46,MATCH('Data 1'!K$1,'Data 2'!$A$1:$F$1,0),0)</f>
        <v>162</v>
      </c>
      <c r="L92" s="40">
        <f>SUM('Data 1'!$J92*'Data 1'!$C92)</f>
        <v>720</v>
      </c>
      <c r="M92" s="40">
        <f>'Data 1'!$C92*'Data 1'!$K92</f>
        <v>972</v>
      </c>
      <c r="N92" s="40">
        <f>'Data 1'!$M92-'Data 1'!$L92</f>
        <v>252</v>
      </c>
      <c r="O92" s="37">
        <f>DAY('Data 1'!$A92)</f>
        <v>23</v>
      </c>
      <c r="P92" s="37" t="str">
        <f>TEXT('Data 1'!$A92,"mmm")</f>
        <v>Apr</v>
      </c>
      <c r="Q92" s="41">
        <f>YEAR('Data 1'!$A92)</f>
        <v>2021</v>
      </c>
    </row>
    <row r="93" spans="1:17" x14ac:dyDescent="0.3">
      <c r="A93" s="35">
        <v>44309</v>
      </c>
      <c r="B93" s="36" t="s">
        <v>52</v>
      </c>
      <c r="C93" s="37">
        <v>10</v>
      </c>
      <c r="D93" s="37" t="s">
        <v>21</v>
      </c>
      <c r="E93" s="37" t="s">
        <v>17</v>
      </c>
      <c r="F93" s="38">
        <v>0</v>
      </c>
      <c r="G93" s="42" t="str">
        <f>VLOOKUP('Data 1'!$B93,'Data 2'!$A$1:$F$46,MATCH('Data 1'!G$1,'Data 2'!$A$1:$F$1,0),0)</f>
        <v>Product28</v>
      </c>
      <c r="H93" s="42" t="str">
        <f>VLOOKUP('Data 1'!$B93,'Data 2'!$A$1:$F$46,MATCH('Data 1'!H$1,'Data 2'!$A$1:$F$1,0),0)</f>
        <v>Category04</v>
      </c>
      <c r="I93" s="42" t="str">
        <f>VLOOKUP('Data 1'!$B93,'Data 2'!$A$1:$F$46,MATCH('Data 1'!I$1,'Data 2'!$A$1:$F$1,0),0)</f>
        <v>No.</v>
      </c>
      <c r="J93" s="42">
        <f>VLOOKUP('Data 1'!$B93,'Data 2'!$A$1:$F$46,MATCH('Data 1'!J$1,'Data 2'!$A$1:$F$1,0),0)</f>
        <v>37</v>
      </c>
      <c r="K93" s="42">
        <f>VLOOKUP('Data 1'!$B93,'Data 2'!$A$1:$F$46,MATCH('Data 1'!K$1,'Data 2'!$A$1:$F$1,0),0)</f>
        <v>41.81</v>
      </c>
      <c r="L93" s="40">
        <f>SUM('Data 1'!$J93*'Data 1'!$C93)</f>
        <v>370</v>
      </c>
      <c r="M93" s="40">
        <f>'Data 1'!$C93*'Data 1'!$K93</f>
        <v>418.1</v>
      </c>
      <c r="N93" s="40">
        <f>'Data 1'!$M93-'Data 1'!$L93</f>
        <v>48.100000000000023</v>
      </c>
      <c r="O93" s="37">
        <f>DAY('Data 1'!$A93)</f>
        <v>23</v>
      </c>
      <c r="P93" s="37" t="str">
        <f>TEXT('Data 1'!$A93,"mmm")</f>
        <v>Apr</v>
      </c>
      <c r="Q93" s="41">
        <f>YEAR('Data 1'!$A93)</f>
        <v>2021</v>
      </c>
    </row>
    <row r="94" spans="1:17" x14ac:dyDescent="0.3">
      <c r="A94" s="35">
        <v>44310</v>
      </c>
      <c r="B94" s="36" t="s">
        <v>47</v>
      </c>
      <c r="C94" s="37">
        <v>2</v>
      </c>
      <c r="D94" s="37" t="s">
        <v>17</v>
      </c>
      <c r="E94" s="37" t="s">
        <v>17</v>
      </c>
      <c r="F94" s="38">
        <v>0</v>
      </c>
      <c r="G94" s="39" t="str">
        <f>VLOOKUP('Data 1'!$B94,'Data 2'!$A$1:$F$46,MATCH('Data 1'!G$1,'Data 2'!$A$1:$F$1,0),0)</f>
        <v>Product30</v>
      </c>
      <c r="H94" s="39" t="str">
        <f>VLOOKUP('Data 1'!$B94,'Data 2'!$A$1:$F$46,MATCH('Data 1'!H$1,'Data 2'!$A$1:$F$1,0),0)</f>
        <v>Category04</v>
      </c>
      <c r="I94" s="39" t="str">
        <f>VLOOKUP('Data 1'!$B94,'Data 2'!$A$1:$F$46,MATCH('Data 1'!I$1,'Data 2'!$A$1:$F$1,0),0)</f>
        <v>Ft</v>
      </c>
      <c r="J94" s="39">
        <f>VLOOKUP('Data 1'!$B94,'Data 2'!$A$1:$F$46,MATCH('Data 1'!J$1,'Data 2'!$A$1:$F$1,0),0)</f>
        <v>148</v>
      </c>
      <c r="K94" s="39">
        <f>VLOOKUP('Data 1'!$B94,'Data 2'!$A$1:$F$46,MATCH('Data 1'!K$1,'Data 2'!$A$1:$F$1,0),0)</f>
        <v>201.28</v>
      </c>
      <c r="L94" s="40">
        <f>SUM('Data 1'!$J94*'Data 1'!$C94)</f>
        <v>296</v>
      </c>
      <c r="M94" s="40">
        <f>'Data 1'!$C94*'Data 1'!$K94</f>
        <v>402.56</v>
      </c>
      <c r="N94" s="40">
        <f>'Data 1'!$M94-'Data 1'!$L94</f>
        <v>106.56</v>
      </c>
      <c r="O94" s="37">
        <f>DAY('Data 1'!$A94)</f>
        <v>24</v>
      </c>
      <c r="P94" s="37" t="str">
        <f>TEXT('Data 1'!$A94,"mmm")</f>
        <v>Apr</v>
      </c>
      <c r="Q94" s="41">
        <f>YEAR('Data 1'!$A94)</f>
        <v>2021</v>
      </c>
    </row>
    <row r="95" spans="1:17" x14ac:dyDescent="0.3">
      <c r="A95" s="35">
        <v>44312</v>
      </c>
      <c r="B95" s="36" t="s">
        <v>27</v>
      </c>
      <c r="C95" s="37">
        <v>3</v>
      </c>
      <c r="D95" s="37" t="s">
        <v>21</v>
      </c>
      <c r="E95" s="37" t="s">
        <v>17</v>
      </c>
      <c r="F95" s="38">
        <v>0</v>
      </c>
      <c r="G95" s="42" t="str">
        <f>VLOOKUP('Data 1'!$B95,'Data 2'!$A$1:$F$46,MATCH('Data 1'!G$1,'Data 2'!$A$1:$F$1,0),0)</f>
        <v>Product37</v>
      </c>
      <c r="H95" s="42" t="str">
        <f>VLOOKUP('Data 1'!$B95,'Data 2'!$A$1:$F$46,MATCH('Data 1'!H$1,'Data 2'!$A$1:$F$1,0),0)</f>
        <v>Category05</v>
      </c>
      <c r="I95" s="42" t="str">
        <f>VLOOKUP('Data 1'!$B95,'Data 2'!$A$1:$F$46,MATCH('Data 1'!I$1,'Data 2'!$A$1:$F$1,0),0)</f>
        <v>Kg</v>
      </c>
      <c r="J95" s="42">
        <f>VLOOKUP('Data 1'!$B95,'Data 2'!$A$1:$F$46,MATCH('Data 1'!J$1,'Data 2'!$A$1:$F$1,0),0)</f>
        <v>67</v>
      </c>
      <c r="K95" s="42">
        <f>VLOOKUP('Data 1'!$B95,'Data 2'!$A$1:$F$46,MATCH('Data 1'!K$1,'Data 2'!$A$1:$F$1,0),0)</f>
        <v>85.76</v>
      </c>
      <c r="L95" s="40">
        <f>SUM('Data 1'!$J95*'Data 1'!$C95)</f>
        <v>201</v>
      </c>
      <c r="M95" s="40">
        <f>'Data 1'!$C95*'Data 1'!$K95</f>
        <v>257.28000000000003</v>
      </c>
      <c r="N95" s="40">
        <f>'Data 1'!$M95-'Data 1'!$L95</f>
        <v>56.28000000000003</v>
      </c>
      <c r="O95" s="37">
        <f>DAY('Data 1'!$A95)</f>
        <v>26</v>
      </c>
      <c r="P95" s="37" t="str">
        <f>TEXT('Data 1'!$A95,"mmm")</f>
        <v>Apr</v>
      </c>
      <c r="Q95" s="41">
        <f>YEAR('Data 1'!$A95)</f>
        <v>2021</v>
      </c>
    </row>
    <row r="96" spans="1:17" x14ac:dyDescent="0.3">
      <c r="A96" s="35">
        <v>44315</v>
      </c>
      <c r="B96" s="36" t="s">
        <v>47</v>
      </c>
      <c r="C96" s="37">
        <v>7</v>
      </c>
      <c r="D96" s="37" t="s">
        <v>21</v>
      </c>
      <c r="E96" s="37" t="s">
        <v>17</v>
      </c>
      <c r="F96" s="38">
        <v>0</v>
      </c>
      <c r="G96" s="39" t="str">
        <f>VLOOKUP('Data 1'!$B96,'Data 2'!$A$1:$F$46,MATCH('Data 1'!G$1,'Data 2'!$A$1:$F$1,0),0)</f>
        <v>Product30</v>
      </c>
      <c r="H96" s="39" t="str">
        <f>VLOOKUP('Data 1'!$B96,'Data 2'!$A$1:$F$46,MATCH('Data 1'!H$1,'Data 2'!$A$1:$F$1,0),0)</f>
        <v>Category04</v>
      </c>
      <c r="I96" s="39" t="str">
        <f>VLOOKUP('Data 1'!$B96,'Data 2'!$A$1:$F$46,MATCH('Data 1'!I$1,'Data 2'!$A$1:$F$1,0),0)</f>
        <v>Ft</v>
      </c>
      <c r="J96" s="39">
        <f>VLOOKUP('Data 1'!$B96,'Data 2'!$A$1:$F$46,MATCH('Data 1'!J$1,'Data 2'!$A$1:$F$1,0),0)</f>
        <v>148</v>
      </c>
      <c r="K96" s="39">
        <f>VLOOKUP('Data 1'!$B96,'Data 2'!$A$1:$F$46,MATCH('Data 1'!K$1,'Data 2'!$A$1:$F$1,0),0)</f>
        <v>201.28</v>
      </c>
      <c r="L96" s="40">
        <f>SUM('Data 1'!$J96*'Data 1'!$C96)</f>
        <v>1036</v>
      </c>
      <c r="M96" s="40">
        <f>'Data 1'!$C96*'Data 1'!$K96</f>
        <v>1408.96</v>
      </c>
      <c r="N96" s="40">
        <f>'Data 1'!$M96-'Data 1'!$L96</f>
        <v>372.96000000000004</v>
      </c>
      <c r="O96" s="37">
        <f>DAY('Data 1'!$A96)</f>
        <v>29</v>
      </c>
      <c r="P96" s="37" t="str">
        <f>TEXT('Data 1'!$A96,"mmm")</f>
        <v>Apr</v>
      </c>
      <c r="Q96" s="41">
        <f>YEAR('Data 1'!$A96)</f>
        <v>2021</v>
      </c>
    </row>
    <row r="97" spans="1:17" x14ac:dyDescent="0.3">
      <c r="A97" s="35">
        <v>44316</v>
      </c>
      <c r="B97" s="36" t="s">
        <v>38</v>
      </c>
      <c r="C97" s="37">
        <v>1</v>
      </c>
      <c r="D97" s="37" t="s">
        <v>21</v>
      </c>
      <c r="E97" s="37" t="s">
        <v>17</v>
      </c>
      <c r="F97" s="38">
        <v>0</v>
      </c>
      <c r="G97" s="42" t="str">
        <f>VLOOKUP('Data 1'!$B97,'Data 2'!$A$1:$F$46,MATCH('Data 1'!G$1,'Data 2'!$A$1:$F$1,0),0)</f>
        <v>Product29</v>
      </c>
      <c r="H97" s="42" t="str">
        <f>VLOOKUP('Data 1'!$B97,'Data 2'!$A$1:$F$46,MATCH('Data 1'!H$1,'Data 2'!$A$1:$F$1,0),0)</f>
        <v>Category04</v>
      </c>
      <c r="I97" s="42" t="str">
        <f>VLOOKUP('Data 1'!$B97,'Data 2'!$A$1:$F$46,MATCH('Data 1'!I$1,'Data 2'!$A$1:$F$1,0),0)</f>
        <v>Lt</v>
      </c>
      <c r="J97" s="42">
        <f>VLOOKUP('Data 1'!$B97,'Data 2'!$A$1:$F$46,MATCH('Data 1'!J$1,'Data 2'!$A$1:$F$1,0),0)</f>
        <v>47</v>
      </c>
      <c r="K97" s="42">
        <f>VLOOKUP('Data 1'!$B97,'Data 2'!$A$1:$F$46,MATCH('Data 1'!K$1,'Data 2'!$A$1:$F$1,0),0)</f>
        <v>53.11</v>
      </c>
      <c r="L97" s="40">
        <f>SUM('Data 1'!$J97*'Data 1'!$C97)</f>
        <v>47</v>
      </c>
      <c r="M97" s="40">
        <f>'Data 1'!$C97*'Data 1'!$K97</f>
        <v>53.11</v>
      </c>
      <c r="N97" s="40">
        <f>'Data 1'!$M97-'Data 1'!$L97</f>
        <v>6.1099999999999994</v>
      </c>
      <c r="O97" s="37">
        <f>DAY('Data 1'!$A97)</f>
        <v>30</v>
      </c>
      <c r="P97" s="37" t="str">
        <f>TEXT('Data 1'!$A97,"mmm")</f>
        <v>Apr</v>
      </c>
      <c r="Q97" s="41">
        <f>YEAR('Data 1'!$A97)</f>
        <v>2021</v>
      </c>
    </row>
    <row r="98" spans="1:17" x14ac:dyDescent="0.3">
      <c r="A98" s="35">
        <v>44317</v>
      </c>
      <c r="B98" s="36" t="s">
        <v>49</v>
      </c>
      <c r="C98" s="37">
        <v>3</v>
      </c>
      <c r="D98" s="37" t="s">
        <v>17</v>
      </c>
      <c r="E98" s="37" t="s">
        <v>19</v>
      </c>
      <c r="F98" s="38">
        <v>0</v>
      </c>
      <c r="G98" s="39" t="str">
        <f>VLOOKUP('Data 1'!$B98,'Data 2'!$A$1:$F$46,MATCH('Data 1'!G$1,'Data 2'!$A$1:$F$1,0),0)</f>
        <v>Product18</v>
      </c>
      <c r="H98" s="39" t="str">
        <f>VLOOKUP('Data 1'!$B98,'Data 2'!$A$1:$F$46,MATCH('Data 1'!H$1,'Data 2'!$A$1:$F$1,0),0)</f>
        <v>Category02</v>
      </c>
      <c r="I98" s="39" t="str">
        <f>VLOOKUP('Data 1'!$B98,'Data 2'!$A$1:$F$46,MATCH('Data 1'!I$1,'Data 2'!$A$1:$F$1,0),0)</f>
        <v>No.</v>
      </c>
      <c r="J98" s="39">
        <f>VLOOKUP('Data 1'!$B98,'Data 2'!$A$1:$F$46,MATCH('Data 1'!J$1,'Data 2'!$A$1:$F$1,0),0)</f>
        <v>37</v>
      </c>
      <c r="K98" s="39">
        <f>VLOOKUP('Data 1'!$B98,'Data 2'!$A$1:$F$46,MATCH('Data 1'!K$1,'Data 2'!$A$1:$F$1,0),0)</f>
        <v>49.21</v>
      </c>
      <c r="L98" s="40">
        <f>SUM('Data 1'!$J98*'Data 1'!$C98)</f>
        <v>111</v>
      </c>
      <c r="M98" s="40">
        <f>'Data 1'!$C98*'Data 1'!$K98</f>
        <v>147.63</v>
      </c>
      <c r="N98" s="40">
        <f>'Data 1'!$M98-'Data 1'!$L98</f>
        <v>36.629999999999995</v>
      </c>
      <c r="O98" s="37">
        <f>DAY('Data 1'!$A98)</f>
        <v>1</v>
      </c>
      <c r="P98" s="37" t="str">
        <f>TEXT('Data 1'!$A98,"mmm")</f>
        <v>May</v>
      </c>
      <c r="Q98" s="41">
        <f>YEAR('Data 1'!$A98)</f>
        <v>2021</v>
      </c>
    </row>
    <row r="99" spans="1:17" x14ac:dyDescent="0.3">
      <c r="A99" s="35">
        <v>44317</v>
      </c>
      <c r="B99" s="36" t="s">
        <v>29</v>
      </c>
      <c r="C99" s="37">
        <v>1</v>
      </c>
      <c r="D99" s="37" t="s">
        <v>17</v>
      </c>
      <c r="E99" s="37" t="s">
        <v>19</v>
      </c>
      <c r="F99" s="38">
        <v>0</v>
      </c>
      <c r="G99" s="42" t="str">
        <f>VLOOKUP('Data 1'!$B99,'Data 2'!$A$1:$F$46,MATCH('Data 1'!G$1,'Data 2'!$A$1:$F$1,0),0)</f>
        <v>Product42</v>
      </c>
      <c r="H99" s="42" t="str">
        <f>VLOOKUP('Data 1'!$B99,'Data 2'!$A$1:$F$46,MATCH('Data 1'!H$1,'Data 2'!$A$1:$F$1,0),0)</f>
        <v>Category05</v>
      </c>
      <c r="I99" s="42" t="str">
        <f>VLOOKUP('Data 1'!$B99,'Data 2'!$A$1:$F$46,MATCH('Data 1'!I$1,'Data 2'!$A$1:$F$1,0),0)</f>
        <v>Ft</v>
      </c>
      <c r="J99" s="42">
        <f>VLOOKUP('Data 1'!$B99,'Data 2'!$A$1:$F$46,MATCH('Data 1'!J$1,'Data 2'!$A$1:$F$1,0),0)</f>
        <v>120</v>
      </c>
      <c r="K99" s="42">
        <f>VLOOKUP('Data 1'!$B99,'Data 2'!$A$1:$F$46,MATCH('Data 1'!K$1,'Data 2'!$A$1:$F$1,0),0)</f>
        <v>162</v>
      </c>
      <c r="L99" s="40">
        <f>SUM('Data 1'!$J99*'Data 1'!$C99)</f>
        <v>120</v>
      </c>
      <c r="M99" s="40">
        <f>'Data 1'!$C99*'Data 1'!$K99</f>
        <v>162</v>
      </c>
      <c r="N99" s="40">
        <f>'Data 1'!$M99-'Data 1'!$L99</f>
        <v>42</v>
      </c>
      <c r="O99" s="37">
        <f>DAY('Data 1'!$A99)</f>
        <v>1</v>
      </c>
      <c r="P99" s="37" t="str">
        <f>TEXT('Data 1'!$A99,"mmm")</f>
        <v>May</v>
      </c>
      <c r="Q99" s="41">
        <f>YEAR('Data 1'!$A99)</f>
        <v>2021</v>
      </c>
    </row>
    <row r="100" spans="1:17" x14ac:dyDescent="0.3">
      <c r="A100" s="35">
        <v>44319</v>
      </c>
      <c r="B100" s="36" t="s">
        <v>32</v>
      </c>
      <c r="C100" s="37">
        <v>3</v>
      </c>
      <c r="D100" s="37" t="s">
        <v>17</v>
      </c>
      <c r="E100" s="37" t="s">
        <v>17</v>
      </c>
      <c r="F100" s="38">
        <v>0</v>
      </c>
      <c r="G100" s="39" t="str">
        <f>VLOOKUP('Data 1'!$B100,'Data 2'!$A$1:$F$46,MATCH('Data 1'!G$1,'Data 2'!$A$1:$F$1,0),0)</f>
        <v>Product34</v>
      </c>
      <c r="H100" s="39" t="str">
        <f>VLOOKUP('Data 1'!$B100,'Data 2'!$A$1:$F$46,MATCH('Data 1'!H$1,'Data 2'!$A$1:$F$1,0),0)</f>
        <v>Category04</v>
      </c>
      <c r="I100" s="39" t="str">
        <f>VLOOKUP('Data 1'!$B100,'Data 2'!$A$1:$F$46,MATCH('Data 1'!I$1,'Data 2'!$A$1:$F$1,0),0)</f>
        <v>Lt</v>
      </c>
      <c r="J100" s="39">
        <f>VLOOKUP('Data 1'!$B100,'Data 2'!$A$1:$F$46,MATCH('Data 1'!J$1,'Data 2'!$A$1:$F$1,0),0)</f>
        <v>55</v>
      </c>
      <c r="K100" s="39">
        <f>VLOOKUP('Data 1'!$B100,'Data 2'!$A$1:$F$46,MATCH('Data 1'!K$1,'Data 2'!$A$1:$F$1,0),0)</f>
        <v>58.3</v>
      </c>
      <c r="L100" s="40">
        <f>SUM('Data 1'!$J100*'Data 1'!$C100)</f>
        <v>165</v>
      </c>
      <c r="M100" s="40">
        <f>'Data 1'!$C100*'Data 1'!$K100</f>
        <v>174.89999999999998</v>
      </c>
      <c r="N100" s="40">
        <f>'Data 1'!$M100-'Data 1'!$L100</f>
        <v>9.8999999999999773</v>
      </c>
      <c r="O100" s="37">
        <f>DAY('Data 1'!$A100)</f>
        <v>3</v>
      </c>
      <c r="P100" s="37" t="str">
        <f>TEXT('Data 1'!$A100,"mmm")</f>
        <v>May</v>
      </c>
      <c r="Q100" s="41">
        <f>YEAR('Data 1'!$A100)</f>
        <v>2021</v>
      </c>
    </row>
    <row r="101" spans="1:17" x14ac:dyDescent="0.3">
      <c r="A101" s="35">
        <v>44320</v>
      </c>
      <c r="B101" s="36" t="s">
        <v>46</v>
      </c>
      <c r="C101" s="37">
        <v>13</v>
      </c>
      <c r="D101" s="37" t="s">
        <v>17</v>
      </c>
      <c r="E101" s="37" t="s">
        <v>17</v>
      </c>
      <c r="F101" s="38">
        <v>0</v>
      </c>
      <c r="G101" s="42" t="str">
        <f>VLOOKUP('Data 1'!$B101,'Data 2'!$A$1:$F$46,MATCH('Data 1'!G$1,'Data 2'!$A$1:$F$1,0),0)</f>
        <v>Product15</v>
      </c>
      <c r="H101" s="42" t="str">
        <f>VLOOKUP('Data 1'!$B101,'Data 2'!$A$1:$F$46,MATCH('Data 1'!H$1,'Data 2'!$A$1:$F$1,0),0)</f>
        <v>Category02</v>
      </c>
      <c r="I101" s="42" t="str">
        <f>VLOOKUP('Data 1'!$B101,'Data 2'!$A$1:$F$46,MATCH('Data 1'!I$1,'Data 2'!$A$1:$F$1,0),0)</f>
        <v>No.</v>
      </c>
      <c r="J101" s="42">
        <f>VLOOKUP('Data 1'!$B101,'Data 2'!$A$1:$F$46,MATCH('Data 1'!J$1,'Data 2'!$A$1:$F$1,0),0)</f>
        <v>12</v>
      </c>
      <c r="K101" s="42">
        <f>VLOOKUP('Data 1'!$B101,'Data 2'!$A$1:$F$46,MATCH('Data 1'!K$1,'Data 2'!$A$1:$F$1,0),0)</f>
        <v>15.719999999999999</v>
      </c>
      <c r="L101" s="40">
        <f>SUM('Data 1'!$J101*'Data 1'!$C101)</f>
        <v>156</v>
      </c>
      <c r="M101" s="40">
        <f>'Data 1'!$C101*'Data 1'!$K101</f>
        <v>204.35999999999999</v>
      </c>
      <c r="N101" s="40">
        <f>'Data 1'!$M101-'Data 1'!$L101</f>
        <v>48.359999999999985</v>
      </c>
      <c r="O101" s="37">
        <f>DAY('Data 1'!$A101)</f>
        <v>4</v>
      </c>
      <c r="P101" s="37" t="str">
        <f>TEXT('Data 1'!$A101,"mmm")</f>
        <v>May</v>
      </c>
      <c r="Q101" s="41">
        <f>YEAR('Data 1'!$A101)</f>
        <v>2021</v>
      </c>
    </row>
    <row r="102" spans="1:17" x14ac:dyDescent="0.3">
      <c r="A102" s="35">
        <v>44320</v>
      </c>
      <c r="B102" s="36" t="s">
        <v>28</v>
      </c>
      <c r="C102" s="37">
        <v>4</v>
      </c>
      <c r="D102" s="37" t="s">
        <v>21</v>
      </c>
      <c r="E102" s="37" t="s">
        <v>19</v>
      </c>
      <c r="F102" s="38">
        <v>0</v>
      </c>
      <c r="G102" s="39" t="str">
        <f>VLOOKUP('Data 1'!$B102,'Data 2'!$A$1:$F$46,MATCH('Data 1'!G$1,'Data 2'!$A$1:$F$1,0),0)</f>
        <v>Product14</v>
      </c>
      <c r="H102" s="39" t="str">
        <f>VLOOKUP('Data 1'!$B102,'Data 2'!$A$1:$F$46,MATCH('Data 1'!H$1,'Data 2'!$A$1:$F$1,0),0)</f>
        <v>Category02</v>
      </c>
      <c r="I102" s="39" t="str">
        <f>VLOOKUP('Data 1'!$B102,'Data 2'!$A$1:$F$46,MATCH('Data 1'!I$1,'Data 2'!$A$1:$F$1,0),0)</f>
        <v>Kg</v>
      </c>
      <c r="J102" s="39">
        <f>VLOOKUP('Data 1'!$B102,'Data 2'!$A$1:$F$46,MATCH('Data 1'!J$1,'Data 2'!$A$1:$F$1,0),0)</f>
        <v>112</v>
      </c>
      <c r="K102" s="39">
        <f>VLOOKUP('Data 1'!$B102,'Data 2'!$A$1:$F$46,MATCH('Data 1'!K$1,'Data 2'!$A$1:$F$1,0),0)</f>
        <v>146.72</v>
      </c>
      <c r="L102" s="40">
        <f>SUM('Data 1'!$J102*'Data 1'!$C102)</f>
        <v>448</v>
      </c>
      <c r="M102" s="40">
        <f>'Data 1'!$C102*'Data 1'!$K102</f>
        <v>586.88</v>
      </c>
      <c r="N102" s="40">
        <f>'Data 1'!$M102-'Data 1'!$L102</f>
        <v>138.88</v>
      </c>
      <c r="O102" s="37">
        <f>DAY('Data 1'!$A102)</f>
        <v>4</v>
      </c>
      <c r="P102" s="37" t="str">
        <f>TEXT('Data 1'!$A102,"mmm")</f>
        <v>May</v>
      </c>
      <c r="Q102" s="41">
        <f>YEAR('Data 1'!$A102)</f>
        <v>2021</v>
      </c>
    </row>
    <row r="103" spans="1:17" x14ac:dyDescent="0.3">
      <c r="A103" s="35">
        <v>44321</v>
      </c>
      <c r="B103" s="36" t="s">
        <v>56</v>
      </c>
      <c r="C103" s="37">
        <v>13</v>
      </c>
      <c r="D103" s="37" t="s">
        <v>21</v>
      </c>
      <c r="E103" s="37" t="s">
        <v>19</v>
      </c>
      <c r="F103" s="38">
        <v>0</v>
      </c>
      <c r="G103" s="42" t="str">
        <f>VLOOKUP('Data 1'!$B103,'Data 2'!$A$1:$F$46,MATCH('Data 1'!G$1,'Data 2'!$A$1:$F$1,0),0)</f>
        <v>Product09</v>
      </c>
      <c r="H103" s="42" t="str">
        <f>VLOOKUP('Data 1'!$B103,'Data 2'!$A$1:$F$46,MATCH('Data 1'!H$1,'Data 2'!$A$1:$F$1,0),0)</f>
        <v>Category03</v>
      </c>
      <c r="I103" s="42" t="str">
        <f>VLOOKUP('Data 1'!$B103,'Data 2'!$A$1:$F$46,MATCH('Data 1'!I$1,'Data 2'!$A$1:$F$1,0),0)</f>
        <v>No.</v>
      </c>
      <c r="J103" s="42">
        <f>VLOOKUP('Data 1'!$B103,'Data 2'!$A$1:$F$46,MATCH('Data 1'!J$1,'Data 2'!$A$1:$F$1,0),0)</f>
        <v>6</v>
      </c>
      <c r="K103" s="42">
        <f>VLOOKUP('Data 1'!$B103,'Data 2'!$A$1:$F$46,MATCH('Data 1'!K$1,'Data 2'!$A$1:$F$1,0),0)</f>
        <v>7.8599999999999994</v>
      </c>
      <c r="L103" s="40">
        <f>SUM('Data 1'!$J103*'Data 1'!$C103)</f>
        <v>78</v>
      </c>
      <c r="M103" s="40">
        <f>'Data 1'!$C103*'Data 1'!$K103</f>
        <v>102.17999999999999</v>
      </c>
      <c r="N103" s="40">
        <f>'Data 1'!$M103-'Data 1'!$L103</f>
        <v>24.179999999999993</v>
      </c>
      <c r="O103" s="37">
        <f>DAY('Data 1'!$A103)</f>
        <v>5</v>
      </c>
      <c r="P103" s="37" t="str">
        <f>TEXT('Data 1'!$A103,"mmm")</f>
        <v>May</v>
      </c>
      <c r="Q103" s="41">
        <f>YEAR('Data 1'!$A103)</f>
        <v>2021</v>
      </c>
    </row>
    <row r="104" spans="1:17" x14ac:dyDescent="0.3">
      <c r="A104" s="35">
        <v>44322</v>
      </c>
      <c r="B104" s="36" t="s">
        <v>44</v>
      </c>
      <c r="C104" s="37">
        <v>15</v>
      </c>
      <c r="D104" s="37" t="s">
        <v>21</v>
      </c>
      <c r="E104" s="37" t="s">
        <v>17</v>
      </c>
      <c r="F104" s="38">
        <v>0</v>
      </c>
      <c r="G104" s="39" t="str">
        <f>VLOOKUP('Data 1'!$B104,'Data 2'!$A$1:$F$46,MATCH('Data 1'!G$1,'Data 2'!$A$1:$F$1,0),0)</f>
        <v>Product08</v>
      </c>
      <c r="H104" s="39" t="str">
        <f>VLOOKUP('Data 1'!$B104,'Data 2'!$A$1:$F$46,MATCH('Data 1'!H$1,'Data 2'!$A$1:$F$1,0),0)</f>
        <v>Category01</v>
      </c>
      <c r="I104" s="39" t="str">
        <f>VLOOKUP('Data 1'!$B104,'Data 2'!$A$1:$F$46,MATCH('Data 1'!I$1,'Data 2'!$A$1:$F$1,0),0)</f>
        <v>Kg</v>
      </c>
      <c r="J104" s="39">
        <f>VLOOKUP('Data 1'!$B104,'Data 2'!$A$1:$F$46,MATCH('Data 1'!J$1,'Data 2'!$A$1:$F$1,0),0)</f>
        <v>83</v>
      </c>
      <c r="K104" s="39">
        <f>VLOOKUP('Data 1'!$B104,'Data 2'!$A$1:$F$46,MATCH('Data 1'!K$1,'Data 2'!$A$1:$F$1,0),0)</f>
        <v>94.62</v>
      </c>
      <c r="L104" s="40">
        <f>SUM('Data 1'!$J104*'Data 1'!$C104)</f>
        <v>1245</v>
      </c>
      <c r="M104" s="40">
        <f>'Data 1'!$C104*'Data 1'!$K104</f>
        <v>1419.3000000000002</v>
      </c>
      <c r="N104" s="40">
        <f>'Data 1'!$M104-'Data 1'!$L104</f>
        <v>174.30000000000018</v>
      </c>
      <c r="O104" s="37">
        <f>DAY('Data 1'!$A104)</f>
        <v>6</v>
      </c>
      <c r="P104" s="37" t="str">
        <f>TEXT('Data 1'!$A104,"mmm")</f>
        <v>May</v>
      </c>
      <c r="Q104" s="41">
        <f>YEAR('Data 1'!$A104)</f>
        <v>2021</v>
      </c>
    </row>
    <row r="105" spans="1:17" x14ac:dyDescent="0.3">
      <c r="A105" s="35">
        <v>44322</v>
      </c>
      <c r="B105" s="36" t="s">
        <v>56</v>
      </c>
      <c r="C105" s="37">
        <v>6</v>
      </c>
      <c r="D105" s="37" t="s">
        <v>17</v>
      </c>
      <c r="E105" s="37" t="s">
        <v>17</v>
      </c>
      <c r="F105" s="38">
        <v>0</v>
      </c>
      <c r="G105" s="42" t="str">
        <f>VLOOKUP('Data 1'!$B105,'Data 2'!$A$1:$F$46,MATCH('Data 1'!G$1,'Data 2'!$A$1:$F$1,0),0)</f>
        <v>Product09</v>
      </c>
      <c r="H105" s="42" t="str">
        <f>VLOOKUP('Data 1'!$B105,'Data 2'!$A$1:$F$46,MATCH('Data 1'!H$1,'Data 2'!$A$1:$F$1,0),0)</f>
        <v>Category03</v>
      </c>
      <c r="I105" s="42" t="str">
        <f>VLOOKUP('Data 1'!$B105,'Data 2'!$A$1:$F$46,MATCH('Data 1'!I$1,'Data 2'!$A$1:$F$1,0),0)</f>
        <v>No.</v>
      </c>
      <c r="J105" s="42">
        <f>VLOOKUP('Data 1'!$B105,'Data 2'!$A$1:$F$46,MATCH('Data 1'!J$1,'Data 2'!$A$1:$F$1,0),0)</f>
        <v>6</v>
      </c>
      <c r="K105" s="42">
        <f>VLOOKUP('Data 1'!$B105,'Data 2'!$A$1:$F$46,MATCH('Data 1'!K$1,'Data 2'!$A$1:$F$1,0),0)</f>
        <v>7.8599999999999994</v>
      </c>
      <c r="L105" s="40">
        <f>SUM('Data 1'!$J105*'Data 1'!$C105)</f>
        <v>36</v>
      </c>
      <c r="M105" s="40">
        <f>'Data 1'!$C105*'Data 1'!$K105</f>
        <v>47.16</v>
      </c>
      <c r="N105" s="40">
        <f>'Data 1'!$M105-'Data 1'!$L105</f>
        <v>11.159999999999997</v>
      </c>
      <c r="O105" s="37">
        <f>DAY('Data 1'!$A105)</f>
        <v>6</v>
      </c>
      <c r="P105" s="37" t="str">
        <f>TEXT('Data 1'!$A105,"mmm")</f>
        <v>May</v>
      </c>
      <c r="Q105" s="41">
        <f>YEAR('Data 1'!$A105)</f>
        <v>2021</v>
      </c>
    </row>
    <row r="106" spans="1:17" x14ac:dyDescent="0.3">
      <c r="A106" s="35">
        <v>44323</v>
      </c>
      <c r="B106" s="36" t="s">
        <v>49</v>
      </c>
      <c r="C106" s="37">
        <v>1</v>
      </c>
      <c r="D106" s="37" t="s">
        <v>21</v>
      </c>
      <c r="E106" s="37" t="s">
        <v>19</v>
      </c>
      <c r="F106" s="38">
        <v>0</v>
      </c>
      <c r="G106" s="39" t="str">
        <f>VLOOKUP('Data 1'!$B106,'Data 2'!$A$1:$F$46,MATCH('Data 1'!G$1,'Data 2'!$A$1:$F$1,0),0)</f>
        <v>Product18</v>
      </c>
      <c r="H106" s="39" t="str">
        <f>VLOOKUP('Data 1'!$B106,'Data 2'!$A$1:$F$46,MATCH('Data 1'!H$1,'Data 2'!$A$1:$F$1,0),0)</f>
        <v>Category02</v>
      </c>
      <c r="I106" s="39" t="str">
        <f>VLOOKUP('Data 1'!$B106,'Data 2'!$A$1:$F$46,MATCH('Data 1'!I$1,'Data 2'!$A$1:$F$1,0),0)</f>
        <v>No.</v>
      </c>
      <c r="J106" s="39">
        <f>VLOOKUP('Data 1'!$B106,'Data 2'!$A$1:$F$46,MATCH('Data 1'!J$1,'Data 2'!$A$1:$F$1,0),0)</f>
        <v>37</v>
      </c>
      <c r="K106" s="39">
        <f>VLOOKUP('Data 1'!$B106,'Data 2'!$A$1:$F$46,MATCH('Data 1'!K$1,'Data 2'!$A$1:$F$1,0),0)</f>
        <v>49.21</v>
      </c>
      <c r="L106" s="40">
        <f>SUM('Data 1'!$J106*'Data 1'!$C106)</f>
        <v>37</v>
      </c>
      <c r="M106" s="40">
        <f>'Data 1'!$C106*'Data 1'!$K106</f>
        <v>49.21</v>
      </c>
      <c r="N106" s="40">
        <f>'Data 1'!$M106-'Data 1'!$L106</f>
        <v>12.21</v>
      </c>
      <c r="O106" s="37">
        <f>DAY('Data 1'!$A106)</f>
        <v>7</v>
      </c>
      <c r="P106" s="37" t="str">
        <f>TEXT('Data 1'!$A106,"mmm")</f>
        <v>May</v>
      </c>
      <c r="Q106" s="41">
        <f>YEAR('Data 1'!$A106)</f>
        <v>2021</v>
      </c>
    </row>
    <row r="107" spans="1:17" x14ac:dyDescent="0.3">
      <c r="A107" s="35">
        <v>44325</v>
      </c>
      <c r="B107" s="36" t="s">
        <v>40</v>
      </c>
      <c r="C107" s="37">
        <v>6</v>
      </c>
      <c r="D107" s="37" t="s">
        <v>17</v>
      </c>
      <c r="E107" s="37" t="s">
        <v>17</v>
      </c>
      <c r="F107" s="38">
        <v>0</v>
      </c>
      <c r="G107" s="42" t="str">
        <f>VLOOKUP('Data 1'!$B107,'Data 2'!$A$1:$F$46,MATCH('Data 1'!G$1,'Data 2'!$A$1:$F$1,0),0)</f>
        <v>Product16</v>
      </c>
      <c r="H107" s="42" t="str">
        <f>VLOOKUP('Data 1'!$B107,'Data 2'!$A$1:$F$46,MATCH('Data 1'!H$1,'Data 2'!$A$1:$F$1,0),0)</f>
        <v>Category02</v>
      </c>
      <c r="I107" s="42" t="str">
        <f>VLOOKUP('Data 1'!$B107,'Data 2'!$A$1:$F$46,MATCH('Data 1'!I$1,'Data 2'!$A$1:$F$1,0),0)</f>
        <v>No.</v>
      </c>
      <c r="J107" s="42">
        <f>VLOOKUP('Data 1'!$B107,'Data 2'!$A$1:$F$46,MATCH('Data 1'!J$1,'Data 2'!$A$1:$F$1,0),0)</f>
        <v>13</v>
      </c>
      <c r="K107" s="42">
        <f>VLOOKUP('Data 1'!$B107,'Data 2'!$A$1:$F$46,MATCH('Data 1'!K$1,'Data 2'!$A$1:$F$1,0),0)</f>
        <v>16.64</v>
      </c>
      <c r="L107" s="40">
        <f>SUM('Data 1'!$J107*'Data 1'!$C107)</f>
        <v>78</v>
      </c>
      <c r="M107" s="40">
        <f>'Data 1'!$C107*'Data 1'!$K107</f>
        <v>99.84</v>
      </c>
      <c r="N107" s="40">
        <f>'Data 1'!$M107-'Data 1'!$L107</f>
        <v>21.840000000000003</v>
      </c>
      <c r="O107" s="37">
        <f>DAY('Data 1'!$A107)</f>
        <v>9</v>
      </c>
      <c r="P107" s="37" t="str">
        <f>TEXT('Data 1'!$A107,"mmm")</f>
        <v>May</v>
      </c>
      <c r="Q107" s="41">
        <f>YEAR('Data 1'!$A107)</f>
        <v>2021</v>
      </c>
    </row>
    <row r="108" spans="1:17" x14ac:dyDescent="0.3">
      <c r="A108" s="35">
        <v>44325</v>
      </c>
      <c r="B108" s="36" t="s">
        <v>52</v>
      </c>
      <c r="C108" s="37">
        <v>8</v>
      </c>
      <c r="D108" s="37" t="s">
        <v>21</v>
      </c>
      <c r="E108" s="37" t="s">
        <v>19</v>
      </c>
      <c r="F108" s="38">
        <v>0</v>
      </c>
      <c r="G108" s="39" t="str">
        <f>VLOOKUP('Data 1'!$B108,'Data 2'!$A$1:$F$46,MATCH('Data 1'!G$1,'Data 2'!$A$1:$F$1,0),0)</f>
        <v>Product28</v>
      </c>
      <c r="H108" s="39" t="str">
        <f>VLOOKUP('Data 1'!$B108,'Data 2'!$A$1:$F$46,MATCH('Data 1'!H$1,'Data 2'!$A$1:$F$1,0),0)</f>
        <v>Category04</v>
      </c>
      <c r="I108" s="39" t="str">
        <f>VLOOKUP('Data 1'!$B108,'Data 2'!$A$1:$F$46,MATCH('Data 1'!I$1,'Data 2'!$A$1:$F$1,0),0)</f>
        <v>No.</v>
      </c>
      <c r="J108" s="39">
        <f>VLOOKUP('Data 1'!$B108,'Data 2'!$A$1:$F$46,MATCH('Data 1'!J$1,'Data 2'!$A$1:$F$1,0),0)</f>
        <v>37</v>
      </c>
      <c r="K108" s="39">
        <f>VLOOKUP('Data 1'!$B108,'Data 2'!$A$1:$F$46,MATCH('Data 1'!K$1,'Data 2'!$A$1:$F$1,0),0)</f>
        <v>41.81</v>
      </c>
      <c r="L108" s="40">
        <f>SUM('Data 1'!$J108*'Data 1'!$C108)</f>
        <v>296</v>
      </c>
      <c r="M108" s="40">
        <f>'Data 1'!$C108*'Data 1'!$K108</f>
        <v>334.48</v>
      </c>
      <c r="N108" s="40">
        <f>'Data 1'!$M108-'Data 1'!$L108</f>
        <v>38.480000000000018</v>
      </c>
      <c r="O108" s="37">
        <f>DAY('Data 1'!$A108)</f>
        <v>9</v>
      </c>
      <c r="P108" s="37" t="str">
        <f>TEXT('Data 1'!$A108,"mmm")</f>
        <v>May</v>
      </c>
      <c r="Q108" s="41">
        <f>YEAR('Data 1'!$A108)</f>
        <v>2021</v>
      </c>
    </row>
    <row r="109" spans="1:17" x14ac:dyDescent="0.3">
      <c r="A109" s="35">
        <v>44328</v>
      </c>
      <c r="B109" s="36" t="s">
        <v>40</v>
      </c>
      <c r="C109" s="37">
        <v>3</v>
      </c>
      <c r="D109" s="37" t="s">
        <v>21</v>
      </c>
      <c r="E109" s="37" t="s">
        <v>17</v>
      </c>
      <c r="F109" s="38">
        <v>0</v>
      </c>
      <c r="G109" s="42" t="str">
        <f>VLOOKUP('Data 1'!$B109,'Data 2'!$A$1:$F$46,MATCH('Data 1'!G$1,'Data 2'!$A$1:$F$1,0),0)</f>
        <v>Product16</v>
      </c>
      <c r="H109" s="42" t="str">
        <f>VLOOKUP('Data 1'!$B109,'Data 2'!$A$1:$F$46,MATCH('Data 1'!H$1,'Data 2'!$A$1:$F$1,0),0)</f>
        <v>Category02</v>
      </c>
      <c r="I109" s="42" t="str">
        <f>VLOOKUP('Data 1'!$B109,'Data 2'!$A$1:$F$46,MATCH('Data 1'!I$1,'Data 2'!$A$1:$F$1,0),0)</f>
        <v>No.</v>
      </c>
      <c r="J109" s="42">
        <f>VLOOKUP('Data 1'!$B109,'Data 2'!$A$1:$F$46,MATCH('Data 1'!J$1,'Data 2'!$A$1:$F$1,0),0)</f>
        <v>13</v>
      </c>
      <c r="K109" s="42">
        <f>VLOOKUP('Data 1'!$B109,'Data 2'!$A$1:$F$46,MATCH('Data 1'!K$1,'Data 2'!$A$1:$F$1,0),0)</f>
        <v>16.64</v>
      </c>
      <c r="L109" s="40">
        <f>SUM('Data 1'!$J109*'Data 1'!$C109)</f>
        <v>39</v>
      </c>
      <c r="M109" s="40">
        <f>'Data 1'!$C109*'Data 1'!$K109</f>
        <v>49.92</v>
      </c>
      <c r="N109" s="40">
        <f>'Data 1'!$M109-'Data 1'!$L109</f>
        <v>10.920000000000002</v>
      </c>
      <c r="O109" s="37">
        <f>DAY('Data 1'!$A109)</f>
        <v>12</v>
      </c>
      <c r="P109" s="37" t="str">
        <f>TEXT('Data 1'!$A109,"mmm")</f>
        <v>May</v>
      </c>
      <c r="Q109" s="41">
        <f>YEAR('Data 1'!$A109)</f>
        <v>2021</v>
      </c>
    </row>
    <row r="110" spans="1:17" x14ac:dyDescent="0.3">
      <c r="A110" s="35">
        <v>44328</v>
      </c>
      <c r="B110" s="36" t="s">
        <v>23</v>
      </c>
      <c r="C110" s="37">
        <v>15</v>
      </c>
      <c r="D110" s="37" t="s">
        <v>21</v>
      </c>
      <c r="E110" s="37" t="s">
        <v>17</v>
      </c>
      <c r="F110" s="38">
        <v>0</v>
      </c>
      <c r="G110" s="39" t="str">
        <f>VLOOKUP('Data 1'!$B110,'Data 2'!$A$1:$F$46,MATCH('Data 1'!G$1,'Data 2'!$A$1:$F$1,0),0)</f>
        <v>Product35</v>
      </c>
      <c r="H110" s="39" t="str">
        <f>VLOOKUP('Data 1'!$B110,'Data 2'!$A$1:$F$46,MATCH('Data 1'!H$1,'Data 2'!$A$1:$F$1,0),0)</f>
        <v>Category04</v>
      </c>
      <c r="I110" s="39" t="str">
        <f>VLOOKUP('Data 1'!$B110,'Data 2'!$A$1:$F$46,MATCH('Data 1'!I$1,'Data 2'!$A$1:$F$1,0),0)</f>
        <v>No.</v>
      </c>
      <c r="J110" s="39">
        <f>VLOOKUP('Data 1'!$B110,'Data 2'!$A$1:$F$46,MATCH('Data 1'!J$1,'Data 2'!$A$1:$F$1,0),0)</f>
        <v>5</v>
      </c>
      <c r="K110" s="39">
        <f>VLOOKUP('Data 1'!$B110,'Data 2'!$A$1:$F$46,MATCH('Data 1'!K$1,'Data 2'!$A$1:$F$1,0),0)</f>
        <v>6.7</v>
      </c>
      <c r="L110" s="40">
        <f>SUM('Data 1'!$J110*'Data 1'!$C110)</f>
        <v>75</v>
      </c>
      <c r="M110" s="40">
        <f>'Data 1'!$C110*'Data 1'!$K110</f>
        <v>100.5</v>
      </c>
      <c r="N110" s="40">
        <f>'Data 1'!$M110-'Data 1'!$L110</f>
        <v>25.5</v>
      </c>
      <c r="O110" s="37">
        <f>DAY('Data 1'!$A110)</f>
        <v>12</v>
      </c>
      <c r="P110" s="37" t="str">
        <f>TEXT('Data 1'!$A110,"mmm")</f>
        <v>May</v>
      </c>
      <c r="Q110" s="41">
        <f>YEAR('Data 1'!$A110)</f>
        <v>2021</v>
      </c>
    </row>
    <row r="111" spans="1:17" x14ac:dyDescent="0.3">
      <c r="A111" s="35">
        <v>44329</v>
      </c>
      <c r="B111" s="36" t="s">
        <v>38</v>
      </c>
      <c r="C111" s="37">
        <v>4</v>
      </c>
      <c r="D111" s="37" t="s">
        <v>21</v>
      </c>
      <c r="E111" s="37" t="s">
        <v>17</v>
      </c>
      <c r="F111" s="38">
        <v>0</v>
      </c>
      <c r="G111" s="42" t="str">
        <f>VLOOKUP('Data 1'!$B111,'Data 2'!$A$1:$F$46,MATCH('Data 1'!G$1,'Data 2'!$A$1:$F$1,0),0)</f>
        <v>Product29</v>
      </c>
      <c r="H111" s="42" t="str">
        <f>VLOOKUP('Data 1'!$B111,'Data 2'!$A$1:$F$46,MATCH('Data 1'!H$1,'Data 2'!$A$1:$F$1,0),0)</f>
        <v>Category04</v>
      </c>
      <c r="I111" s="42" t="str">
        <f>VLOOKUP('Data 1'!$B111,'Data 2'!$A$1:$F$46,MATCH('Data 1'!I$1,'Data 2'!$A$1:$F$1,0),0)</f>
        <v>Lt</v>
      </c>
      <c r="J111" s="42">
        <f>VLOOKUP('Data 1'!$B111,'Data 2'!$A$1:$F$46,MATCH('Data 1'!J$1,'Data 2'!$A$1:$F$1,0),0)</f>
        <v>47</v>
      </c>
      <c r="K111" s="42">
        <f>VLOOKUP('Data 1'!$B111,'Data 2'!$A$1:$F$46,MATCH('Data 1'!K$1,'Data 2'!$A$1:$F$1,0),0)</f>
        <v>53.11</v>
      </c>
      <c r="L111" s="40">
        <f>SUM('Data 1'!$J111*'Data 1'!$C111)</f>
        <v>188</v>
      </c>
      <c r="M111" s="40">
        <f>'Data 1'!$C111*'Data 1'!$K111</f>
        <v>212.44</v>
      </c>
      <c r="N111" s="40">
        <f>'Data 1'!$M111-'Data 1'!$L111</f>
        <v>24.439999999999998</v>
      </c>
      <c r="O111" s="37">
        <f>DAY('Data 1'!$A111)</f>
        <v>13</v>
      </c>
      <c r="P111" s="37" t="str">
        <f>TEXT('Data 1'!$A111,"mmm")</f>
        <v>May</v>
      </c>
      <c r="Q111" s="41">
        <f>YEAR('Data 1'!$A111)</f>
        <v>2021</v>
      </c>
    </row>
    <row r="112" spans="1:17" x14ac:dyDescent="0.3">
      <c r="A112" s="35">
        <v>44336</v>
      </c>
      <c r="B112" s="36" t="s">
        <v>29</v>
      </c>
      <c r="C112" s="37">
        <v>2</v>
      </c>
      <c r="D112" s="37" t="s">
        <v>17</v>
      </c>
      <c r="E112" s="37" t="s">
        <v>19</v>
      </c>
      <c r="F112" s="38">
        <v>0</v>
      </c>
      <c r="G112" s="39" t="str">
        <f>VLOOKUP('Data 1'!$B112,'Data 2'!$A$1:$F$46,MATCH('Data 1'!G$1,'Data 2'!$A$1:$F$1,0),0)</f>
        <v>Product42</v>
      </c>
      <c r="H112" s="39" t="str">
        <f>VLOOKUP('Data 1'!$B112,'Data 2'!$A$1:$F$46,MATCH('Data 1'!H$1,'Data 2'!$A$1:$F$1,0),0)</f>
        <v>Category05</v>
      </c>
      <c r="I112" s="39" t="str">
        <f>VLOOKUP('Data 1'!$B112,'Data 2'!$A$1:$F$46,MATCH('Data 1'!I$1,'Data 2'!$A$1:$F$1,0),0)</f>
        <v>Ft</v>
      </c>
      <c r="J112" s="39">
        <f>VLOOKUP('Data 1'!$B112,'Data 2'!$A$1:$F$46,MATCH('Data 1'!J$1,'Data 2'!$A$1:$F$1,0),0)</f>
        <v>120</v>
      </c>
      <c r="K112" s="39">
        <f>VLOOKUP('Data 1'!$B112,'Data 2'!$A$1:$F$46,MATCH('Data 1'!K$1,'Data 2'!$A$1:$F$1,0),0)</f>
        <v>162</v>
      </c>
      <c r="L112" s="40">
        <f>SUM('Data 1'!$J112*'Data 1'!$C112)</f>
        <v>240</v>
      </c>
      <c r="M112" s="40">
        <f>'Data 1'!$C112*'Data 1'!$K112</f>
        <v>324</v>
      </c>
      <c r="N112" s="40">
        <f>'Data 1'!$M112-'Data 1'!$L112</f>
        <v>84</v>
      </c>
      <c r="O112" s="37">
        <f>DAY('Data 1'!$A112)</f>
        <v>20</v>
      </c>
      <c r="P112" s="37" t="str">
        <f>TEXT('Data 1'!$A112,"mmm")</f>
        <v>May</v>
      </c>
      <c r="Q112" s="41">
        <f>YEAR('Data 1'!$A112)</f>
        <v>2021</v>
      </c>
    </row>
    <row r="113" spans="1:17" x14ac:dyDescent="0.3">
      <c r="A113" s="35">
        <v>44339</v>
      </c>
      <c r="B113" s="36" t="s">
        <v>36</v>
      </c>
      <c r="C113" s="37">
        <v>11</v>
      </c>
      <c r="D113" s="37" t="s">
        <v>21</v>
      </c>
      <c r="E113" s="37" t="s">
        <v>17</v>
      </c>
      <c r="F113" s="38">
        <v>0</v>
      </c>
      <c r="G113" s="42" t="str">
        <f>VLOOKUP('Data 1'!$B113,'Data 2'!$A$1:$F$46,MATCH('Data 1'!G$1,'Data 2'!$A$1:$F$1,0),0)</f>
        <v>Product40</v>
      </c>
      <c r="H113" s="42" t="str">
        <f>VLOOKUP('Data 1'!$B113,'Data 2'!$A$1:$F$46,MATCH('Data 1'!H$1,'Data 2'!$A$1:$F$1,0),0)</f>
        <v>Category05</v>
      </c>
      <c r="I113" s="42" t="str">
        <f>VLOOKUP('Data 1'!$B113,'Data 2'!$A$1:$F$46,MATCH('Data 1'!I$1,'Data 2'!$A$1:$F$1,0),0)</f>
        <v>Kg</v>
      </c>
      <c r="J113" s="42">
        <f>VLOOKUP('Data 1'!$B113,'Data 2'!$A$1:$F$46,MATCH('Data 1'!J$1,'Data 2'!$A$1:$F$1,0),0)</f>
        <v>90</v>
      </c>
      <c r="K113" s="42">
        <f>VLOOKUP('Data 1'!$B113,'Data 2'!$A$1:$F$46,MATCH('Data 1'!K$1,'Data 2'!$A$1:$F$1,0),0)</f>
        <v>115.2</v>
      </c>
      <c r="L113" s="40">
        <f>SUM('Data 1'!$J113*'Data 1'!$C113)</f>
        <v>990</v>
      </c>
      <c r="M113" s="40">
        <f>'Data 1'!$C113*'Data 1'!$K113</f>
        <v>1267.2</v>
      </c>
      <c r="N113" s="40">
        <f>'Data 1'!$M113-'Data 1'!$L113</f>
        <v>277.20000000000005</v>
      </c>
      <c r="O113" s="37">
        <f>DAY('Data 1'!$A113)</f>
        <v>23</v>
      </c>
      <c r="P113" s="37" t="str">
        <f>TEXT('Data 1'!$A113,"mmm")</f>
        <v>May</v>
      </c>
      <c r="Q113" s="41">
        <f>YEAR('Data 1'!$A113)</f>
        <v>2021</v>
      </c>
    </row>
    <row r="114" spans="1:17" x14ac:dyDescent="0.3">
      <c r="A114" s="35">
        <v>44346</v>
      </c>
      <c r="B114" s="36" t="s">
        <v>31</v>
      </c>
      <c r="C114" s="37">
        <v>13</v>
      </c>
      <c r="D114" s="37" t="s">
        <v>17</v>
      </c>
      <c r="E114" s="37" t="s">
        <v>17</v>
      </c>
      <c r="F114" s="38">
        <v>0</v>
      </c>
      <c r="G114" s="39" t="str">
        <f>VLOOKUP('Data 1'!$B114,'Data 2'!$A$1:$F$46,MATCH('Data 1'!G$1,'Data 2'!$A$1:$F$1,0),0)</f>
        <v>Product23</v>
      </c>
      <c r="H114" s="39" t="str">
        <f>VLOOKUP('Data 1'!$B114,'Data 2'!$A$1:$F$46,MATCH('Data 1'!H$1,'Data 2'!$A$1:$F$1,0),0)</f>
        <v>Category03</v>
      </c>
      <c r="I114" s="39" t="str">
        <f>VLOOKUP('Data 1'!$B114,'Data 2'!$A$1:$F$46,MATCH('Data 1'!I$1,'Data 2'!$A$1:$F$1,0),0)</f>
        <v>Ft</v>
      </c>
      <c r="J114" s="39">
        <f>VLOOKUP('Data 1'!$B114,'Data 2'!$A$1:$F$46,MATCH('Data 1'!J$1,'Data 2'!$A$1:$F$1,0),0)</f>
        <v>141</v>
      </c>
      <c r="K114" s="39">
        <f>VLOOKUP('Data 1'!$B114,'Data 2'!$A$1:$F$46,MATCH('Data 1'!K$1,'Data 2'!$A$1:$F$1,0),0)</f>
        <v>149.46</v>
      </c>
      <c r="L114" s="40">
        <f>SUM('Data 1'!$J114*'Data 1'!$C114)</f>
        <v>1833</v>
      </c>
      <c r="M114" s="40">
        <f>'Data 1'!$C114*'Data 1'!$K114</f>
        <v>1942.98</v>
      </c>
      <c r="N114" s="40">
        <f>'Data 1'!$M114-'Data 1'!$L114</f>
        <v>109.98000000000002</v>
      </c>
      <c r="O114" s="37">
        <f>DAY('Data 1'!$A114)</f>
        <v>30</v>
      </c>
      <c r="P114" s="37" t="str">
        <f>TEXT('Data 1'!$A114,"mmm")</f>
        <v>May</v>
      </c>
      <c r="Q114" s="41">
        <f>YEAR('Data 1'!$A114)</f>
        <v>2021</v>
      </c>
    </row>
    <row r="115" spans="1:17" x14ac:dyDescent="0.3">
      <c r="A115" s="35">
        <v>44346</v>
      </c>
      <c r="B115" s="36" t="s">
        <v>20</v>
      </c>
      <c r="C115" s="37">
        <v>6</v>
      </c>
      <c r="D115" s="37" t="s">
        <v>17</v>
      </c>
      <c r="E115" s="37" t="s">
        <v>19</v>
      </c>
      <c r="F115" s="38">
        <v>0</v>
      </c>
      <c r="G115" s="42" t="str">
        <f>VLOOKUP('Data 1'!$B115,'Data 2'!$A$1:$F$46,MATCH('Data 1'!G$1,'Data 2'!$A$1:$F$1,0),0)</f>
        <v>Product13</v>
      </c>
      <c r="H115" s="42" t="str">
        <f>VLOOKUP('Data 1'!$B115,'Data 2'!$A$1:$F$46,MATCH('Data 1'!H$1,'Data 2'!$A$1:$F$1,0),0)</f>
        <v>Category02</v>
      </c>
      <c r="I115" s="42" t="str">
        <f>VLOOKUP('Data 1'!$B115,'Data 2'!$A$1:$F$46,MATCH('Data 1'!I$1,'Data 2'!$A$1:$F$1,0),0)</f>
        <v>Kg</v>
      </c>
      <c r="J115" s="42">
        <f>VLOOKUP('Data 1'!$B115,'Data 2'!$A$1:$F$46,MATCH('Data 1'!J$1,'Data 2'!$A$1:$F$1,0),0)</f>
        <v>112</v>
      </c>
      <c r="K115" s="42">
        <f>VLOOKUP('Data 1'!$B115,'Data 2'!$A$1:$F$46,MATCH('Data 1'!K$1,'Data 2'!$A$1:$F$1,0),0)</f>
        <v>122.08</v>
      </c>
      <c r="L115" s="40">
        <f>SUM('Data 1'!$J115*'Data 1'!$C115)</f>
        <v>672</v>
      </c>
      <c r="M115" s="40">
        <f>'Data 1'!$C115*'Data 1'!$K115</f>
        <v>732.48</v>
      </c>
      <c r="N115" s="40">
        <f>'Data 1'!$M115-'Data 1'!$L115</f>
        <v>60.480000000000018</v>
      </c>
      <c r="O115" s="37">
        <f>DAY('Data 1'!$A115)</f>
        <v>30</v>
      </c>
      <c r="P115" s="37" t="str">
        <f>TEXT('Data 1'!$A115,"mmm")</f>
        <v>May</v>
      </c>
      <c r="Q115" s="41">
        <f>YEAR('Data 1'!$A115)</f>
        <v>2021</v>
      </c>
    </row>
    <row r="116" spans="1:17" x14ac:dyDescent="0.3">
      <c r="A116" s="35">
        <v>44350</v>
      </c>
      <c r="B116" s="36" t="s">
        <v>51</v>
      </c>
      <c r="C116" s="37">
        <v>10</v>
      </c>
      <c r="D116" s="37" t="s">
        <v>21</v>
      </c>
      <c r="E116" s="37" t="s">
        <v>19</v>
      </c>
      <c r="F116" s="38">
        <v>0</v>
      </c>
      <c r="G116" s="39" t="str">
        <f>VLOOKUP('Data 1'!$B116,'Data 2'!$A$1:$F$46,MATCH('Data 1'!G$1,'Data 2'!$A$1:$F$1,0),0)</f>
        <v>Product21</v>
      </c>
      <c r="H116" s="39" t="str">
        <f>VLOOKUP('Data 1'!$B116,'Data 2'!$A$1:$F$46,MATCH('Data 1'!H$1,'Data 2'!$A$1:$F$1,0),0)</f>
        <v>Category03</v>
      </c>
      <c r="I116" s="39" t="str">
        <f>VLOOKUP('Data 1'!$B116,'Data 2'!$A$1:$F$46,MATCH('Data 1'!I$1,'Data 2'!$A$1:$F$1,0),0)</f>
        <v>Ft</v>
      </c>
      <c r="J116" s="39">
        <f>VLOOKUP('Data 1'!$B116,'Data 2'!$A$1:$F$46,MATCH('Data 1'!J$1,'Data 2'!$A$1:$F$1,0),0)</f>
        <v>126</v>
      </c>
      <c r="K116" s="39">
        <f>VLOOKUP('Data 1'!$B116,'Data 2'!$A$1:$F$46,MATCH('Data 1'!K$1,'Data 2'!$A$1:$F$1,0),0)</f>
        <v>162.54</v>
      </c>
      <c r="L116" s="40">
        <f>SUM('Data 1'!$J116*'Data 1'!$C116)</f>
        <v>1260</v>
      </c>
      <c r="M116" s="40">
        <f>'Data 1'!$C116*'Data 1'!$K116</f>
        <v>1625.3999999999999</v>
      </c>
      <c r="N116" s="40">
        <f>'Data 1'!$M116-'Data 1'!$L116</f>
        <v>365.39999999999986</v>
      </c>
      <c r="O116" s="37">
        <f>DAY('Data 1'!$A116)</f>
        <v>3</v>
      </c>
      <c r="P116" s="37" t="str">
        <f>TEXT('Data 1'!$A116,"mmm")</f>
        <v>Jun</v>
      </c>
      <c r="Q116" s="41">
        <f>YEAR('Data 1'!$A116)</f>
        <v>2021</v>
      </c>
    </row>
    <row r="117" spans="1:17" x14ac:dyDescent="0.3">
      <c r="A117" s="35">
        <v>44351</v>
      </c>
      <c r="B117" s="36" t="s">
        <v>33</v>
      </c>
      <c r="C117" s="37">
        <v>8</v>
      </c>
      <c r="D117" s="37" t="s">
        <v>16</v>
      </c>
      <c r="E117" s="37" t="s">
        <v>17</v>
      </c>
      <c r="F117" s="38">
        <v>0</v>
      </c>
      <c r="G117" s="42" t="str">
        <f>VLOOKUP('Data 1'!$B117,'Data 2'!$A$1:$F$46,MATCH('Data 1'!G$1,'Data 2'!$A$1:$F$1,0),0)</f>
        <v>Product20</v>
      </c>
      <c r="H117" s="42" t="str">
        <f>VLOOKUP('Data 1'!$B117,'Data 2'!$A$1:$F$46,MATCH('Data 1'!H$1,'Data 2'!$A$1:$F$1,0),0)</f>
        <v>Category03</v>
      </c>
      <c r="I117" s="42" t="str">
        <f>VLOOKUP('Data 1'!$B117,'Data 2'!$A$1:$F$46,MATCH('Data 1'!I$1,'Data 2'!$A$1:$F$1,0),0)</f>
        <v>Lt</v>
      </c>
      <c r="J117" s="42">
        <f>VLOOKUP('Data 1'!$B117,'Data 2'!$A$1:$F$46,MATCH('Data 1'!J$1,'Data 2'!$A$1:$F$1,0),0)</f>
        <v>61</v>
      </c>
      <c r="K117" s="42">
        <f>VLOOKUP('Data 1'!$B117,'Data 2'!$A$1:$F$46,MATCH('Data 1'!K$1,'Data 2'!$A$1:$F$1,0),0)</f>
        <v>76.25</v>
      </c>
      <c r="L117" s="40">
        <f>SUM('Data 1'!$J117*'Data 1'!$C117)</f>
        <v>488</v>
      </c>
      <c r="M117" s="40">
        <f>'Data 1'!$C117*'Data 1'!$K117</f>
        <v>610</v>
      </c>
      <c r="N117" s="40">
        <f>'Data 1'!$M117-'Data 1'!$L117</f>
        <v>122</v>
      </c>
      <c r="O117" s="37">
        <f>DAY('Data 1'!$A117)</f>
        <v>4</v>
      </c>
      <c r="P117" s="37" t="str">
        <f>TEXT('Data 1'!$A117,"mmm")</f>
        <v>Jun</v>
      </c>
      <c r="Q117" s="41">
        <f>YEAR('Data 1'!$A117)</f>
        <v>2021</v>
      </c>
    </row>
    <row r="118" spans="1:17" x14ac:dyDescent="0.3">
      <c r="A118" s="35">
        <v>44351</v>
      </c>
      <c r="B118" s="36" t="s">
        <v>33</v>
      </c>
      <c r="C118" s="37">
        <v>12</v>
      </c>
      <c r="D118" s="37" t="s">
        <v>17</v>
      </c>
      <c r="E118" s="37" t="s">
        <v>19</v>
      </c>
      <c r="F118" s="38">
        <v>0</v>
      </c>
      <c r="G118" s="39" t="str">
        <f>VLOOKUP('Data 1'!$B118,'Data 2'!$A$1:$F$46,MATCH('Data 1'!G$1,'Data 2'!$A$1:$F$1,0),0)</f>
        <v>Product20</v>
      </c>
      <c r="H118" s="39" t="str">
        <f>VLOOKUP('Data 1'!$B118,'Data 2'!$A$1:$F$46,MATCH('Data 1'!H$1,'Data 2'!$A$1:$F$1,0),0)</f>
        <v>Category03</v>
      </c>
      <c r="I118" s="39" t="str">
        <f>VLOOKUP('Data 1'!$B118,'Data 2'!$A$1:$F$46,MATCH('Data 1'!I$1,'Data 2'!$A$1:$F$1,0),0)</f>
        <v>Lt</v>
      </c>
      <c r="J118" s="39">
        <f>VLOOKUP('Data 1'!$B118,'Data 2'!$A$1:$F$46,MATCH('Data 1'!J$1,'Data 2'!$A$1:$F$1,0),0)</f>
        <v>61</v>
      </c>
      <c r="K118" s="39">
        <f>VLOOKUP('Data 1'!$B118,'Data 2'!$A$1:$F$46,MATCH('Data 1'!K$1,'Data 2'!$A$1:$F$1,0),0)</f>
        <v>76.25</v>
      </c>
      <c r="L118" s="40">
        <f>SUM('Data 1'!$J118*'Data 1'!$C118)</f>
        <v>732</v>
      </c>
      <c r="M118" s="40">
        <f>'Data 1'!$C118*'Data 1'!$K118</f>
        <v>915</v>
      </c>
      <c r="N118" s="40">
        <f>'Data 1'!$M118-'Data 1'!$L118</f>
        <v>183</v>
      </c>
      <c r="O118" s="37">
        <f>DAY('Data 1'!$A118)</f>
        <v>4</v>
      </c>
      <c r="P118" s="37" t="str">
        <f>TEXT('Data 1'!$A118,"mmm")</f>
        <v>Jun</v>
      </c>
      <c r="Q118" s="41">
        <f>YEAR('Data 1'!$A118)</f>
        <v>2021</v>
      </c>
    </row>
    <row r="119" spans="1:17" x14ac:dyDescent="0.3">
      <c r="A119" s="35">
        <v>44352</v>
      </c>
      <c r="B119" s="36" t="s">
        <v>41</v>
      </c>
      <c r="C119" s="37">
        <v>15</v>
      </c>
      <c r="D119" s="37" t="s">
        <v>16</v>
      </c>
      <c r="E119" s="37" t="s">
        <v>17</v>
      </c>
      <c r="F119" s="38">
        <v>0</v>
      </c>
      <c r="G119" s="42" t="str">
        <f>VLOOKUP('Data 1'!$B119,'Data 2'!$A$1:$F$46,MATCH('Data 1'!G$1,'Data 2'!$A$1:$F$1,0),0)</f>
        <v>Product22</v>
      </c>
      <c r="H119" s="42" t="str">
        <f>VLOOKUP('Data 1'!$B119,'Data 2'!$A$1:$F$46,MATCH('Data 1'!H$1,'Data 2'!$A$1:$F$1,0),0)</f>
        <v>Category03</v>
      </c>
      <c r="I119" s="42" t="str">
        <f>VLOOKUP('Data 1'!$B119,'Data 2'!$A$1:$F$46,MATCH('Data 1'!I$1,'Data 2'!$A$1:$F$1,0),0)</f>
        <v>Ft</v>
      </c>
      <c r="J119" s="42">
        <f>VLOOKUP('Data 1'!$B119,'Data 2'!$A$1:$F$46,MATCH('Data 1'!J$1,'Data 2'!$A$1:$F$1,0),0)</f>
        <v>121</v>
      </c>
      <c r="K119" s="42">
        <f>VLOOKUP('Data 1'!$B119,'Data 2'!$A$1:$F$46,MATCH('Data 1'!K$1,'Data 2'!$A$1:$F$1,0),0)</f>
        <v>141.57</v>
      </c>
      <c r="L119" s="40">
        <f>SUM('Data 1'!$J119*'Data 1'!$C119)</f>
        <v>1815</v>
      </c>
      <c r="M119" s="40">
        <f>'Data 1'!$C119*'Data 1'!$K119</f>
        <v>2123.5499999999997</v>
      </c>
      <c r="N119" s="40">
        <f>'Data 1'!$M119-'Data 1'!$L119</f>
        <v>308.54999999999973</v>
      </c>
      <c r="O119" s="37">
        <f>DAY('Data 1'!$A119)</f>
        <v>5</v>
      </c>
      <c r="P119" s="37" t="str">
        <f>TEXT('Data 1'!$A119,"mmm")</f>
        <v>Jun</v>
      </c>
      <c r="Q119" s="41">
        <f>YEAR('Data 1'!$A119)</f>
        <v>2021</v>
      </c>
    </row>
    <row r="120" spans="1:17" x14ac:dyDescent="0.3">
      <c r="A120" s="35">
        <v>44352</v>
      </c>
      <c r="B120" s="36" t="s">
        <v>23</v>
      </c>
      <c r="C120" s="37">
        <v>10</v>
      </c>
      <c r="D120" s="37" t="s">
        <v>21</v>
      </c>
      <c r="E120" s="37" t="s">
        <v>17</v>
      </c>
      <c r="F120" s="38">
        <v>0</v>
      </c>
      <c r="G120" s="39" t="str">
        <f>VLOOKUP('Data 1'!$B120,'Data 2'!$A$1:$F$46,MATCH('Data 1'!G$1,'Data 2'!$A$1:$F$1,0),0)</f>
        <v>Product35</v>
      </c>
      <c r="H120" s="39" t="str">
        <f>VLOOKUP('Data 1'!$B120,'Data 2'!$A$1:$F$46,MATCH('Data 1'!H$1,'Data 2'!$A$1:$F$1,0),0)</f>
        <v>Category04</v>
      </c>
      <c r="I120" s="39" t="str">
        <f>VLOOKUP('Data 1'!$B120,'Data 2'!$A$1:$F$46,MATCH('Data 1'!I$1,'Data 2'!$A$1:$F$1,0),0)</f>
        <v>No.</v>
      </c>
      <c r="J120" s="39">
        <f>VLOOKUP('Data 1'!$B120,'Data 2'!$A$1:$F$46,MATCH('Data 1'!J$1,'Data 2'!$A$1:$F$1,0),0)</f>
        <v>5</v>
      </c>
      <c r="K120" s="39">
        <f>VLOOKUP('Data 1'!$B120,'Data 2'!$A$1:$F$46,MATCH('Data 1'!K$1,'Data 2'!$A$1:$F$1,0),0)</f>
        <v>6.7</v>
      </c>
      <c r="L120" s="40">
        <f>SUM('Data 1'!$J120*'Data 1'!$C120)</f>
        <v>50</v>
      </c>
      <c r="M120" s="40">
        <f>'Data 1'!$C120*'Data 1'!$K120</f>
        <v>67</v>
      </c>
      <c r="N120" s="40">
        <f>'Data 1'!$M120-'Data 1'!$L120</f>
        <v>17</v>
      </c>
      <c r="O120" s="37">
        <f>DAY('Data 1'!$A120)</f>
        <v>5</v>
      </c>
      <c r="P120" s="37" t="str">
        <f>TEXT('Data 1'!$A120,"mmm")</f>
        <v>Jun</v>
      </c>
      <c r="Q120" s="41">
        <f>YEAR('Data 1'!$A120)</f>
        <v>2021</v>
      </c>
    </row>
    <row r="121" spans="1:17" x14ac:dyDescent="0.3">
      <c r="A121" s="35">
        <v>44353</v>
      </c>
      <c r="B121" s="36" t="s">
        <v>57</v>
      </c>
      <c r="C121" s="37">
        <v>6</v>
      </c>
      <c r="D121" s="37" t="s">
        <v>21</v>
      </c>
      <c r="E121" s="37" t="s">
        <v>17</v>
      </c>
      <c r="F121" s="38">
        <v>0</v>
      </c>
      <c r="G121" s="42" t="str">
        <f>VLOOKUP('Data 1'!$B121,'Data 2'!$A$1:$F$46,MATCH('Data 1'!G$1,'Data 2'!$A$1:$F$1,0),0)</f>
        <v>Product33</v>
      </c>
      <c r="H121" s="42" t="str">
        <f>VLOOKUP('Data 1'!$B121,'Data 2'!$A$1:$F$46,MATCH('Data 1'!H$1,'Data 2'!$A$1:$F$1,0),0)</f>
        <v>Category04</v>
      </c>
      <c r="I121" s="42" t="str">
        <f>VLOOKUP('Data 1'!$B121,'Data 2'!$A$1:$F$46,MATCH('Data 1'!I$1,'Data 2'!$A$1:$F$1,0),0)</f>
        <v>Kg</v>
      </c>
      <c r="J121" s="42">
        <f>VLOOKUP('Data 1'!$B121,'Data 2'!$A$1:$F$46,MATCH('Data 1'!J$1,'Data 2'!$A$1:$F$1,0),0)</f>
        <v>95</v>
      </c>
      <c r="K121" s="42">
        <f>VLOOKUP('Data 1'!$B121,'Data 2'!$A$1:$F$46,MATCH('Data 1'!K$1,'Data 2'!$A$1:$F$1,0),0)</f>
        <v>119.7</v>
      </c>
      <c r="L121" s="40">
        <f>SUM('Data 1'!$J121*'Data 1'!$C121)</f>
        <v>570</v>
      </c>
      <c r="M121" s="40">
        <f>'Data 1'!$C121*'Data 1'!$K121</f>
        <v>718.2</v>
      </c>
      <c r="N121" s="40">
        <f>'Data 1'!$M121-'Data 1'!$L121</f>
        <v>148.20000000000005</v>
      </c>
      <c r="O121" s="37">
        <f>DAY('Data 1'!$A121)</f>
        <v>6</v>
      </c>
      <c r="P121" s="37" t="str">
        <f>TEXT('Data 1'!$A121,"mmm")</f>
        <v>Jun</v>
      </c>
      <c r="Q121" s="41">
        <f>YEAR('Data 1'!$A121)</f>
        <v>2021</v>
      </c>
    </row>
    <row r="122" spans="1:17" x14ac:dyDescent="0.3">
      <c r="A122" s="35">
        <v>44355</v>
      </c>
      <c r="B122" s="36" t="s">
        <v>52</v>
      </c>
      <c r="C122" s="37">
        <v>11</v>
      </c>
      <c r="D122" s="37" t="s">
        <v>21</v>
      </c>
      <c r="E122" s="37" t="s">
        <v>17</v>
      </c>
      <c r="F122" s="38">
        <v>0</v>
      </c>
      <c r="G122" s="39" t="str">
        <f>VLOOKUP('Data 1'!$B122,'Data 2'!$A$1:$F$46,MATCH('Data 1'!G$1,'Data 2'!$A$1:$F$1,0),0)</f>
        <v>Product28</v>
      </c>
      <c r="H122" s="39" t="str">
        <f>VLOOKUP('Data 1'!$B122,'Data 2'!$A$1:$F$46,MATCH('Data 1'!H$1,'Data 2'!$A$1:$F$1,0),0)</f>
        <v>Category04</v>
      </c>
      <c r="I122" s="39" t="str">
        <f>VLOOKUP('Data 1'!$B122,'Data 2'!$A$1:$F$46,MATCH('Data 1'!I$1,'Data 2'!$A$1:$F$1,0),0)</f>
        <v>No.</v>
      </c>
      <c r="J122" s="39">
        <f>VLOOKUP('Data 1'!$B122,'Data 2'!$A$1:$F$46,MATCH('Data 1'!J$1,'Data 2'!$A$1:$F$1,0),0)</f>
        <v>37</v>
      </c>
      <c r="K122" s="39">
        <f>VLOOKUP('Data 1'!$B122,'Data 2'!$A$1:$F$46,MATCH('Data 1'!K$1,'Data 2'!$A$1:$F$1,0),0)</f>
        <v>41.81</v>
      </c>
      <c r="L122" s="40">
        <f>SUM('Data 1'!$J122*'Data 1'!$C122)</f>
        <v>407</v>
      </c>
      <c r="M122" s="40">
        <f>'Data 1'!$C122*'Data 1'!$K122</f>
        <v>459.91</v>
      </c>
      <c r="N122" s="40">
        <f>'Data 1'!$M122-'Data 1'!$L122</f>
        <v>52.910000000000025</v>
      </c>
      <c r="O122" s="37">
        <f>DAY('Data 1'!$A122)</f>
        <v>8</v>
      </c>
      <c r="P122" s="37" t="str">
        <f>TEXT('Data 1'!$A122,"mmm")</f>
        <v>Jun</v>
      </c>
      <c r="Q122" s="41">
        <f>YEAR('Data 1'!$A122)</f>
        <v>2021</v>
      </c>
    </row>
    <row r="123" spans="1:17" x14ac:dyDescent="0.3">
      <c r="A123" s="35">
        <v>44355</v>
      </c>
      <c r="B123" s="36" t="s">
        <v>22</v>
      </c>
      <c r="C123" s="37">
        <v>11</v>
      </c>
      <c r="D123" s="37" t="s">
        <v>16</v>
      </c>
      <c r="E123" s="37" t="s">
        <v>19</v>
      </c>
      <c r="F123" s="38">
        <v>0</v>
      </c>
      <c r="G123" s="42" t="str">
        <f>VLOOKUP('Data 1'!$B123,'Data 2'!$A$1:$F$46,MATCH('Data 1'!G$1,'Data 2'!$A$1:$F$1,0),0)</f>
        <v>Product04</v>
      </c>
      <c r="H123" s="42" t="str">
        <f>VLOOKUP('Data 1'!$B123,'Data 2'!$A$1:$F$46,MATCH('Data 1'!H$1,'Data 2'!$A$1:$F$1,0),0)</f>
        <v>Category01</v>
      </c>
      <c r="I123" s="42" t="str">
        <f>VLOOKUP('Data 1'!$B123,'Data 2'!$A$1:$F$46,MATCH('Data 1'!I$1,'Data 2'!$A$1:$F$1,0),0)</f>
        <v>Lt</v>
      </c>
      <c r="J123" s="42">
        <f>VLOOKUP('Data 1'!$B123,'Data 2'!$A$1:$F$46,MATCH('Data 1'!J$1,'Data 2'!$A$1:$F$1,0),0)</f>
        <v>44</v>
      </c>
      <c r="K123" s="42">
        <f>VLOOKUP('Data 1'!$B123,'Data 2'!$A$1:$F$46,MATCH('Data 1'!K$1,'Data 2'!$A$1:$F$1,0),0)</f>
        <v>48.84</v>
      </c>
      <c r="L123" s="40">
        <f>SUM('Data 1'!$J123*'Data 1'!$C123)</f>
        <v>484</v>
      </c>
      <c r="M123" s="40">
        <f>'Data 1'!$C123*'Data 1'!$K123</f>
        <v>537.24</v>
      </c>
      <c r="N123" s="40">
        <f>'Data 1'!$M123-'Data 1'!$L123</f>
        <v>53.240000000000009</v>
      </c>
      <c r="O123" s="37">
        <f>DAY('Data 1'!$A123)</f>
        <v>8</v>
      </c>
      <c r="P123" s="37" t="str">
        <f>TEXT('Data 1'!$A123,"mmm")</f>
        <v>Jun</v>
      </c>
      <c r="Q123" s="41">
        <f>YEAR('Data 1'!$A123)</f>
        <v>2021</v>
      </c>
    </row>
    <row r="124" spans="1:17" x14ac:dyDescent="0.3">
      <c r="A124" s="35">
        <v>44356</v>
      </c>
      <c r="B124" s="36" t="s">
        <v>35</v>
      </c>
      <c r="C124" s="37">
        <v>7</v>
      </c>
      <c r="D124" s="37" t="s">
        <v>21</v>
      </c>
      <c r="E124" s="37" t="s">
        <v>17</v>
      </c>
      <c r="F124" s="38">
        <v>0</v>
      </c>
      <c r="G124" s="39" t="str">
        <f>VLOOKUP('Data 1'!$B124,'Data 2'!$A$1:$F$46,MATCH('Data 1'!G$1,'Data 2'!$A$1:$F$1,0),0)</f>
        <v>Product01</v>
      </c>
      <c r="H124" s="39" t="str">
        <f>VLOOKUP('Data 1'!$B124,'Data 2'!$A$1:$F$46,MATCH('Data 1'!H$1,'Data 2'!$A$1:$F$1,0),0)</f>
        <v>Category01</v>
      </c>
      <c r="I124" s="39" t="str">
        <f>VLOOKUP('Data 1'!$B124,'Data 2'!$A$1:$F$46,MATCH('Data 1'!I$1,'Data 2'!$A$1:$F$1,0),0)</f>
        <v>Kg</v>
      </c>
      <c r="J124" s="39">
        <f>VLOOKUP('Data 1'!$B124,'Data 2'!$A$1:$F$46,MATCH('Data 1'!J$1,'Data 2'!$A$1:$F$1,0),0)</f>
        <v>98</v>
      </c>
      <c r="K124" s="39">
        <f>VLOOKUP('Data 1'!$B124,'Data 2'!$A$1:$F$46,MATCH('Data 1'!K$1,'Data 2'!$A$1:$F$1,0),0)</f>
        <v>103.88</v>
      </c>
      <c r="L124" s="40">
        <f>SUM('Data 1'!$J124*'Data 1'!$C124)</f>
        <v>686</v>
      </c>
      <c r="M124" s="40">
        <f>'Data 1'!$C124*'Data 1'!$K124</f>
        <v>727.16</v>
      </c>
      <c r="N124" s="40">
        <f>'Data 1'!$M124-'Data 1'!$L124</f>
        <v>41.159999999999968</v>
      </c>
      <c r="O124" s="37">
        <f>DAY('Data 1'!$A124)</f>
        <v>9</v>
      </c>
      <c r="P124" s="37" t="str">
        <f>TEXT('Data 1'!$A124,"mmm")</f>
        <v>Jun</v>
      </c>
      <c r="Q124" s="41">
        <f>YEAR('Data 1'!$A124)</f>
        <v>2021</v>
      </c>
    </row>
    <row r="125" spans="1:17" x14ac:dyDescent="0.3">
      <c r="A125" s="35">
        <v>44358</v>
      </c>
      <c r="B125" s="36" t="s">
        <v>37</v>
      </c>
      <c r="C125" s="37">
        <v>12</v>
      </c>
      <c r="D125" s="37" t="s">
        <v>16</v>
      </c>
      <c r="E125" s="37" t="s">
        <v>19</v>
      </c>
      <c r="F125" s="38">
        <v>0</v>
      </c>
      <c r="G125" s="42" t="str">
        <f>VLOOKUP('Data 1'!$B125,'Data 2'!$A$1:$F$46,MATCH('Data 1'!G$1,'Data 2'!$A$1:$F$1,0),0)</f>
        <v>Product32</v>
      </c>
      <c r="H125" s="42" t="str">
        <f>VLOOKUP('Data 1'!$B125,'Data 2'!$A$1:$F$46,MATCH('Data 1'!H$1,'Data 2'!$A$1:$F$1,0),0)</f>
        <v>Category04</v>
      </c>
      <c r="I125" s="42" t="str">
        <f>VLOOKUP('Data 1'!$B125,'Data 2'!$A$1:$F$46,MATCH('Data 1'!I$1,'Data 2'!$A$1:$F$1,0),0)</f>
        <v>Kg</v>
      </c>
      <c r="J125" s="42">
        <f>VLOOKUP('Data 1'!$B125,'Data 2'!$A$1:$F$46,MATCH('Data 1'!J$1,'Data 2'!$A$1:$F$1,0),0)</f>
        <v>89</v>
      </c>
      <c r="K125" s="42">
        <f>VLOOKUP('Data 1'!$B125,'Data 2'!$A$1:$F$46,MATCH('Data 1'!K$1,'Data 2'!$A$1:$F$1,0),0)</f>
        <v>117.48</v>
      </c>
      <c r="L125" s="40">
        <f>SUM('Data 1'!$J125*'Data 1'!$C125)</f>
        <v>1068</v>
      </c>
      <c r="M125" s="40">
        <f>'Data 1'!$C125*'Data 1'!$K125</f>
        <v>1409.76</v>
      </c>
      <c r="N125" s="40">
        <f>'Data 1'!$M125-'Data 1'!$L125</f>
        <v>341.76</v>
      </c>
      <c r="O125" s="37">
        <f>DAY('Data 1'!$A125)</f>
        <v>11</v>
      </c>
      <c r="P125" s="37" t="str">
        <f>TEXT('Data 1'!$A125,"mmm")</f>
        <v>Jun</v>
      </c>
      <c r="Q125" s="41">
        <f>YEAR('Data 1'!$A125)</f>
        <v>2021</v>
      </c>
    </row>
    <row r="126" spans="1:17" x14ac:dyDescent="0.3">
      <c r="A126" s="35">
        <v>44359</v>
      </c>
      <c r="B126" s="36" t="s">
        <v>60</v>
      </c>
      <c r="C126" s="37">
        <v>6</v>
      </c>
      <c r="D126" s="37" t="s">
        <v>21</v>
      </c>
      <c r="E126" s="37" t="s">
        <v>17</v>
      </c>
      <c r="F126" s="38">
        <v>0</v>
      </c>
      <c r="G126" s="39" t="str">
        <f>VLOOKUP('Data 1'!$B126,'Data 2'!$A$1:$F$46,MATCH('Data 1'!G$1,'Data 2'!$A$1:$F$1,0),0)</f>
        <v>Product41</v>
      </c>
      <c r="H126" s="39" t="str">
        <f>VLOOKUP('Data 1'!$B126,'Data 2'!$A$1:$F$46,MATCH('Data 1'!H$1,'Data 2'!$A$1:$F$1,0),0)</f>
        <v>Category05</v>
      </c>
      <c r="I126" s="39" t="str">
        <f>VLOOKUP('Data 1'!$B126,'Data 2'!$A$1:$F$46,MATCH('Data 1'!I$1,'Data 2'!$A$1:$F$1,0),0)</f>
        <v>Ft</v>
      </c>
      <c r="J126" s="39">
        <f>VLOOKUP('Data 1'!$B126,'Data 2'!$A$1:$F$46,MATCH('Data 1'!J$1,'Data 2'!$A$1:$F$1,0),0)</f>
        <v>138</v>
      </c>
      <c r="K126" s="39">
        <f>VLOOKUP('Data 1'!$B126,'Data 2'!$A$1:$F$46,MATCH('Data 1'!K$1,'Data 2'!$A$1:$F$1,0),0)</f>
        <v>173.88</v>
      </c>
      <c r="L126" s="40">
        <f>SUM('Data 1'!$J126*'Data 1'!$C126)</f>
        <v>828</v>
      </c>
      <c r="M126" s="40">
        <f>'Data 1'!$C126*'Data 1'!$K126</f>
        <v>1043.28</v>
      </c>
      <c r="N126" s="40">
        <f>'Data 1'!$M126-'Data 1'!$L126</f>
        <v>215.27999999999997</v>
      </c>
      <c r="O126" s="37">
        <f>DAY('Data 1'!$A126)</f>
        <v>12</v>
      </c>
      <c r="P126" s="37" t="str">
        <f>TEXT('Data 1'!$A126,"mmm")</f>
        <v>Jun</v>
      </c>
      <c r="Q126" s="41">
        <f>YEAR('Data 1'!$A126)</f>
        <v>2021</v>
      </c>
    </row>
    <row r="127" spans="1:17" x14ac:dyDescent="0.3">
      <c r="A127" s="35">
        <v>44361</v>
      </c>
      <c r="B127" s="36" t="s">
        <v>26</v>
      </c>
      <c r="C127" s="37">
        <v>10</v>
      </c>
      <c r="D127" s="37" t="s">
        <v>17</v>
      </c>
      <c r="E127" s="37" t="s">
        <v>19</v>
      </c>
      <c r="F127" s="38">
        <v>0</v>
      </c>
      <c r="G127" s="42" t="str">
        <f>VLOOKUP('Data 1'!$B127,'Data 2'!$A$1:$F$46,MATCH('Data 1'!G$1,'Data 2'!$A$1:$F$1,0),0)</f>
        <v>Product25</v>
      </c>
      <c r="H127" s="42" t="str">
        <f>VLOOKUP('Data 1'!$B127,'Data 2'!$A$1:$F$46,MATCH('Data 1'!H$1,'Data 2'!$A$1:$F$1,0),0)</f>
        <v>Category03</v>
      </c>
      <c r="I127" s="42" t="str">
        <f>VLOOKUP('Data 1'!$B127,'Data 2'!$A$1:$F$46,MATCH('Data 1'!I$1,'Data 2'!$A$1:$F$1,0),0)</f>
        <v>No.</v>
      </c>
      <c r="J127" s="42">
        <f>VLOOKUP('Data 1'!$B127,'Data 2'!$A$1:$F$46,MATCH('Data 1'!J$1,'Data 2'!$A$1:$F$1,0),0)</f>
        <v>7</v>
      </c>
      <c r="K127" s="42">
        <f>VLOOKUP('Data 1'!$B127,'Data 2'!$A$1:$F$46,MATCH('Data 1'!K$1,'Data 2'!$A$1:$F$1,0),0)</f>
        <v>8.33</v>
      </c>
      <c r="L127" s="40">
        <f>SUM('Data 1'!$J127*'Data 1'!$C127)</f>
        <v>70</v>
      </c>
      <c r="M127" s="40">
        <f>'Data 1'!$C127*'Data 1'!$K127</f>
        <v>83.3</v>
      </c>
      <c r="N127" s="40">
        <f>'Data 1'!$M127-'Data 1'!$L127</f>
        <v>13.299999999999997</v>
      </c>
      <c r="O127" s="37">
        <f>DAY('Data 1'!$A127)</f>
        <v>14</v>
      </c>
      <c r="P127" s="37" t="str">
        <f>TEXT('Data 1'!$A127,"mmm")</f>
        <v>Jun</v>
      </c>
      <c r="Q127" s="41">
        <f>YEAR('Data 1'!$A127)</f>
        <v>2021</v>
      </c>
    </row>
    <row r="128" spans="1:17" x14ac:dyDescent="0.3">
      <c r="A128" s="35">
        <v>44363</v>
      </c>
      <c r="B128" s="36" t="s">
        <v>59</v>
      </c>
      <c r="C128" s="37">
        <v>5</v>
      </c>
      <c r="D128" s="37" t="s">
        <v>16</v>
      </c>
      <c r="E128" s="37" t="s">
        <v>19</v>
      </c>
      <c r="F128" s="38">
        <v>0</v>
      </c>
      <c r="G128" s="39" t="str">
        <f>VLOOKUP('Data 1'!$B128,'Data 2'!$A$1:$F$46,MATCH('Data 1'!G$1,'Data 2'!$A$1:$F$1,0),0)</f>
        <v>Product19</v>
      </c>
      <c r="H128" s="39" t="str">
        <f>VLOOKUP('Data 1'!$B128,'Data 2'!$A$1:$F$46,MATCH('Data 1'!H$1,'Data 2'!$A$1:$F$1,0),0)</f>
        <v>Category02</v>
      </c>
      <c r="I128" s="39" t="str">
        <f>VLOOKUP('Data 1'!$B128,'Data 2'!$A$1:$F$46,MATCH('Data 1'!I$1,'Data 2'!$A$1:$F$1,0),0)</f>
        <v>Ft</v>
      </c>
      <c r="J128" s="39">
        <f>VLOOKUP('Data 1'!$B128,'Data 2'!$A$1:$F$46,MATCH('Data 1'!J$1,'Data 2'!$A$1:$F$1,0),0)</f>
        <v>150</v>
      </c>
      <c r="K128" s="39">
        <f>VLOOKUP('Data 1'!$B128,'Data 2'!$A$1:$F$46,MATCH('Data 1'!K$1,'Data 2'!$A$1:$F$1,0),0)</f>
        <v>210</v>
      </c>
      <c r="L128" s="40">
        <f>SUM('Data 1'!$J128*'Data 1'!$C128)</f>
        <v>750</v>
      </c>
      <c r="M128" s="40">
        <f>'Data 1'!$C128*'Data 1'!$K128</f>
        <v>1050</v>
      </c>
      <c r="N128" s="40">
        <f>'Data 1'!$M128-'Data 1'!$L128</f>
        <v>300</v>
      </c>
      <c r="O128" s="37">
        <f>DAY('Data 1'!$A128)</f>
        <v>16</v>
      </c>
      <c r="P128" s="37" t="str">
        <f>TEXT('Data 1'!$A128,"mmm")</f>
        <v>Jun</v>
      </c>
      <c r="Q128" s="41">
        <f>YEAR('Data 1'!$A128)</f>
        <v>2021</v>
      </c>
    </row>
    <row r="129" spans="1:17" x14ac:dyDescent="0.3">
      <c r="A129" s="35">
        <v>44363</v>
      </c>
      <c r="B129" s="36" t="s">
        <v>46</v>
      </c>
      <c r="C129" s="37">
        <v>12</v>
      </c>
      <c r="D129" s="37" t="s">
        <v>17</v>
      </c>
      <c r="E129" s="37" t="s">
        <v>19</v>
      </c>
      <c r="F129" s="38">
        <v>0</v>
      </c>
      <c r="G129" s="42" t="str">
        <f>VLOOKUP('Data 1'!$B129,'Data 2'!$A$1:$F$46,MATCH('Data 1'!G$1,'Data 2'!$A$1:$F$1,0),0)</f>
        <v>Product15</v>
      </c>
      <c r="H129" s="42" t="str">
        <f>VLOOKUP('Data 1'!$B129,'Data 2'!$A$1:$F$46,MATCH('Data 1'!H$1,'Data 2'!$A$1:$F$1,0),0)</f>
        <v>Category02</v>
      </c>
      <c r="I129" s="42" t="str">
        <f>VLOOKUP('Data 1'!$B129,'Data 2'!$A$1:$F$46,MATCH('Data 1'!I$1,'Data 2'!$A$1:$F$1,0),0)</f>
        <v>No.</v>
      </c>
      <c r="J129" s="42">
        <f>VLOOKUP('Data 1'!$B129,'Data 2'!$A$1:$F$46,MATCH('Data 1'!J$1,'Data 2'!$A$1:$F$1,0),0)</f>
        <v>12</v>
      </c>
      <c r="K129" s="42">
        <f>VLOOKUP('Data 1'!$B129,'Data 2'!$A$1:$F$46,MATCH('Data 1'!K$1,'Data 2'!$A$1:$F$1,0),0)</f>
        <v>15.719999999999999</v>
      </c>
      <c r="L129" s="40">
        <f>SUM('Data 1'!$J129*'Data 1'!$C129)</f>
        <v>144</v>
      </c>
      <c r="M129" s="40">
        <f>'Data 1'!$C129*'Data 1'!$K129</f>
        <v>188.64</v>
      </c>
      <c r="N129" s="40">
        <f>'Data 1'!$M129-'Data 1'!$L129</f>
        <v>44.639999999999986</v>
      </c>
      <c r="O129" s="37">
        <f>DAY('Data 1'!$A129)</f>
        <v>16</v>
      </c>
      <c r="P129" s="37" t="str">
        <f>TEXT('Data 1'!$A129,"mmm")</f>
        <v>Jun</v>
      </c>
      <c r="Q129" s="41">
        <f>YEAR('Data 1'!$A129)</f>
        <v>2021</v>
      </c>
    </row>
    <row r="130" spans="1:17" x14ac:dyDescent="0.3">
      <c r="A130" s="35">
        <v>44363</v>
      </c>
      <c r="B130" s="36" t="s">
        <v>53</v>
      </c>
      <c r="C130" s="37">
        <v>11</v>
      </c>
      <c r="D130" s="37" t="s">
        <v>21</v>
      </c>
      <c r="E130" s="37" t="s">
        <v>19</v>
      </c>
      <c r="F130" s="38">
        <v>0</v>
      </c>
      <c r="G130" s="39" t="str">
        <f>VLOOKUP('Data 1'!$B130,'Data 2'!$A$1:$F$46,MATCH('Data 1'!G$1,'Data 2'!$A$1:$F$1,0),0)</f>
        <v>Product39</v>
      </c>
      <c r="H130" s="39" t="str">
        <f>VLOOKUP('Data 1'!$B130,'Data 2'!$A$1:$F$46,MATCH('Data 1'!H$1,'Data 2'!$A$1:$F$1,0),0)</f>
        <v>Category05</v>
      </c>
      <c r="I130" s="39" t="str">
        <f>VLOOKUP('Data 1'!$B130,'Data 2'!$A$1:$F$46,MATCH('Data 1'!I$1,'Data 2'!$A$1:$F$1,0),0)</f>
        <v>No.</v>
      </c>
      <c r="J130" s="39">
        <f>VLOOKUP('Data 1'!$B130,'Data 2'!$A$1:$F$46,MATCH('Data 1'!J$1,'Data 2'!$A$1:$F$1,0),0)</f>
        <v>37</v>
      </c>
      <c r="K130" s="39">
        <f>VLOOKUP('Data 1'!$B130,'Data 2'!$A$1:$F$46,MATCH('Data 1'!K$1,'Data 2'!$A$1:$F$1,0),0)</f>
        <v>42.55</v>
      </c>
      <c r="L130" s="40">
        <f>SUM('Data 1'!$J130*'Data 1'!$C130)</f>
        <v>407</v>
      </c>
      <c r="M130" s="40">
        <f>'Data 1'!$C130*'Data 1'!$K130</f>
        <v>468.04999999999995</v>
      </c>
      <c r="N130" s="40">
        <f>'Data 1'!$M130-'Data 1'!$L130</f>
        <v>61.049999999999955</v>
      </c>
      <c r="O130" s="37">
        <f>DAY('Data 1'!$A130)</f>
        <v>16</v>
      </c>
      <c r="P130" s="37" t="str">
        <f>TEXT('Data 1'!$A130,"mmm")</f>
        <v>Jun</v>
      </c>
      <c r="Q130" s="41">
        <f>YEAR('Data 1'!$A130)</f>
        <v>2021</v>
      </c>
    </row>
    <row r="131" spans="1:17" x14ac:dyDescent="0.3">
      <c r="A131" s="35">
        <v>44365</v>
      </c>
      <c r="B131" s="36" t="s">
        <v>26</v>
      </c>
      <c r="C131" s="37">
        <v>13</v>
      </c>
      <c r="D131" s="37" t="s">
        <v>21</v>
      </c>
      <c r="E131" s="37" t="s">
        <v>19</v>
      </c>
      <c r="F131" s="38">
        <v>0</v>
      </c>
      <c r="G131" s="42" t="str">
        <f>VLOOKUP('Data 1'!$B131,'Data 2'!$A$1:$F$46,MATCH('Data 1'!G$1,'Data 2'!$A$1:$F$1,0),0)</f>
        <v>Product25</v>
      </c>
      <c r="H131" s="42" t="str">
        <f>VLOOKUP('Data 1'!$B131,'Data 2'!$A$1:$F$46,MATCH('Data 1'!H$1,'Data 2'!$A$1:$F$1,0),0)</f>
        <v>Category03</v>
      </c>
      <c r="I131" s="42" t="str">
        <f>VLOOKUP('Data 1'!$B131,'Data 2'!$A$1:$F$46,MATCH('Data 1'!I$1,'Data 2'!$A$1:$F$1,0),0)</f>
        <v>No.</v>
      </c>
      <c r="J131" s="42">
        <f>VLOOKUP('Data 1'!$B131,'Data 2'!$A$1:$F$46,MATCH('Data 1'!J$1,'Data 2'!$A$1:$F$1,0),0)</f>
        <v>7</v>
      </c>
      <c r="K131" s="42">
        <f>VLOOKUP('Data 1'!$B131,'Data 2'!$A$1:$F$46,MATCH('Data 1'!K$1,'Data 2'!$A$1:$F$1,0),0)</f>
        <v>8.33</v>
      </c>
      <c r="L131" s="40">
        <f>SUM('Data 1'!$J131*'Data 1'!$C131)</f>
        <v>91</v>
      </c>
      <c r="M131" s="40">
        <f>'Data 1'!$C131*'Data 1'!$K131</f>
        <v>108.29</v>
      </c>
      <c r="N131" s="40">
        <f>'Data 1'!$M131-'Data 1'!$L131</f>
        <v>17.290000000000006</v>
      </c>
      <c r="O131" s="37">
        <f>DAY('Data 1'!$A131)</f>
        <v>18</v>
      </c>
      <c r="P131" s="37" t="str">
        <f>TEXT('Data 1'!$A131,"mmm")</f>
        <v>Jun</v>
      </c>
      <c r="Q131" s="41">
        <f>YEAR('Data 1'!$A131)</f>
        <v>2021</v>
      </c>
    </row>
    <row r="132" spans="1:17" x14ac:dyDescent="0.3">
      <c r="A132" s="35">
        <v>44366</v>
      </c>
      <c r="B132" s="36" t="s">
        <v>60</v>
      </c>
      <c r="C132" s="37">
        <v>5</v>
      </c>
      <c r="D132" s="37" t="s">
        <v>21</v>
      </c>
      <c r="E132" s="37" t="s">
        <v>17</v>
      </c>
      <c r="F132" s="38">
        <v>0</v>
      </c>
      <c r="G132" s="39" t="str">
        <f>VLOOKUP('Data 1'!$B132,'Data 2'!$A$1:$F$46,MATCH('Data 1'!G$1,'Data 2'!$A$1:$F$1,0),0)</f>
        <v>Product41</v>
      </c>
      <c r="H132" s="39" t="str">
        <f>VLOOKUP('Data 1'!$B132,'Data 2'!$A$1:$F$46,MATCH('Data 1'!H$1,'Data 2'!$A$1:$F$1,0),0)</f>
        <v>Category05</v>
      </c>
      <c r="I132" s="39" t="str">
        <f>VLOOKUP('Data 1'!$B132,'Data 2'!$A$1:$F$46,MATCH('Data 1'!I$1,'Data 2'!$A$1:$F$1,0),0)</f>
        <v>Ft</v>
      </c>
      <c r="J132" s="39">
        <f>VLOOKUP('Data 1'!$B132,'Data 2'!$A$1:$F$46,MATCH('Data 1'!J$1,'Data 2'!$A$1:$F$1,0),0)</f>
        <v>138</v>
      </c>
      <c r="K132" s="39">
        <f>VLOOKUP('Data 1'!$B132,'Data 2'!$A$1:$F$46,MATCH('Data 1'!K$1,'Data 2'!$A$1:$F$1,0),0)</f>
        <v>173.88</v>
      </c>
      <c r="L132" s="40">
        <f>SUM('Data 1'!$J132*'Data 1'!$C132)</f>
        <v>690</v>
      </c>
      <c r="M132" s="40">
        <f>'Data 1'!$C132*'Data 1'!$K132</f>
        <v>869.4</v>
      </c>
      <c r="N132" s="40">
        <f>'Data 1'!$M132-'Data 1'!$L132</f>
        <v>179.39999999999998</v>
      </c>
      <c r="O132" s="37">
        <f>DAY('Data 1'!$A132)</f>
        <v>19</v>
      </c>
      <c r="P132" s="37" t="str">
        <f>TEXT('Data 1'!$A132,"mmm")</f>
        <v>Jun</v>
      </c>
      <c r="Q132" s="41">
        <f>YEAR('Data 1'!$A132)</f>
        <v>2021</v>
      </c>
    </row>
    <row r="133" spans="1:17" x14ac:dyDescent="0.3">
      <c r="A133" s="35">
        <v>44367</v>
      </c>
      <c r="B133" s="36" t="s">
        <v>40</v>
      </c>
      <c r="C133" s="37">
        <v>1</v>
      </c>
      <c r="D133" s="37" t="s">
        <v>16</v>
      </c>
      <c r="E133" s="37" t="s">
        <v>19</v>
      </c>
      <c r="F133" s="38">
        <v>0</v>
      </c>
      <c r="G133" s="42" t="str">
        <f>VLOOKUP('Data 1'!$B133,'Data 2'!$A$1:$F$46,MATCH('Data 1'!G$1,'Data 2'!$A$1:$F$1,0),0)</f>
        <v>Product16</v>
      </c>
      <c r="H133" s="42" t="str">
        <f>VLOOKUP('Data 1'!$B133,'Data 2'!$A$1:$F$46,MATCH('Data 1'!H$1,'Data 2'!$A$1:$F$1,0),0)</f>
        <v>Category02</v>
      </c>
      <c r="I133" s="42" t="str">
        <f>VLOOKUP('Data 1'!$B133,'Data 2'!$A$1:$F$46,MATCH('Data 1'!I$1,'Data 2'!$A$1:$F$1,0),0)</f>
        <v>No.</v>
      </c>
      <c r="J133" s="42">
        <f>VLOOKUP('Data 1'!$B133,'Data 2'!$A$1:$F$46,MATCH('Data 1'!J$1,'Data 2'!$A$1:$F$1,0),0)</f>
        <v>13</v>
      </c>
      <c r="K133" s="42">
        <f>VLOOKUP('Data 1'!$B133,'Data 2'!$A$1:$F$46,MATCH('Data 1'!K$1,'Data 2'!$A$1:$F$1,0),0)</f>
        <v>16.64</v>
      </c>
      <c r="L133" s="40">
        <f>SUM('Data 1'!$J133*'Data 1'!$C133)</f>
        <v>13</v>
      </c>
      <c r="M133" s="40">
        <f>'Data 1'!$C133*'Data 1'!$K133</f>
        <v>16.64</v>
      </c>
      <c r="N133" s="40">
        <f>'Data 1'!$M133-'Data 1'!$L133</f>
        <v>3.6400000000000006</v>
      </c>
      <c r="O133" s="37">
        <f>DAY('Data 1'!$A133)</f>
        <v>20</v>
      </c>
      <c r="P133" s="37" t="str">
        <f>TEXT('Data 1'!$A133,"mmm")</f>
        <v>Jun</v>
      </c>
      <c r="Q133" s="41">
        <f>YEAR('Data 1'!$A133)</f>
        <v>2021</v>
      </c>
    </row>
    <row r="134" spans="1:17" x14ac:dyDescent="0.3">
      <c r="A134" s="35">
        <v>44370</v>
      </c>
      <c r="B134" s="36" t="s">
        <v>40</v>
      </c>
      <c r="C134" s="37">
        <v>4</v>
      </c>
      <c r="D134" s="37" t="s">
        <v>21</v>
      </c>
      <c r="E134" s="37" t="s">
        <v>17</v>
      </c>
      <c r="F134" s="38">
        <v>0</v>
      </c>
      <c r="G134" s="39" t="str">
        <f>VLOOKUP('Data 1'!$B134,'Data 2'!$A$1:$F$46,MATCH('Data 1'!G$1,'Data 2'!$A$1:$F$1,0),0)</f>
        <v>Product16</v>
      </c>
      <c r="H134" s="39" t="str">
        <f>VLOOKUP('Data 1'!$B134,'Data 2'!$A$1:$F$46,MATCH('Data 1'!H$1,'Data 2'!$A$1:$F$1,0),0)</f>
        <v>Category02</v>
      </c>
      <c r="I134" s="39" t="str">
        <f>VLOOKUP('Data 1'!$B134,'Data 2'!$A$1:$F$46,MATCH('Data 1'!I$1,'Data 2'!$A$1:$F$1,0),0)</f>
        <v>No.</v>
      </c>
      <c r="J134" s="39">
        <f>VLOOKUP('Data 1'!$B134,'Data 2'!$A$1:$F$46,MATCH('Data 1'!J$1,'Data 2'!$A$1:$F$1,0),0)</f>
        <v>13</v>
      </c>
      <c r="K134" s="39">
        <f>VLOOKUP('Data 1'!$B134,'Data 2'!$A$1:$F$46,MATCH('Data 1'!K$1,'Data 2'!$A$1:$F$1,0),0)</f>
        <v>16.64</v>
      </c>
      <c r="L134" s="40">
        <f>SUM('Data 1'!$J134*'Data 1'!$C134)</f>
        <v>52</v>
      </c>
      <c r="M134" s="40">
        <f>'Data 1'!$C134*'Data 1'!$K134</f>
        <v>66.56</v>
      </c>
      <c r="N134" s="40">
        <f>'Data 1'!$M134-'Data 1'!$L134</f>
        <v>14.560000000000002</v>
      </c>
      <c r="O134" s="37">
        <f>DAY('Data 1'!$A134)</f>
        <v>23</v>
      </c>
      <c r="P134" s="37" t="str">
        <f>TEXT('Data 1'!$A134,"mmm")</f>
        <v>Jun</v>
      </c>
      <c r="Q134" s="41">
        <f>YEAR('Data 1'!$A134)</f>
        <v>2021</v>
      </c>
    </row>
    <row r="135" spans="1:17" x14ac:dyDescent="0.3">
      <c r="A135" s="35">
        <v>44371</v>
      </c>
      <c r="B135" s="36" t="s">
        <v>50</v>
      </c>
      <c r="C135" s="37">
        <v>13</v>
      </c>
      <c r="D135" s="37" t="s">
        <v>21</v>
      </c>
      <c r="E135" s="37" t="s">
        <v>17</v>
      </c>
      <c r="F135" s="38">
        <v>0</v>
      </c>
      <c r="G135" s="42" t="str">
        <f>VLOOKUP('Data 1'!$B135,'Data 2'!$A$1:$F$46,MATCH('Data 1'!G$1,'Data 2'!$A$1:$F$1,0),0)</f>
        <v>Product11</v>
      </c>
      <c r="H135" s="42" t="str">
        <f>VLOOKUP('Data 1'!$B135,'Data 2'!$A$1:$F$46,MATCH('Data 1'!H$1,'Data 2'!$A$1:$F$1,0),0)</f>
        <v>Category02</v>
      </c>
      <c r="I135" s="42" t="str">
        <f>VLOOKUP('Data 1'!$B135,'Data 2'!$A$1:$F$46,MATCH('Data 1'!I$1,'Data 2'!$A$1:$F$1,0),0)</f>
        <v>Lt</v>
      </c>
      <c r="J135" s="42">
        <f>VLOOKUP('Data 1'!$B135,'Data 2'!$A$1:$F$46,MATCH('Data 1'!J$1,'Data 2'!$A$1:$F$1,0),0)</f>
        <v>44</v>
      </c>
      <c r="K135" s="42">
        <f>VLOOKUP('Data 1'!$B135,'Data 2'!$A$1:$F$46,MATCH('Data 1'!K$1,'Data 2'!$A$1:$F$1,0),0)</f>
        <v>48.4</v>
      </c>
      <c r="L135" s="40">
        <f>SUM('Data 1'!$J135*'Data 1'!$C135)</f>
        <v>572</v>
      </c>
      <c r="M135" s="40">
        <f>'Data 1'!$C135*'Data 1'!$K135</f>
        <v>629.19999999999993</v>
      </c>
      <c r="N135" s="40">
        <f>'Data 1'!$M135-'Data 1'!$L135</f>
        <v>57.199999999999932</v>
      </c>
      <c r="O135" s="37">
        <f>DAY('Data 1'!$A135)</f>
        <v>24</v>
      </c>
      <c r="P135" s="37" t="str">
        <f>TEXT('Data 1'!$A135,"mmm")</f>
        <v>Jun</v>
      </c>
      <c r="Q135" s="41">
        <f>YEAR('Data 1'!$A135)</f>
        <v>2021</v>
      </c>
    </row>
    <row r="136" spans="1:17" x14ac:dyDescent="0.3">
      <c r="A136" s="35">
        <v>44373</v>
      </c>
      <c r="B136" s="36" t="s">
        <v>56</v>
      </c>
      <c r="C136" s="37">
        <v>7</v>
      </c>
      <c r="D136" s="37" t="s">
        <v>17</v>
      </c>
      <c r="E136" s="37" t="s">
        <v>17</v>
      </c>
      <c r="F136" s="38">
        <v>0</v>
      </c>
      <c r="G136" s="39" t="str">
        <f>VLOOKUP('Data 1'!$B136,'Data 2'!$A$1:$F$46,MATCH('Data 1'!G$1,'Data 2'!$A$1:$F$1,0),0)</f>
        <v>Product09</v>
      </c>
      <c r="H136" s="39" t="str">
        <f>VLOOKUP('Data 1'!$B136,'Data 2'!$A$1:$F$46,MATCH('Data 1'!H$1,'Data 2'!$A$1:$F$1,0),0)</f>
        <v>Category03</v>
      </c>
      <c r="I136" s="39" t="str">
        <f>VLOOKUP('Data 1'!$B136,'Data 2'!$A$1:$F$46,MATCH('Data 1'!I$1,'Data 2'!$A$1:$F$1,0),0)</f>
        <v>No.</v>
      </c>
      <c r="J136" s="39">
        <f>VLOOKUP('Data 1'!$B136,'Data 2'!$A$1:$F$46,MATCH('Data 1'!J$1,'Data 2'!$A$1:$F$1,0),0)</f>
        <v>6</v>
      </c>
      <c r="K136" s="39">
        <f>VLOOKUP('Data 1'!$B136,'Data 2'!$A$1:$F$46,MATCH('Data 1'!K$1,'Data 2'!$A$1:$F$1,0),0)</f>
        <v>7.8599999999999994</v>
      </c>
      <c r="L136" s="40">
        <f>SUM('Data 1'!$J136*'Data 1'!$C136)</f>
        <v>42</v>
      </c>
      <c r="M136" s="40">
        <f>'Data 1'!$C136*'Data 1'!$K136</f>
        <v>55.019999999999996</v>
      </c>
      <c r="N136" s="40">
        <f>'Data 1'!$M136-'Data 1'!$L136</f>
        <v>13.019999999999996</v>
      </c>
      <c r="O136" s="37">
        <f>DAY('Data 1'!$A136)</f>
        <v>26</v>
      </c>
      <c r="P136" s="37" t="str">
        <f>TEXT('Data 1'!$A136,"mmm")</f>
        <v>Jun</v>
      </c>
      <c r="Q136" s="41">
        <f>YEAR('Data 1'!$A136)</f>
        <v>2021</v>
      </c>
    </row>
    <row r="137" spans="1:17" x14ac:dyDescent="0.3">
      <c r="A137" s="35">
        <v>44374</v>
      </c>
      <c r="B137" s="36" t="s">
        <v>43</v>
      </c>
      <c r="C137" s="37">
        <v>11</v>
      </c>
      <c r="D137" s="37" t="s">
        <v>21</v>
      </c>
      <c r="E137" s="37" t="s">
        <v>19</v>
      </c>
      <c r="F137" s="38">
        <v>0</v>
      </c>
      <c r="G137" s="42" t="str">
        <f>VLOOKUP('Data 1'!$B137,'Data 2'!$A$1:$F$46,MATCH('Data 1'!G$1,'Data 2'!$A$1:$F$1,0),0)</f>
        <v>Product05</v>
      </c>
      <c r="H137" s="42" t="str">
        <f>VLOOKUP('Data 1'!$B137,'Data 2'!$A$1:$F$46,MATCH('Data 1'!H$1,'Data 2'!$A$1:$F$1,0),0)</f>
        <v>Category01</v>
      </c>
      <c r="I137" s="42" t="str">
        <f>VLOOKUP('Data 1'!$B137,'Data 2'!$A$1:$F$46,MATCH('Data 1'!I$1,'Data 2'!$A$1:$F$1,0),0)</f>
        <v>Ft</v>
      </c>
      <c r="J137" s="42">
        <f>VLOOKUP('Data 1'!$B137,'Data 2'!$A$1:$F$46,MATCH('Data 1'!J$1,'Data 2'!$A$1:$F$1,0),0)</f>
        <v>133</v>
      </c>
      <c r="K137" s="42">
        <f>VLOOKUP('Data 1'!$B137,'Data 2'!$A$1:$F$46,MATCH('Data 1'!K$1,'Data 2'!$A$1:$F$1,0),0)</f>
        <v>155.61000000000001</v>
      </c>
      <c r="L137" s="40">
        <f>SUM('Data 1'!$J137*'Data 1'!$C137)</f>
        <v>1463</v>
      </c>
      <c r="M137" s="40">
        <f>'Data 1'!$C137*'Data 1'!$K137</f>
        <v>1711.71</v>
      </c>
      <c r="N137" s="40">
        <f>'Data 1'!$M137-'Data 1'!$L137</f>
        <v>248.71000000000004</v>
      </c>
      <c r="O137" s="37">
        <f>DAY('Data 1'!$A137)</f>
        <v>27</v>
      </c>
      <c r="P137" s="37" t="str">
        <f>TEXT('Data 1'!$A137,"mmm")</f>
        <v>Jun</v>
      </c>
      <c r="Q137" s="41">
        <f>YEAR('Data 1'!$A137)</f>
        <v>2021</v>
      </c>
    </row>
    <row r="138" spans="1:17" x14ac:dyDescent="0.3">
      <c r="A138" s="35">
        <v>44375</v>
      </c>
      <c r="B138" s="36" t="s">
        <v>51</v>
      </c>
      <c r="C138" s="37">
        <v>2</v>
      </c>
      <c r="D138" s="37" t="s">
        <v>17</v>
      </c>
      <c r="E138" s="37" t="s">
        <v>19</v>
      </c>
      <c r="F138" s="38">
        <v>0</v>
      </c>
      <c r="G138" s="39" t="str">
        <f>VLOOKUP('Data 1'!$B138,'Data 2'!$A$1:$F$46,MATCH('Data 1'!G$1,'Data 2'!$A$1:$F$1,0),0)</f>
        <v>Product21</v>
      </c>
      <c r="H138" s="39" t="str">
        <f>VLOOKUP('Data 1'!$B138,'Data 2'!$A$1:$F$46,MATCH('Data 1'!H$1,'Data 2'!$A$1:$F$1,0),0)</f>
        <v>Category03</v>
      </c>
      <c r="I138" s="39" t="str">
        <f>VLOOKUP('Data 1'!$B138,'Data 2'!$A$1:$F$46,MATCH('Data 1'!I$1,'Data 2'!$A$1:$F$1,0),0)</f>
        <v>Ft</v>
      </c>
      <c r="J138" s="39">
        <f>VLOOKUP('Data 1'!$B138,'Data 2'!$A$1:$F$46,MATCH('Data 1'!J$1,'Data 2'!$A$1:$F$1,0),0)</f>
        <v>126</v>
      </c>
      <c r="K138" s="39">
        <f>VLOOKUP('Data 1'!$B138,'Data 2'!$A$1:$F$46,MATCH('Data 1'!K$1,'Data 2'!$A$1:$F$1,0),0)</f>
        <v>162.54</v>
      </c>
      <c r="L138" s="40">
        <f>SUM('Data 1'!$J138*'Data 1'!$C138)</f>
        <v>252</v>
      </c>
      <c r="M138" s="40">
        <f>'Data 1'!$C138*'Data 1'!$K138</f>
        <v>325.08</v>
      </c>
      <c r="N138" s="40">
        <f>'Data 1'!$M138-'Data 1'!$L138</f>
        <v>73.079999999999984</v>
      </c>
      <c r="O138" s="37">
        <f>DAY('Data 1'!$A138)</f>
        <v>28</v>
      </c>
      <c r="P138" s="37" t="str">
        <f>TEXT('Data 1'!$A138,"mmm")</f>
        <v>Jun</v>
      </c>
      <c r="Q138" s="41">
        <f>YEAR('Data 1'!$A138)</f>
        <v>2021</v>
      </c>
    </row>
    <row r="139" spans="1:17" x14ac:dyDescent="0.3">
      <c r="A139" s="35">
        <v>44375</v>
      </c>
      <c r="B139" s="36" t="s">
        <v>23</v>
      </c>
      <c r="C139" s="37">
        <v>7</v>
      </c>
      <c r="D139" s="37" t="s">
        <v>17</v>
      </c>
      <c r="E139" s="37" t="s">
        <v>17</v>
      </c>
      <c r="F139" s="38">
        <v>0</v>
      </c>
      <c r="G139" s="42" t="str">
        <f>VLOOKUP('Data 1'!$B139,'Data 2'!$A$1:$F$46,MATCH('Data 1'!G$1,'Data 2'!$A$1:$F$1,0),0)</f>
        <v>Product35</v>
      </c>
      <c r="H139" s="42" t="str">
        <f>VLOOKUP('Data 1'!$B139,'Data 2'!$A$1:$F$46,MATCH('Data 1'!H$1,'Data 2'!$A$1:$F$1,0),0)</f>
        <v>Category04</v>
      </c>
      <c r="I139" s="42" t="str">
        <f>VLOOKUP('Data 1'!$B139,'Data 2'!$A$1:$F$46,MATCH('Data 1'!I$1,'Data 2'!$A$1:$F$1,0),0)</f>
        <v>No.</v>
      </c>
      <c r="J139" s="42">
        <f>VLOOKUP('Data 1'!$B139,'Data 2'!$A$1:$F$46,MATCH('Data 1'!J$1,'Data 2'!$A$1:$F$1,0),0)</f>
        <v>5</v>
      </c>
      <c r="K139" s="42">
        <f>VLOOKUP('Data 1'!$B139,'Data 2'!$A$1:$F$46,MATCH('Data 1'!K$1,'Data 2'!$A$1:$F$1,0),0)</f>
        <v>6.7</v>
      </c>
      <c r="L139" s="40">
        <f>SUM('Data 1'!$J139*'Data 1'!$C139)</f>
        <v>35</v>
      </c>
      <c r="M139" s="40">
        <f>'Data 1'!$C139*'Data 1'!$K139</f>
        <v>46.9</v>
      </c>
      <c r="N139" s="40">
        <f>'Data 1'!$M139-'Data 1'!$L139</f>
        <v>11.899999999999999</v>
      </c>
      <c r="O139" s="37">
        <f>DAY('Data 1'!$A139)</f>
        <v>28</v>
      </c>
      <c r="P139" s="37" t="str">
        <f>TEXT('Data 1'!$A139,"mmm")</f>
        <v>Jun</v>
      </c>
      <c r="Q139" s="41">
        <f>YEAR('Data 1'!$A139)</f>
        <v>2021</v>
      </c>
    </row>
    <row r="140" spans="1:17" x14ac:dyDescent="0.3">
      <c r="A140" s="35">
        <v>44376</v>
      </c>
      <c r="B140" s="36" t="s">
        <v>28</v>
      </c>
      <c r="C140" s="37">
        <v>4</v>
      </c>
      <c r="D140" s="37" t="s">
        <v>21</v>
      </c>
      <c r="E140" s="37" t="s">
        <v>17</v>
      </c>
      <c r="F140" s="38">
        <v>0</v>
      </c>
      <c r="G140" s="39" t="str">
        <f>VLOOKUP('Data 1'!$B140,'Data 2'!$A$1:$F$46,MATCH('Data 1'!G$1,'Data 2'!$A$1:$F$1,0),0)</f>
        <v>Product14</v>
      </c>
      <c r="H140" s="39" t="str">
        <f>VLOOKUP('Data 1'!$B140,'Data 2'!$A$1:$F$46,MATCH('Data 1'!H$1,'Data 2'!$A$1:$F$1,0),0)</f>
        <v>Category02</v>
      </c>
      <c r="I140" s="39" t="str">
        <f>VLOOKUP('Data 1'!$B140,'Data 2'!$A$1:$F$46,MATCH('Data 1'!I$1,'Data 2'!$A$1:$F$1,0),0)</f>
        <v>Kg</v>
      </c>
      <c r="J140" s="39">
        <f>VLOOKUP('Data 1'!$B140,'Data 2'!$A$1:$F$46,MATCH('Data 1'!J$1,'Data 2'!$A$1:$F$1,0),0)</f>
        <v>112</v>
      </c>
      <c r="K140" s="39">
        <f>VLOOKUP('Data 1'!$B140,'Data 2'!$A$1:$F$46,MATCH('Data 1'!K$1,'Data 2'!$A$1:$F$1,0),0)</f>
        <v>146.72</v>
      </c>
      <c r="L140" s="40">
        <f>SUM('Data 1'!$J140*'Data 1'!$C140)</f>
        <v>448</v>
      </c>
      <c r="M140" s="40">
        <f>'Data 1'!$C140*'Data 1'!$K140</f>
        <v>586.88</v>
      </c>
      <c r="N140" s="40">
        <f>'Data 1'!$M140-'Data 1'!$L140</f>
        <v>138.88</v>
      </c>
      <c r="O140" s="37">
        <f>DAY('Data 1'!$A140)</f>
        <v>29</v>
      </c>
      <c r="P140" s="37" t="str">
        <f>TEXT('Data 1'!$A140,"mmm")</f>
        <v>Jun</v>
      </c>
      <c r="Q140" s="41">
        <f>YEAR('Data 1'!$A140)</f>
        <v>2021</v>
      </c>
    </row>
    <row r="141" spans="1:17" x14ac:dyDescent="0.3">
      <c r="A141" s="35">
        <v>44378</v>
      </c>
      <c r="B141" s="36" t="s">
        <v>43</v>
      </c>
      <c r="C141" s="37">
        <v>11</v>
      </c>
      <c r="D141" s="37" t="s">
        <v>21</v>
      </c>
      <c r="E141" s="37" t="s">
        <v>19</v>
      </c>
      <c r="F141" s="38">
        <v>0</v>
      </c>
      <c r="G141" s="42" t="str">
        <f>VLOOKUP('Data 1'!$B141,'Data 2'!$A$1:$F$46,MATCH('Data 1'!G$1,'Data 2'!$A$1:$F$1,0),0)</f>
        <v>Product05</v>
      </c>
      <c r="H141" s="42" t="str">
        <f>VLOOKUP('Data 1'!$B141,'Data 2'!$A$1:$F$46,MATCH('Data 1'!H$1,'Data 2'!$A$1:$F$1,0),0)</f>
        <v>Category01</v>
      </c>
      <c r="I141" s="42" t="str">
        <f>VLOOKUP('Data 1'!$B141,'Data 2'!$A$1:$F$46,MATCH('Data 1'!I$1,'Data 2'!$A$1:$F$1,0),0)</f>
        <v>Ft</v>
      </c>
      <c r="J141" s="42">
        <f>VLOOKUP('Data 1'!$B141,'Data 2'!$A$1:$F$46,MATCH('Data 1'!J$1,'Data 2'!$A$1:$F$1,0),0)</f>
        <v>133</v>
      </c>
      <c r="K141" s="42">
        <f>VLOOKUP('Data 1'!$B141,'Data 2'!$A$1:$F$46,MATCH('Data 1'!K$1,'Data 2'!$A$1:$F$1,0),0)</f>
        <v>155.61000000000001</v>
      </c>
      <c r="L141" s="40">
        <f>SUM('Data 1'!$J141*'Data 1'!$C141)</f>
        <v>1463</v>
      </c>
      <c r="M141" s="40">
        <f>'Data 1'!$C141*'Data 1'!$K141</f>
        <v>1711.71</v>
      </c>
      <c r="N141" s="40">
        <f>'Data 1'!$M141-'Data 1'!$L141</f>
        <v>248.71000000000004</v>
      </c>
      <c r="O141" s="37">
        <f>DAY('Data 1'!$A141)</f>
        <v>1</v>
      </c>
      <c r="P141" s="37" t="str">
        <f>TEXT('Data 1'!$A141,"mmm")</f>
        <v>Jul</v>
      </c>
      <c r="Q141" s="41">
        <f>YEAR('Data 1'!$A141)</f>
        <v>2021</v>
      </c>
    </row>
    <row r="142" spans="1:17" x14ac:dyDescent="0.3">
      <c r="A142" s="35">
        <v>44379</v>
      </c>
      <c r="B142" s="36" t="s">
        <v>39</v>
      </c>
      <c r="C142" s="37">
        <v>11</v>
      </c>
      <c r="D142" s="37" t="s">
        <v>21</v>
      </c>
      <c r="E142" s="37" t="s">
        <v>19</v>
      </c>
      <c r="F142" s="38">
        <v>0</v>
      </c>
      <c r="G142" s="39" t="str">
        <f>VLOOKUP('Data 1'!$B142,'Data 2'!$A$1:$F$46,MATCH('Data 1'!G$1,'Data 2'!$A$1:$F$1,0),0)</f>
        <v>Product10</v>
      </c>
      <c r="H142" s="39" t="str">
        <f>VLOOKUP('Data 1'!$B142,'Data 2'!$A$1:$F$46,MATCH('Data 1'!H$1,'Data 2'!$A$1:$F$1,0),0)</f>
        <v>Category02</v>
      </c>
      <c r="I142" s="39" t="str">
        <f>VLOOKUP('Data 1'!$B142,'Data 2'!$A$1:$F$46,MATCH('Data 1'!I$1,'Data 2'!$A$1:$F$1,0),0)</f>
        <v>Ft</v>
      </c>
      <c r="J142" s="39">
        <f>VLOOKUP('Data 1'!$B142,'Data 2'!$A$1:$F$46,MATCH('Data 1'!J$1,'Data 2'!$A$1:$F$1,0),0)</f>
        <v>148</v>
      </c>
      <c r="K142" s="39">
        <f>VLOOKUP('Data 1'!$B142,'Data 2'!$A$1:$F$46,MATCH('Data 1'!K$1,'Data 2'!$A$1:$F$1,0),0)</f>
        <v>164.28</v>
      </c>
      <c r="L142" s="40">
        <f>SUM('Data 1'!$J142*'Data 1'!$C142)</f>
        <v>1628</v>
      </c>
      <c r="M142" s="40">
        <f>'Data 1'!$C142*'Data 1'!$K142</f>
        <v>1807.08</v>
      </c>
      <c r="N142" s="40">
        <f>'Data 1'!$M142-'Data 1'!$L142</f>
        <v>179.07999999999993</v>
      </c>
      <c r="O142" s="37">
        <f>DAY('Data 1'!$A142)</f>
        <v>2</v>
      </c>
      <c r="P142" s="37" t="str">
        <f>TEXT('Data 1'!$A142,"mmm")</f>
        <v>Jul</v>
      </c>
      <c r="Q142" s="41">
        <f>YEAR('Data 1'!$A142)</f>
        <v>2021</v>
      </c>
    </row>
    <row r="143" spans="1:17" x14ac:dyDescent="0.3">
      <c r="A143" s="35">
        <v>44380</v>
      </c>
      <c r="B143" s="36" t="s">
        <v>57</v>
      </c>
      <c r="C143" s="37">
        <v>9</v>
      </c>
      <c r="D143" s="37" t="s">
        <v>17</v>
      </c>
      <c r="E143" s="37" t="s">
        <v>19</v>
      </c>
      <c r="F143" s="38">
        <v>0</v>
      </c>
      <c r="G143" s="42" t="str">
        <f>VLOOKUP('Data 1'!$B143,'Data 2'!$A$1:$F$46,MATCH('Data 1'!G$1,'Data 2'!$A$1:$F$1,0),0)</f>
        <v>Product33</v>
      </c>
      <c r="H143" s="42" t="str">
        <f>VLOOKUP('Data 1'!$B143,'Data 2'!$A$1:$F$46,MATCH('Data 1'!H$1,'Data 2'!$A$1:$F$1,0),0)</f>
        <v>Category04</v>
      </c>
      <c r="I143" s="42" t="str">
        <f>VLOOKUP('Data 1'!$B143,'Data 2'!$A$1:$F$46,MATCH('Data 1'!I$1,'Data 2'!$A$1:$F$1,0),0)</f>
        <v>Kg</v>
      </c>
      <c r="J143" s="42">
        <f>VLOOKUP('Data 1'!$B143,'Data 2'!$A$1:$F$46,MATCH('Data 1'!J$1,'Data 2'!$A$1:$F$1,0),0)</f>
        <v>95</v>
      </c>
      <c r="K143" s="42">
        <f>VLOOKUP('Data 1'!$B143,'Data 2'!$A$1:$F$46,MATCH('Data 1'!K$1,'Data 2'!$A$1:$F$1,0),0)</f>
        <v>119.7</v>
      </c>
      <c r="L143" s="40">
        <f>SUM('Data 1'!$J143*'Data 1'!$C143)</f>
        <v>855</v>
      </c>
      <c r="M143" s="40">
        <f>'Data 1'!$C143*'Data 1'!$K143</f>
        <v>1077.3</v>
      </c>
      <c r="N143" s="40">
        <f>'Data 1'!$M143-'Data 1'!$L143</f>
        <v>222.29999999999995</v>
      </c>
      <c r="O143" s="37">
        <f>DAY('Data 1'!$A143)</f>
        <v>3</v>
      </c>
      <c r="P143" s="37" t="str">
        <f>TEXT('Data 1'!$A143,"mmm")</f>
        <v>Jul</v>
      </c>
      <c r="Q143" s="41">
        <f>YEAR('Data 1'!$A143)</f>
        <v>2021</v>
      </c>
    </row>
    <row r="144" spans="1:17" x14ac:dyDescent="0.3">
      <c r="A144" s="35">
        <v>44380</v>
      </c>
      <c r="B144" s="36" t="s">
        <v>25</v>
      </c>
      <c r="C144" s="37">
        <v>8</v>
      </c>
      <c r="D144" s="37" t="s">
        <v>17</v>
      </c>
      <c r="E144" s="37" t="s">
        <v>19</v>
      </c>
      <c r="F144" s="38">
        <v>0</v>
      </c>
      <c r="G144" s="39" t="str">
        <f>VLOOKUP('Data 1'!$B144,'Data 2'!$A$1:$F$46,MATCH('Data 1'!G$1,'Data 2'!$A$1:$F$1,0),0)</f>
        <v>Product03</v>
      </c>
      <c r="H144" s="39" t="str">
        <f>VLOOKUP('Data 1'!$B144,'Data 2'!$A$1:$F$46,MATCH('Data 1'!H$1,'Data 2'!$A$1:$F$1,0),0)</f>
        <v>Category01</v>
      </c>
      <c r="I144" s="39" t="str">
        <f>VLOOKUP('Data 1'!$B144,'Data 2'!$A$1:$F$46,MATCH('Data 1'!I$1,'Data 2'!$A$1:$F$1,0),0)</f>
        <v>Kg</v>
      </c>
      <c r="J144" s="39">
        <f>VLOOKUP('Data 1'!$B144,'Data 2'!$A$1:$F$46,MATCH('Data 1'!J$1,'Data 2'!$A$1:$F$1,0),0)</f>
        <v>71</v>
      </c>
      <c r="K144" s="39">
        <f>VLOOKUP('Data 1'!$B144,'Data 2'!$A$1:$F$46,MATCH('Data 1'!K$1,'Data 2'!$A$1:$F$1,0),0)</f>
        <v>80.94</v>
      </c>
      <c r="L144" s="40">
        <f>SUM('Data 1'!$J144*'Data 1'!$C144)</f>
        <v>568</v>
      </c>
      <c r="M144" s="40">
        <f>'Data 1'!$C144*'Data 1'!$K144</f>
        <v>647.52</v>
      </c>
      <c r="N144" s="40">
        <f>'Data 1'!$M144-'Data 1'!$L144</f>
        <v>79.519999999999982</v>
      </c>
      <c r="O144" s="37">
        <f>DAY('Data 1'!$A144)</f>
        <v>3</v>
      </c>
      <c r="P144" s="37" t="str">
        <f>TEXT('Data 1'!$A144,"mmm")</f>
        <v>Jul</v>
      </c>
      <c r="Q144" s="41">
        <f>YEAR('Data 1'!$A144)</f>
        <v>2021</v>
      </c>
    </row>
    <row r="145" spans="1:17" x14ac:dyDescent="0.3">
      <c r="A145" s="35">
        <v>44382</v>
      </c>
      <c r="B145" s="36" t="s">
        <v>48</v>
      </c>
      <c r="C145" s="37">
        <v>8</v>
      </c>
      <c r="D145" s="37" t="s">
        <v>21</v>
      </c>
      <c r="E145" s="37" t="s">
        <v>17</v>
      </c>
      <c r="F145" s="38">
        <v>0</v>
      </c>
      <c r="G145" s="42" t="str">
        <f>VLOOKUP('Data 1'!$B145,'Data 2'!$A$1:$F$46,MATCH('Data 1'!G$1,'Data 2'!$A$1:$F$1,0),0)</f>
        <v>Product02</v>
      </c>
      <c r="H145" s="42" t="str">
        <f>VLOOKUP('Data 1'!$B145,'Data 2'!$A$1:$F$46,MATCH('Data 1'!H$1,'Data 2'!$A$1:$F$1,0),0)</f>
        <v>Category01</v>
      </c>
      <c r="I145" s="42" t="str">
        <f>VLOOKUP('Data 1'!$B145,'Data 2'!$A$1:$F$46,MATCH('Data 1'!I$1,'Data 2'!$A$1:$F$1,0),0)</f>
        <v>Kg</v>
      </c>
      <c r="J145" s="42">
        <f>VLOOKUP('Data 1'!$B145,'Data 2'!$A$1:$F$46,MATCH('Data 1'!J$1,'Data 2'!$A$1:$F$1,0),0)</f>
        <v>105</v>
      </c>
      <c r="K145" s="42">
        <f>VLOOKUP('Data 1'!$B145,'Data 2'!$A$1:$F$46,MATCH('Data 1'!K$1,'Data 2'!$A$1:$F$1,0),0)</f>
        <v>142.80000000000001</v>
      </c>
      <c r="L145" s="40">
        <f>SUM('Data 1'!$J145*'Data 1'!$C145)</f>
        <v>840</v>
      </c>
      <c r="M145" s="40">
        <f>'Data 1'!$C145*'Data 1'!$K145</f>
        <v>1142.4000000000001</v>
      </c>
      <c r="N145" s="40">
        <f>'Data 1'!$M145-'Data 1'!$L145</f>
        <v>302.40000000000009</v>
      </c>
      <c r="O145" s="37">
        <f>DAY('Data 1'!$A145)</f>
        <v>5</v>
      </c>
      <c r="P145" s="37" t="str">
        <f>TEXT('Data 1'!$A145,"mmm")</f>
        <v>Jul</v>
      </c>
      <c r="Q145" s="41">
        <f>YEAR('Data 1'!$A145)</f>
        <v>2021</v>
      </c>
    </row>
    <row r="146" spans="1:17" x14ac:dyDescent="0.3">
      <c r="A146" s="35">
        <v>44383</v>
      </c>
      <c r="B146" s="36" t="s">
        <v>60</v>
      </c>
      <c r="C146" s="37">
        <v>15</v>
      </c>
      <c r="D146" s="37" t="s">
        <v>21</v>
      </c>
      <c r="E146" s="37" t="s">
        <v>19</v>
      </c>
      <c r="F146" s="38">
        <v>0</v>
      </c>
      <c r="G146" s="39" t="str">
        <f>VLOOKUP('Data 1'!$B146,'Data 2'!$A$1:$F$46,MATCH('Data 1'!G$1,'Data 2'!$A$1:$F$1,0),0)</f>
        <v>Product41</v>
      </c>
      <c r="H146" s="39" t="str">
        <f>VLOOKUP('Data 1'!$B146,'Data 2'!$A$1:$F$46,MATCH('Data 1'!H$1,'Data 2'!$A$1:$F$1,0),0)</f>
        <v>Category05</v>
      </c>
      <c r="I146" s="39" t="str">
        <f>VLOOKUP('Data 1'!$B146,'Data 2'!$A$1:$F$46,MATCH('Data 1'!I$1,'Data 2'!$A$1:$F$1,0),0)</f>
        <v>Ft</v>
      </c>
      <c r="J146" s="39">
        <f>VLOOKUP('Data 1'!$B146,'Data 2'!$A$1:$F$46,MATCH('Data 1'!J$1,'Data 2'!$A$1:$F$1,0),0)</f>
        <v>138</v>
      </c>
      <c r="K146" s="39">
        <f>VLOOKUP('Data 1'!$B146,'Data 2'!$A$1:$F$46,MATCH('Data 1'!K$1,'Data 2'!$A$1:$F$1,0),0)</f>
        <v>173.88</v>
      </c>
      <c r="L146" s="40">
        <f>SUM('Data 1'!$J146*'Data 1'!$C146)</f>
        <v>2070</v>
      </c>
      <c r="M146" s="40">
        <f>'Data 1'!$C146*'Data 1'!$K146</f>
        <v>2608.1999999999998</v>
      </c>
      <c r="N146" s="40">
        <f>'Data 1'!$M146-'Data 1'!$L146</f>
        <v>538.19999999999982</v>
      </c>
      <c r="O146" s="37">
        <f>DAY('Data 1'!$A146)</f>
        <v>6</v>
      </c>
      <c r="P146" s="37" t="str">
        <f>TEXT('Data 1'!$A146,"mmm")</f>
        <v>Jul</v>
      </c>
      <c r="Q146" s="41">
        <f>YEAR('Data 1'!$A146)</f>
        <v>2021</v>
      </c>
    </row>
    <row r="147" spans="1:17" x14ac:dyDescent="0.3">
      <c r="A147" s="35">
        <v>44385</v>
      </c>
      <c r="B147" s="36" t="s">
        <v>22</v>
      </c>
      <c r="C147" s="37">
        <v>10</v>
      </c>
      <c r="D147" s="37" t="s">
        <v>21</v>
      </c>
      <c r="E147" s="37" t="s">
        <v>17</v>
      </c>
      <c r="F147" s="38">
        <v>0</v>
      </c>
      <c r="G147" s="42" t="str">
        <f>VLOOKUP('Data 1'!$B147,'Data 2'!$A$1:$F$46,MATCH('Data 1'!G$1,'Data 2'!$A$1:$F$1,0),0)</f>
        <v>Product04</v>
      </c>
      <c r="H147" s="42" t="str">
        <f>VLOOKUP('Data 1'!$B147,'Data 2'!$A$1:$F$46,MATCH('Data 1'!H$1,'Data 2'!$A$1:$F$1,0),0)</f>
        <v>Category01</v>
      </c>
      <c r="I147" s="42" t="str">
        <f>VLOOKUP('Data 1'!$B147,'Data 2'!$A$1:$F$46,MATCH('Data 1'!I$1,'Data 2'!$A$1:$F$1,0),0)</f>
        <v>Lt</v>
      </c>
      <c r="J147" s="42">
        <f>VLOOKUP('Data 1'!$B147,'Data 2'!$A$1:$F$46,MATCH('Data 1'!J$1,'Data 2'!$A$1:$F$1,0),0)</f>
        <v>44</v>
      </c>
      <c r="K147" s="42">
        <f>VLOOKUP('Data 1'!$B147,'Data 2'!$A$1:$F$46,MATCH('Data 1'!K$1,'Data 2'!$A$1:$F$1,0),0)</f>
        <v>48.84</v>
      </c>
      <c r="L147" s="40">
        <f>SUM('Data 1'!$J147*'Data 1'!$C147)</f>
        <v>440</v>
      </c>
      <c r="M147" s="40">
        <f>'Data 1'!$C147*'Data 1'!$K147</f>
        <v>488.40000000000003</v>
      </c>
      <c r="N147" s="40">
        <f>'Data 1'!$M147-'Data 1'!$L147</f>
        <v>48.400000000000034</v>
      </c>
      <c r="O147" s="37">
        <f>DAY('Data 1'!$A147)</f>
        <v>8</v>
      </c>
      <c r="P147" s="37" t="str">
        <f>TEXT('Data 1'!$A147,"mmm")</f>
        <v>Jul</v>
      </c>
      <c r="Q147" s="41">
        <f>YEAR('Data 1'!$A147)</f>
        <v>2021</v>
      </c>
    </row>
    <row r="148" spans="1:17" x14ac:dyDescent="0.3">
      <c r="A148" s="35">
        <v>44387</v>
      </c>
      <c r="B148" s="36" t="s">
        <v>32</v>
      </c>
      <c r="C148" s="37">
        <v>6</v>
      </c>
      <c r="D148" s="37" t="s">
        <v>16</v>
      </c>
      <c r="E148" s="37" t="s">
        <v>19</v>
      </c>
      <c r="F148" s="38">
        <v>0</v>
      </c>
      <c r="G148" s="39" t="str">
        <f>VLOOKUP('Data 1'!$B148,'Data 2'!$A$1:$F$46,MATCH('Data 1'!G$1,'Data 2'!$A$1:$F$1,0),0)</f>
        <v>Product34</v>
      </c>
      <c r="H148" s="39" t="str">
        <f>VLOOKUP('Data 1'!$B148,'Data 2'!$A$1:$F$46,MATCH('Data 1'!H$1,'Data 2'!$A$1:$F$1,0),0)</f>
        <v>Category04</v>
      </c>
      <c r="I148" s="39" t="str">
        <f>VLOOKUP('Data 1'!$B148,'Data 2'!$A$1:$F$46,MATCH('Data 1'!I$1,'Data 2'!$A$1:$F$1,0),0)</f>
        <v>Lt</v>
      </c>
      <c r="J148" s="39">
        <f>VLOOKUP('Data 1'!$B148,'Data 2'!$A$1:$F$46,MATCH('Data 1'!J$1,'Data 2'!$A$1:$F$1,0),0)</f>
        <v>55</v>
      </c>
      <c r="K148" s="39">
        <f>VLOOKUP('Data 1'!$B148,'Data 2'!$A$1:$F$46,MATCH('Data 1'!K$1,'Data 2'!$A$1:$F$1,0),0)</f>
        <v>58.3</v>
      </c>
      <c r="L148" s="40">
        <f>SUM('Data 1'!$J148*'Data 1'!$C148)</f>
        <v>330</v>
      </c>
      <c r="M148" s="40">
        <f>'Data 1'!$C148*'Data 1'!$K148</f>
        <v>349.79999999999995</v>
      </c>
      <c r="N148" s="40">
        <f>'Data 1'!$M148-'Data 1'!$L148</f>
        <v>19.799999999999955</v>
      </c>
      <c r="O148" s="37">
        <f>DAY('Data 1'!$A148)</f>
        <v>10</v>
      </c>
      <c r="P148" s="37" t="str">
        <f>TEXT('Data 1'!$A148,"mmm")</f>
        <v>Jul</v>
      </c>
      <c r="Q148" s="41">
        <f>YEAR('Data 1'!$A148)</f>
        <v>2021</v>
      </c>
    </row>
    <row r="149" spans="1:17" x14ac:dyDescent="0.3">
      <c r="A149" s="35">
        <v>44388</v>
      </c>
      <c r="B149" s="36" t="s">
        <v>56</v>
      </c>
      <c r="C149" s="37">
        <v>4</v>
      </c>
      <c r="D149" s="37" t="s">
        <v>16</v>
      </c>
      <c r="E149" s="37" t="s">
        <v>17</v>
      </c>
      <c r="F149" s="38">
        <v>0</v>
      </c>
      <c r="G149" s="42" t="str">
        <f>VLOOKUP('Data 1'!$B149,'Data 2'!$A$1:$F$46,MATCH('Data 1'!G$1,'Data 2'!$A$1:$F$1,0),0)</f>
        <v>Product09</v>
      </c>
      <c r="H149" s="42" t="str">
        <f>VLOOKUP('Data 1'!$B149,'Data 2'!$A$1:$F$46,MATCH('Data 1'!H$1,'Data 2'!$A$1:$F$1,0),0)</f>
        <v>Category03</v>
      </c>
      <c r="I149" s="42" t="str">
        <f>VLOOKUP('Data 1'!$B149,'Data 2'!$A$1:$F$46,MATCH('Data 1'!I$1,'Data 2'!$A$1:$F$1,0),0)</f>
        <v>No.</v>
      </c>
      <c r="J149" s="42">
        <f>VLOOKUP('Data 1'!$B149,'Data 2'!$A$1:$F$46,MATCH('Data 1'!J$1,'Data 2'!$A$1:$F$1,0),0)</f>
        <v>6</v>
      </c>
      <c r="K149" s="42">
        <f>VLOOKUP('Data 1'!$B149,'Data 2'!$A$1:$F$46,MATCH('Data 1'!K$1,'Data 2'!$A$1:$F$1,0),0)</f>
        <v>7.8599999999999994</v>
      </c>
      <c r="L149" s="40">
        <f>SUM('Data 1'!$J149*'Data 1'!$C149)</f>
        <v>24</v>
      </c>
      <c r="M149" s="40">
        <f>'Data 1'!$C149*'Data 1'!$K149</f>
        <v>31.439999999999998</v>
      </c>
      <c r="N149" s="40">
        <f>'Data 1'!$M149-'Data 1'!$L149</f>
        <v>7.4399999999999977</v>
      </c>
      <c r="O149" s="37">
        <f>DAY('Data 1'!$A149)</f>
        <v>11</v>
      </c>
      <c r="P149" s="37" t="str">
        <f>TEXT('Data 1'!$A149,"mmm")</f>
        <v>Jul</v>
      </c>
      <c r="Q149" s="41">
        <f>YEAR('Data 1'!$A149)</f>
        <v>2021</v>
      </c>
    </row>
    <row r="150" spans="1:17" x14ac:dyDescent="0.3">
      <c r="A150" s="35">
        <v>44390</v>
      </c>
      <c r="B150" s="36" t="s">
        <v>59</v>
      </c>
      <c r="C150" s="37">
        <v>1</v>
      </c>
      <c r="D150" s="37" t="s">
        <v>21</v>
      </c>
      <c r="E150" s="37" t="s">
        <v>19</v>
      </c>
      <c r="F150" s="38">
        <v>0</v>
      </c>
      <c r="G150" s="39" t="str">
        <f>VLOOKUP('Data 1'!$B150,'Data 2'!$A$1:$F$46,MATCH('Data 1'!G$1,'Data 2'!$A$1:$F$1,0),0)</f>
        <v>Product19</v>
      </c>
      <c r="H150" s="39" t="str">
        <f>VLOOKUP('Data 1'!$B150,'Data 2'!$A$1:$F$46,MATCH('Data 1'!H$1,'Data 2'!$A$1:$F$1,0),0)</f>
        <v>Category02</v>
      </c>
      <c r="I150" s="39" t="str">
        <f>VLOOKUP('Data 1'!$B150,'Data 2'!$A$1:$F$46,MATCH('Data 1'!I$1,'Data 2'!$A$1:$F$1,0),0)</f>
        <v>Ft</v>
      </c>
      <c r="J150" s="39">
        <f>VLOOKUP('Data 1'!$B150,'Data 2'!$A$1:$F$46,MATCH('Data 1'!J$1,'Data 2'!$A$1:$F$1,0),0)</f>
        <v>150</v>
      </c>
      <c r="K150" s="39">
        <f>VLOOKUP('Data 1'!$B150,'Data 2'!$A$1:$F$46,MATCH('Data 1'!K$1,'Data 2'!$A$1:$F$1,0),0)</f>
        <v>210</v>
      </c>
      <c r="L150" s="40">
        <f>SUM('Data 1'!$J150*'Data 1'!$C150)</f>
        <v>150</v>
      </c>
      <c r="M150" s="40">
        <f>'Data 1'!$C150*'Data 1'!$K150</f>
        <v>210</v>
      </c>
      <c r="N150" s="40">
        <f>'Data 1'!$M150-'Data 1'!$L150</f>
        <v>60</v>
      </c>
      <c r="O150" s="37">
        <f>DAY('Data 1'!$A150)</f>
        <v>13</v>
      </c>
      <c r="P150" s="37" t="str">
        <f>TEXT('Data 1'!$A150,"mmm")</f>
        <v>Jul</v>
      </c>
      <c r="Q150" s="41">
        <f>YEAR('Data 1'!$A150)</f>
        <v>2021</v>
      </c>
    </row>
    <row r="151" spans="1:17" x14ac:dyDescent="0.3">
      <c r="A151" s="35">
        <v>44393</v>
      </c>
      <c r="B151" s="36" t="s">
        <v>31</v>
      </c>
      <c r="C151" s="37">
        <v>8</v>
      </c>
      <c r="D151" s="37" t="s">
        <v>16</v>
      </c>
      <c r="E151" s="37" t="s">
        <v>19</v>
      </c>
      <c r="F151" s="38">
        <v>0</v>
      </c>
      <c r="G151" s="42" t="str">
        <f>VLOOKUP('Data 1'!$B151,'Data 2'!$A$1:$F$46,MATCH('Data 1'!G$1,'Data 2'!$A$1:$F$1,0),0)</f>
        <v>Product23</v>
      </c>
      <c r="H151" s="42" t="str">
        <f>VLOOKUP('Data 1'!$B151,'Data 2'!$A$1:$F$46,MATCH('Data 1'!H$1,'Data 2'!$A$1:$F$1,0),0)</f>
        <v>Category03</v>
      </c>
      <c r="I151" s="42" t="str">
        <f>VLOOKUP('Data 1'!$B151,'Data 2'!$A$1:$F$46,MATCH('Data 1'!I$1,'Data 2'!$A$1:$F$1,0),0)</f>
        <v>Ft</v>
      </c>
      <c r="J151" s="42">
        <f>VLOOKUP('Data 1'!$B151,'Data 2'!$A$1:$F$46,MATCH('Data 1'!J$1,'Data 2'!$A$1:$F$1,0),0)</f>
        <v>141</v>
      </c>
      <c r="K151" s="42">
        <f>VLOOKUP('Data 1'!$B151,'Data 2'!$A$1:$F$46,MATCH('Data 1'!K$1,'Data 2'!$A$1:$F$1,0),0)</f>
        <v>149.46</v>
      </c>
      <c r="L151" s="40">
        <f>SUM('Data 1'!$J151*'Data 1'!$C151)</f>
        <v>1128</v>
      </c>
      <c r="M151" s="40">
        <f>'Data 1'!$C151*'Data 1'!$K151</f>
        <v>1195.68</v>
      </c>
      <c r="N151" s="40">
        <f>'Data 1'!$M151-'Data 1'!$L151</f>
        <v>67.680000000000064</v>
      </c>
      <c r="O151" s="37">
        <f>DAY('Data 1'!$A151)</f>
        <v>16</v>
      </c>
      <c r="P151" s="37" t="str">
        <f>TEXT('Data 1'!$A151,"mmm")</f>
        <v>Jul</v>
      </c>
      <c r="Q151" s="41">
        <f>YEAR('Data 1'!$A151)</f>
        <v>2021</v>
      </c>
    </row>
    <row r="152" spans="1:17" x14ac:dyDescent="0.3">
      <c r="A152" s="35">
        <v>44395</v>
      </c>
      <c r="B152" s="36" t="s">
        <v>45</v>
      </c>
      <c r="C152" s="37">
        <v>14</v>
      </c>
      <c r="D152" s="37" t="s">
        <v>17</v>
      </c>
      <c r="E152" s="37" t="s">
        <v>17</v>
      </c>
      <c r="F152" s="38">
        <v>0</v>
      </c>
      <c r="G152" s="39" t="str">
        <f>VLOOKUP('Data 1'!$B152,'Data 2'!$A$1:$F$46,MATCH('Data 1'!G$1,'Data 2'!$A$1:$F$1,0),0)</f>
        <v>Product27</v>
      </c>
      <c r="H152" s="39" t="str">
        <f>VLOOKUP('Data 1'!$B152,'Data 2'!$A$1:$F$46,MATCH('Data 1'!H$1,'Data 2'!$A$1:$F$1,0),0)</f>
        <v>Category04</v>
      </c>
      <c r="I152" s="39" t="str">
        <f>VLOOKUP('Data 1'!$B152,'Data 2'!$A$1:$F$46,MATCH('Data 1'!I$1,'Data 2'!$A$1:$F$1,0),0)</f>
        <v>Lt</v>
      </c>
      <c r="J152" s="39">
        <f>VLOOKUP('Data 1'!$B152,'Data 2'!$A$1:$F$46,MATCH('Data 1'!J$1,'Data 2'!$A$1:$F$1,0),0)</f>
        <v>48</v>
      </c>
      <c r="K152" s="39">
        <f>VLOOKUP('Data 1'!$B152,'Data 2'!$A$1:$F$46,MATCH('Data 1'!K$1,'Data 2'!$A$1:$F$1,0),0)</f>
        <v>57.120000000000005</v>
      </c>
      <c r="L152" s="40">
        <f>SUM('Data 1'!$J152*'Data 1'!$C152)</f>
        <v>672</v>
      </c>
      <c r="M152" s="40">
        <f>'Data 1'!$C152*'Data 1'!$K152</f>
        <v>799.68000000000006</v>
      </c>
      <c r="N152" s="40">
        <f>'Data 1'!$M152-'Data 1'!$L152</f>
        <v>127.68000000000006</v>
      </c>
      <c r="O152" s="37">
        <f>DAY('Data 1'!$A152)</f>
        <v>18</v>
      </c>
      <c r="P152" s="37" t="str">
        <f>TEXT('Data 1'!$A152,"mmm")</f>
        <v>Jul</v>
      </c>
      <c r="Q152" s="41">
        <f>YEAR('Data 1'!$A152)</f>
        <v>2021</v>
      </c>
    </row>
    <row r="153" spans="1:17" x14ac:dyDescent="0.3">
      <c r="A153" s="35">
        <v>44397</v>
      </c>
      <c r="B153" s="36" t="s">
        <v>18</v>
      </c>
      <c r="C153" s="37">
        <v>11</v>
      </c>
      <c r="D153" s="37" t="s">
        <v>17</v>
      </c>
      <c r="E153" s="37" t="s">
        <v>17</v>
      </c>
      <c r="F153" s="38">
        <v>0</v>
      </c>
      <c r="G153" s="42" t="str">
        <f>VLOOKUP('Data 1'!$B153,'Data 2'!$A$1:$F$46,MATCH('Data 1'!G$1,'Data 2'!$A$1:$F$1,0),0)</f>
        <v>Product38</v>
      </c>
      <c r="H153" s="42" t="str">
        <f>VLOOKUP('Data 1'!$B153,'Data 2'!$A$1:$F$46,MATCH('Data 1'!H$1,'Data 2'!$A$1:$F$1,0),0)</f>
        <v>Category05</v>
      </c>
      <c r="I153" s="42" t="str">
        <f>VLOOKUP('Data 1'!$B153,'Data 2'!$A$1:$F$46,MATCH('Data 1'!I$1,'Data 2'!$A$1:$F$1,0),0)</f>
        <v>Kg</v>
      </c>
      <c r="J153" s="42">
        <f>VLOOKUP('Data 1'!$B153,'Data 2'!$A$1:$F$46,MATCH('Data 1'!J$1,'Data 2'!$A$1:$F$1,0),0)</f>
        <v>72</v>
      </c>
      <c r="K153" s="42">
        <f>VLOOKUP('Data 1'!$B153,'Data 2'!$A$1:$F$46,MATCH('Data 1'!K$1,'Data 2'!$A$1:$F$1,0),0)</f>
        <v>79.92</v>
      </c>
      <c r="L153" s="40">
        <f>SUM('Data 1'!$J153*'Data 1'!$C153)</f>
        <v>792</v>
      </c>
      <c r="M153" s="40">
        <f>'Data 1'!$C153*'Data 1'!$K153</f>
        <v>879.12</v>
      </c>
      <c r="N153" s="40">
        <f>'Data 1'!$M153-'Data 1'!$L153</f>
        <v>87.12</v>
      </c>
      <c r="O153" s="37">
        <f>DAY('Data 1'!$A153)</f>
        <v>20</v>
      </c>
      <c r="P153" s="37" t="str">
        <f>TEXT('Data 1'!$A153,"mmm")</f>
        <v>Jul</v>
      </c>
      <c r="Q153" s="41">
        <f>YEAR('Data 1'!$A153)</f>
        <v>2021</v>
      </c>
    </row>
    <row r="154" spans="1:17" x14ac:dyDescent="0.3">
      <c r="A154" s="35">
        <v>44397</v>
      </c>
      <c r="B154" s="36" t="s">
        <v>42</v>
      </c>
      <c r="C154" s="37">
        <v>5</v>
      </c>
      <c r="D154" s="37" t="s">
        <v>21</v>
      </c>
      <c r="E154" s="37" t="s">
        <v>17</v>
      </c>
      <c r="F154" s="38">
        <v>0</v>
      </c>
      <c r="G154" s="39" t="str">
        <f>VLOOKUP('Data 1'!$B154,'Data 2'!$A$1:$F$46,MATCH('Data 1'!G$1,'Data 2'!$A$1:$F$1,0),0)</f>
        <v>Product43</v>
      </c>
      <c r="H154" s="39" t="str">
        <f>VLOOKUP('Data 1'!$B154,'Data 2'!$A$1:$F$46,MATCH('Data 1'!H$1,'Data 2'!$A$1:$F$1,0),0)</f>
        <v>Category05</v>
      </c>
      <c r="I154" s="39" t="str">
        <f>VLOOKUP('Data 1'!$B154,'Data 2'!$A$1:$F$46,MATCH('Data 1'!I$1,'Data 2'!$A$1:$F$1,0),0)</f>
        <v>Kg</v>
      </c>
      <c r="J154" s="39">
        <f>VLOOKUP('Data 1'!$B154,'Data 2'!$A$1:$F$46,MATCH('Data 1'!J$1,'Data 2'!$A$1:$F$1,0),0)</f>
        <v>67</v>
      </c>
      <c r="K154" s="39">
        <f>VLOOKUP('Data 1'!$B154,'Data 2'!$A$1:$F$46,MATCH('Data 1'!K$1,'Data 2'!$A$1:$F$1,0),0)</f>
        <v>83.08</v>
      </c>
      <c r="L154" s="40">
        <f>SUM('Data 1'!$J154*'Data 1'!$C154)</f>
        <v>335</v>
      </c>
      <c r="M154" s="40">
        <f>'Data 1'!$C154*'Data 1'!$K154</f>
        <v>415.4</v>
      </c>
      <c r="N154" s="40">
        <f>'Data 1'!$M154-'Data 1'!$L154</f>
        <v>80.399999999999977</v>
      </c>
      <c r="O154" s="37">
        <f>DAY('Data 1'!$A154)</f>
        <v>20</v>
      </c>
      <c r="P154" s="37" t="str">
        <f>TEXT('Data 1'!$A154,"mmm")</f>
        <v>Jul</v>
      </c>
      <c r="Q154" s="41">
        <f>YEAR('Data 1'!$A154)</f>
        <v>2021</v>
      </c>
    </row>
    <row r="155" spans="1:17" x14ac:dyDescent="0.3">
      <c r="A155" s="35">
        <v>44398</v>
      </c>
      <c r="B155" s="36" t="s">
        <v>38</v>
      </c>
      <c r="C155" s="37">
        <v>15</v>
      </c>
      <c r="D155" s="37" t="s">
        <v>21</v>
      </c>
      <c r="E155" s="37" t="s">
        <v>17</v>
      </c>
      <c r="F155" s="38">
        <v>0</v>
      </c>
      <c r="G155" s="42" t="str">
        <f>VLOOKUP('Data 1'!$B155,'Data 2'!$A$1:$F$46,MATCH('Data 1'!G$1,'Data 2'!$A$1:$F$1,0),0)</f>
        <v>Product29</v>
      </c>
      <c r="H155" s="42" t="str">
        <f>VLOOKUP('Data 1'!$B155,'Data 2'!$A$1:$F$46,MATCH('Data 1'!H$1,'Data 2'!$A$1:$F$1,0),0)</f>
        <v>Category04</v>
      </c>
      <c r="I155" s="42" t="str">
        <f>VLOOKUP('Data 1'!$B155,'Data 2'!$A$1:$F$46,MATCH('Data 1'!I$1,'Data 2'!$A$1:$F$1,0),0)</f>
        <v>Lt</v>
      </c>
      <c r="J155" s="42">
        <f>VLOOKUP('Data 1'!$B155,'Data 2'!$A$1:$F$46,MATCH('Data 1'!J$1,'Data 2'!$A$1:$F$1,0),0)</f>
        <v>47</v>
      </c>
      <c r="K155" s="42">
        <f>VLOOKUP('Data 1'!$B155,'Data 2'!$A$1:$F$46,MATCH('Data 1'!K$1,'Data 2'!$A$1:$F$1,0),0)</f>
        <v>53.11</v>
      </c>
      <c r="L155" s="40">
        <f>SUM('Data 1'!$J155*'Data 1'!$C155)</f>
        <v>705</v>
      </c>
      <c r="M155" s="40">
        <f>'Data 1'!$C155*'Data 1'!$K155</f>
        <v>796.65</v>
      </c>
      <c r="N155" s="40">
        <f>'Data 1'!$M155-'Data 1'!$L155</f>
        <v>91.649999999999977</v>
      </c>
      <c r="O155" s="37">
        <f>DAY('Data 1'!$A155)</f>
        <v>21</v>
      </c>
      <c r="P155" s="37" t="str">
        <f>TEXT('Data 1'!$A155,"mmm")</f>
        <v>Jul</v>
      </c>
      <c r="Q155" s="41">
        <f>YEAR('Data 1'!$A155)</f>
        <v>2021</v>
      </c>
    </row>
    <row r="156" spans="1:17" x14ac:dyDescent="0.3">
      <c r="A156" s="35">
        <v>44399</v>
      </c>
      <c r="B156" s="36" t="s">
        <v>61</v>
      </c>
      <c r="C156" s="37">
        <v>3</v>
      </c>
      <c r="D156" s="37" t="s">
        <v>16</v>
      </c>
      <c r="E156" s="37" t="s">
        <v>19</v>
      </c>
      <c r="F156" s="38">
        <v>0</v>
      </c>
      <c r="G156" s="39" t="str">
        <f>VLOOKUP('Data 1'!$B156,'Data 2'!$A$1:$F$46,MATCH('Data 1'!G$1,'Data 2'!$A$1:$F$1,0),0)</f>
        <v>Product26</v>
      </c>
      <c r="H156" s="39" t="str">
        <f>VLOOKUP('Data 1'!$B156,'Data 2'!$A$1:$F$46,MATCH('Data 1'!H$1,'Data 2'!$A$1:$F$1,0),0)</f>
        <v>Category04</v>
      </c>
      <c r="I156" s="39" t="str">
        <f>VLOOKUP('Data 1'!$B156,'Data 2'!$A$1:$F$46,MATCH('Data 1'!I$1,'Data 2'!$A$1:$F$1,0),0)</f>
        <v>No.</v>
      </c>
      <c r="J156" s="39">
        <f>VLOOKUP('Data 1'!$B156,'Data 2'!$A$1:$F$46,MATCH('Data 1'!J$1,'Data 2'!$A$1:$F$1,0),0)</f>
        <v>18</v>
      </c>
      <c r="K156" s="39">
        <f>VLOOKUP('Data 1'!$B156,'Data 2'!$A$1:$F$46,MATCH('Data 1'!K$1,'Data 2'!$A$1:$F$1,0),0)</f>
        <v>24.66</v>
      </c>
      <c r="L156" s="40">
        <f>SUM('Data 1'!$J156*'Data 1'!$C156)</f>
        <v>54</v>
      </c>
      <c r="M156" s="40">
        <f>'Data 1'!$C156*'Data 1'!$K156</f>
        <v>73.98</v>
      </c>
      <c r="N156" s="40">
        <f>'Data 1'!$M156-'Data 1'!$L156</f>
        <v>19.980000000000004</v>
      </c>
      <c r="O156" s="37">
        <f>DAY('Data 1'!$A156)</f>
        <v>22</v>
      </c>
      <c r="P156" s="37" t="str">
        <f>TEXT('Data 1'!$A156,"mmm")</f>
        <v>Jul</v>
      </c>
      <c r="Q156" s="41">
        <f>YEAR('Data 1'!$A156)</f>
        <v>2021</v>
      </c>
    </row>
    <row r="157" spans="1:17" x14ac:dyDescent="0.3">
      <c r="A157" s="35">
        <v>44399</v>
      </c>
      <c r="B157" s="36" t="s">
        <v>15</v>
      </c>
      <c r="C157" s="37">
        <v>14</v>
      </c>
      <c r="D157" s="37" t="s">
        <v>17</v>
      </c>
      <c r="E157" s="37" t="s">
        <v>19</v>
      </c>
      <c r="F157" s="38">
        <v>0</v>
      </c>
      <c r="G157" s="42" t="str">
        <f>VLOOKUP('Data 1'!$B157,'Data 2'!$A$1:$F$46,MATCH('Data 1'!G$1,'Data 2'!$A$1:$F$1,0),0)</f>
        <v>Product24</v>
      </c>
      <c r="H157" s="42" t="str">
        <f>VLOOKUP('Data 1'!$B157,'Data 2'!$A$1:$F$46,MATCH('Data 1'!H$1,'Data 2'!$A$1:$F$1,0),0)</f>
        <v>Category03</v>
      </c>
      <c r="I157" s="42" t="str">
        <f>VLOOKUP('Data 1'!$B157,'Data 2'!$A$1:$F$46,MATCH('Data 1'!I$1,'Data 2'!$A$1:$F$1,0),0)</f>
        <v>Ft</v>
      </c>
      <c r="J157" s="42">
        <f>VLOOKUP('Data 1'!$B157,'Data 2'!$A$1:$F$46,MATCH('Data 1'!J$1,'Data 2'!$A$1:$F$1,0),0)</f>
        <v>144</v>
      </c>
      <c r="K157" s="42">
        <f>VLOOKUP('Data 1'!$B157,'Data 2'!$A$1:$F$46,MATCH('Data 1'!K$1,'Data 2'!$A$1:$F$1,0),0)</f>
        <v>156.96</v>
      </c>
      <c r="L157" s="40">
        <f>SUM('Data 1'!$J157*'Data 1'!$C157)</f>
        <v>2016</v>
      </c>
      <c r="M157" s="40">
        <f>'Data 1'!$C157*'Data 1'!$K157</f>
        <v>2197.44</v>
      </c>
      <c r="N157" s="40">
        <f>'Data 1'!$M157-'Data 1'!$L157</f>
        <v>181.44000000000005</v>
      </c>
      <c r="O157" s="37">
        <f>DAY('Data 1'!$A157)</f>
        <v>22</v>
      </c>
      <c r="P157" s="37" t="str">
        <f>TEXT('Data 1'!$A157,"mmm")</f>
        <v>Jul</v>
      </c>
      <c r="Q157" s="41">
        <f>YEAR('Data 1'!$A157)</f>
        <v>2021</v>
      </c>
    </row>
    <row r="158" spans="1:17" x14ac:dyDescent="0.3">
      <c r="A158" s="35">
        <v>44400</v>
      </c>
      <c r="B158" s="36" t="s">
        <v>62</v>
      </c>
      <c r="C158" s="37">
        <v>7</v>
      </c>
      <c r="D158" s="37" t="s">
        <v>16</v>
      </c>
      <c r="E158" s="37" t="s">
        <v>17</v>
      </c>
      <c r="F158" s="38">
        <v>0</v>
      </c>
      <c r="G158" s="39" t="str">
        <f>VLOOKUP('Data 1'!$B158,'Data 2'!$A$1:$F$46,MATCH('Data 1'!G$1,'Data 2'!$A$1:$F$1,0),0)</f>
        <v>Product36</v>
      </c>
      <c r="H158" s="39" t="str">
        <f>VLOOKUP('Data 1'!$B158,'Data 2'!$A$1:$F$46,MATCH('Data 1'!H$1,'Data 2'!$A$1:$F$1,0),0)</f>
        <v>Category04</v>
      </c>
      <c r="I158" s="39" t="str">
        <f>VLOOKUP('Data 1'!$B158,'Data 2'!$A$1:$F$46,MATCH('Data 1'!I$1,'Data 2'!$A$1:$F$1,0),0)</f>
        <v>Kg</v>
      </c>
      <c r="J158" s="39">
        <f>VLOOKUP('Data 1'!$B158,'Data 2'!$A$1:$F$46,MATCH('Data 1'!J$1,'Data 2'!$A$1:$F$1,0),0)</f>
        <v>90</v>
      </c>
      <c r="K158" s="39">
        <f>VLOOKUP('Data 1'!$B158,'Data 2'!$A$1:$F$46,MATCH('Data 1'!K$1,'Data 2'!$A$1:$F$1,0),0)</f>
        <v>96.3</v>
      </c>
      <c r="L158" s="40">
        <f>SUM('Data 1'!$J158*'Data 1'!$C158)</f>
        <v>630</v>
      </c>
      <c r="M158" s="40">
        <f>'Data 1'!$C158*'Data 1'!$K158</f>
        <v>674.1</v>
      </c>
      <c r="N158" s="40">
        <f>'Data 1'!$M158-'Data 1'!$L158</f>
        <v>44.100000000000023</v>
      </c>
      <c r="O158" s="37">
        <f>DAY('Data 1'!$A158)</f>
        <v>23</v>
      </c>
      <c r="P158" s="37" t="str">
        <f>TEXT('Data 1'!$A158,"mmm")</f>
        <v>Jul</v>
      </c>
      <c r="Q158" s="41">
        <f>YEAR('Data 1'!$A158)</f>
        <v>2021</v>
      </c>
    </row>
    <row r="159" spans="1:17" x14ac:dyDescent="0.3">
      <c r="A159" s="35">
        <v>44400</v>
      </c>
      <c r="B159" s="36" t="s">
        <v>27</v>
      </c>
      <c r="C159" s="37">
        <v>8</v>
      </c>
      <c r="D159" s="37" t="s">
        <v>21</v>
      </c>
      <c r="E159" s="37" t="s">
        <v>17</v>
      </c>
      <c r="F159" s="38">
        <v>0</v>
      </c>
      <c r="G159" s="42" t="str">
        <f>VLOOKUP('Data 1'!$B159,'Data 2'!$A$1:$F$46,MATCH('Data 1'!G$1,'Data 2'!$A$1:$F$1,0),0)</f>
        <v>Product37</v>
      </c>
      <c r="H159" s="42" t="str">
        <f>VLOOKUP('Data 1'!$B159,'Data 2'!$A$1:$F$46,MATCH('Data 1'!H$1,'Data 2'!$A$1:$F$1,0),0)</f>
        <v>Category05</v>
      </c>
      <c r="I159" s="42" t="str">
        <f>VLOOKUP('Data 1'!$B159,'Data 2'!$A$1:$F$46,MATCH('Data 1'!I$1,'Data 2'!$A$1:$F$1,0),0)</f>
        <v>Kg</v>
      </c>
      <c r="J159" s="42">
        <f>VLOOKUP('Data 1'!$B159,'Data 2'!$A$1:$F$46,MATCH('Data 1'!J$1,'Data 2'!$A$1:$F$1,0),0)</f>
        <v>67</v>
      </c>
      <c r="K159" s="42">
        <f>VLOOKUP('Data 1'!$B159,'Data 2'!$A$1:$F$46,MATCH('Data 1'!K$1,'Data 2'!$A$1:$F$1,0),0)</f>
        <v>85.76</v>
      </c>
      <c r="L159" s="40">
        <f>SUM('Data 1'!$J159*'Data 1'!$C159)</f>
        <v>536</v>
      </c>
      <c r="M159" s="40">
        <f>'Data 1'!$C159*'Data 1'!$K159</f>
        <v>686.08</v>
      </c>
      <c r="N159" s="40">
        <f>'Data 1'!$M159-'Data 1'!$L159</f>
        <v>150.08000000000004</v>
      </c>
      <c r="O159" s="37">
        <f>DAY('Data 1'!$A159)</f>
        <v>23</v>
      </c>
      <c r="P159" s="37" t="str">
        <f>TEXT('Data 1'!$A159,"mmm")</f>
        <v>Jul</v>
      </c>
      <c r="Q159" s="41">
        <f>YEAR('Data 1'!$A159)</f>
        <v>2021</v>
      </c>
    </row>
    <row r="160" spans="1:17" x14ac:dyDescent="0.3">
      <c r="A160" s="35">
        <v>44401</v>
      </c>
      <c r="B160" s="36" t="s">
        <v>56</v>
      </c>
      <c r="C160" s="37">
        <v>4</v>
      </c>
      <c r="D160" s="37" t="s">
        <v>17</v>
      </c>
      <c r="E160" s="37" t="s">
        <v>19</v>
      </c>
      <c r="F160" s="38">
        <v>0</v>
      </c>
      <c r="G160" s="39" t="str">
        <f>VLOOKUP('Data 1'!$B160,'Data 2'!$A$1:$F$46,MATCH('Data 1'!G$1,'Data 2'!$A$1:$F$1,0),0)</f>
        <v>Product09</v>
      </c>
      <c r="H160" s="39" t="str">
        <f>VLOOKUP('Data 1'!$B160,'Data 2'!$A$1:$F$46,MATCH('Data 1'!H$1,'Data 2'!$A$1:$F$1,0),0)</f>
        <v>Category03</v>
      </c>
      <c r="I160" s="39" t="str">
        <f>VLOOKUP('Data 1'!$B160,'Data 2'!$A$1:$F$46,MATCH('Data 1'!I$1,'Data 2'!$A$1:$F$1,0),0)</f>
        <v>No.</v>
      </c>
      <c r="J160" s="39">
        <f>VLOOKUP('Data 1'!$B160,'Data 2'!$A$1:$F$46,MATCH('Data 1'!J$1,'Data 2'!$A$1:$F$1,0),0)</f>
        <v>6</v>
      </c>
      <c r="K160" s="39">
        <f>VLOOKUP('Data 1'!$B160,'Data 2'!$A$1:$F$46,MATCH('Data 1'!K$1,'Data 2'!$A$1:$F$1,0),0)</f>
        <v>7.8599999999999994</v>
      </c>
      <c r="L160" s="40">
        <f>SUM('Data 1'!$J160*'Data 1'!$C160)</f>
        <v>24</v>
      </c>
      <c r="M160" s="40">
        <f>'Data 1'!$C160*'Data 1'!$K160</f>
        <v>31.439999999999998</v>
      </c>
      <c r="N160" s="40">
        <f>'Data 1'!$M160-'Data 1'!$L160</f>
        <v>7.4399999999999977</v>
      </c>
      <c r="O160" s="37">
        <f>DAY('Data 1'!$A160)</f>
        <v>24</v>
      </c>
      <c r="P160" s="37" t="str">
        <f>TEXT('Data 1'!$A160,"mmm")</f>
        <v>Jul</v>
      </c>
      <c r="Q160" s="41">
        <f>YEAR('Data 1'!$A160)</f>
        <v>2021</v>
      </c>
    </row>
    <row r="161" spans="1:17" x14ac:dyDescent="0.3">
      <c r="A161" s="35">
        <v>44406</v>
      </c>
      <c r="B161" s="36" t="s">
        <v>30</v>
      </c>
      <c r="C161" s="37">
        <v>15</v>
      </c>
      <c r="D161" s="37" t="s">
        <v>17</v>
      </c>
      <c r="E161" s="37" t="s">
        <v>19</v>
      </c>
      <c r="F161" s="38">
        <v>0</v>
      </c>
      <c r="G161" s="42" t="str">
        <f>VLOOKUP('Data 1'!$B161,'Data 2'!$A$1:$F$46,MATCH('Data 1'!G$1,'Data 2'!$A$1:$F$1,0),0)</f>
        <v>Product44</v>
      </c>
      <c r="H161" s="42" t="str">
        <f>VLOOKUP('Data 1'!$B161,'Data 2'!$A$1:$F$46,MATCH('Data 1'!H$1,'Data 2'!$A$1:$F$1,0),0)</f>
        <v>Category05</v>
      </c>
      <c r="I161" s="42" t="str">
        <f>VLOOKUP('Data 1'!$B161,'Data 2'!$A$1:$F$46,MATCH('Data 1'!I$1,'Data 2'!$A$1:$F$1,0),0)</f>
        <v>Kg</v>
      </c>
      <c r="J161" s="42">
        <f>VLOOKUP('Data 1'!$B161,'Data 2'!$A$1:$F$46,MATCH('Data 1'!J$1,'Data 2'!$A$1:$F$1,0),0)</f>
        <v>76</v>
      </c>
      <c r="K161" s="42">
        <f>VLOOKUP('Data 1'!$B161,'Data 2'!$A$1:$F$46,MATCH('Data 1'!K$1,'Data 2'!$A$1:$F$1,0),0)</f>
        <v>82.08</v>
      </c>
      <c r="L161" s="40">
        <f>SUM('Data 1'!$J161*'Data 1'!$C161)</f>
        <v>1140</v>
      </c>
      <c r="M161" s="40">
        <f>'Data 1'!$C161*'Data 1'!$K161</f>
        <v>1231.2</v>
      </c>
      <c r="N161" s="40">
        <f>'Data 1'!$M161-'Data 1'!$L161</f>
        <v>91.200000000000045</v>
      </c>
      <c r="O161" s="37">
        <f>DAY('Data 1'!$A161)</f>
        <v>29</v>
      </c>
      <c r="P161" s="37" t="str">
        <f>TEXT('Data 1'!$A161,"mmm")</f>
        <v>Jul</v>
      </c>
      <c r="Q161" s="41">
        <f>YEAR('Data 1'!$A161)</f>
        <v>2021</v>
      </c>
    </row>
    <row r="162" spans="1:17" x14ac:dyDescent="0.3">
      <c r="A162" s="35">
        <v>44409</v>
      </c>
      <c r="B162" s="36" t="s">
        <v>35</v>
      </c>
      <c r="C162" s="37">
        <v>11</v>
      </c>
      <c r="D162" s="37" t="s">
        <v>21</v>
      </c>
      <c r="E162" s="37" t="s">
        <v>19</v>
      </c>
      <c r="F162" s="38">
        <v>0</v>
      </c>
      <c r="G162" s="39" t="str">
        <f>VLOOKUP('Data 1'!$B162,'Data 2'!$A$1:$F$46,MATCH('Data 1'!G$1,'Data 2'!$A$1:$F$1,0),0)</f>
        <v>Product01</v>
      </c>
      <c r="H162" s="39" t="str">
        <f>VLOOKUP('Data 1'!$B162,'Data 2'!$A$1:$F$46,MATCH('Data 1'!H$1,'Data 2'!$A$1:$F$1,0),0)</f>
        <v>Category01</v>
      </c>
      <c r="I162" s="39" t="str">
        <f>VLOOKUP('Data 1'!$B162,'Data 2'!$A$1:$F$46,MATCH('Data 1'!I$1,'Data 2'!$A$1:$F$1,0),0)</f>
        <v>Kg</v>
      </c>
      <c r="J162" s="39">
        <f>VLOOKUP('Data 1'!$B162,'Data 2'!$A$1:$F$46,MATCH('Data 1'!J$1,'Data 2'!$A$1:$F$1,0),0)</f>
        <v>98</v>
      </c>
      <c r="K162" s="39">
        <f>VLOOKUP('Data 1'!$B162,'Data 2'!$A$1:$F$46,MATCH('Data 1'!K$1,'Data 2'!$A$1:$F$1,0),0)</f>
        <v>103.88</v>
      </c>
      <c r="L162" s="40">
        <f>SUM('Data 1'!$J162*'Data 1'!$C162)</f>
        <v>1078</v>
      </c>
      <c r="M162" s="40">
        <f>'Data 1'!$C162*'Data 1'!$K162</f>
        <v>1142.6799999999998</v>
      </c>
      <c r="N162" s="40">
        <f>'Data 1'!$M162-'Data 1'!$L162</f>
        <v>64.679999999999836</v>
      </c>
      <c r="O162" s="37">
        <f>DAY('Data 1'!$A162)</f>
        <v>1</v>
      </c>
      <c r="P162" s="37" t="str">
        <f>TEXT('Data 1'!$A162,"mmm")</f>
        <v>Aug</v>
      </c>
      <c r="Q162" s="41">
        <f>YEAR('Data 1'!$A162)</f>
        <v>2021</v>
      </c>
    </row>
    <row r="163" spans="1:17" x14ac:dyDescent="0.3">
      <c r="A163" s="35">
        <v>44410</v>
      </c>
      <c r="B163" s="36" t="s">
        <v>31</v>
      </c>
      <c r="C163" s="37">
        <v>3</v>
      </c>
      <c r="D163" s="37" t="s">
        <v>21</v>
      </c>
      <c r="E163" s="37" t="s">
        <v>17</v>
      </c>
      <c r="F163" s="38">
        <v>0</v>
      </c>
      <c r="G163" s="42" t="str">
        <f>VLOOKUP('Data 1'!$B163,'Data 2'!$A$1:$F$46,MATCH('Data 1'!G$1,'Data 2'!$A$1:$F$1,0),0)</f>
        <v>Product23</v>
      </c>
      <c r="H163" s="42" t="str">
        <f>VLOOKUP('Data 1'!$B163,'Data 2'!$A$1:$F$46,MATCH('Data 1'!H$1,'Data 2'!$A$1:$F$1,0),0)</f>
        <v>Category03</v>
      </c>
      <c r="I163" s="42" t="str">
        <f>VLOOKUP('Data 1'!$B163,'Data 2'!$A$1:$F$46,MATCH('Data 1'!I$1,'Data 2'!$A$1:$F$1,0),0)</f>
        <v>Ft</v>
      </c>
      <c r="J163" s="42">
        <f>VLOOKUP('Data 1'!$B163,'Data 2'!$A$1:$F$46,MATCH('Data 1'!J$1,'Data 2'!$A$1:$F$1,0),0)</f>
        <v>141</v>
      </c>
      <c r="K163" s="42">
        <f>VLOOKUP('Data 1'!$B163,'Data 2'!$A$1:$F$46,MATCH('Data 1'!K$1,'Data 2'!$A$1:$F$1,0),0)</f>
        <v>149.46</v>
      </c>
      <c r="L163" s="40">
        <f>SUM('Data 1'!$J163*'Data 1'!$C163)</f>
        <v>423</v>
      </c>
      <c r="M163" s="40">
        <f>'Data 1'!$C163*'Data 1'!$K163</f>
        <v>448.38</v>
      </c>
      <c r="N163" s="40">
        <f>'Data 1'!$M163-'Data 1'!$L163</f>
        <v>25.379999999999995</v>
      </c>
      <c r="O163" s="37">
        <f>DAY('Data 1'!$A163)</f>
        <v>2</v>
      </c>
      <c r="P163" s="37" t="str">
        <f>TEXT('Data 1'!$A163,"mmm")</f>
        <v>Aug</v>
      </c>
      <c r="Q163" s="41">
        <f>YEAR('Data 1'!$A163)</f>
        <v>2021</v>
      </c>
    </row>
    <row r="164" spans="1:17" x14ac:dyDescent="0.3">
      <c r="A164" s="35">
        <v>44411</v>
      </c>
      <c r="B164" s="36" t="s">
        <v>41</v>
      </c>
      <c r="C164" s="37">
        <v>13</v>
      </c>
      <c r="D164" s="37" t="s">
        <v>17</v>
      </c>
      <c r="E164" s="37" t="s">
        <v>17</v>
      </c>
      <c r="F164" s="38">
        <v>0</v>
      </c>
      <c r="G164" s="39" t="str">
        <f>VLOOKUP('Data 1'!$B164,'Data 2'!$A$1:$F$46,MATCH('Data 1'!G$1,'Data 2'!$A$1:$F$1,0),0)</f>
        <v>Product22</v>
      </c>
      <c r="H164" s="39" t="str">
        <f>VLOOKUP('Data 1'!$B164,'Data 2'!$A$1:$F$46,MATCH('Data 1'!H$1,'Data 2'!$A$1:$F$1,0),0)</f>
        <v>Category03</v>
      </c>
      <c r="I164" s="39" t="str">
        <f>VLOOKUP('Data 1'!$B164,'Data 2'!$A$1:$F$46,MATCH('Data 1'!I$1,'Data 2'!$A$1:$F$1,0),0)</f>
        <v>Ft</v>
      </c>
      <c r="J164" s="39">
        <f>VLOOKUP('Data 1'!$B164,'Data 2'!$A$1:$F$46,MATCH('Data 1'!J$1,'Data 2'!$A$1:$F$1,0),0)</f>
        <v>121</v>
      </c>
      <c r="K164" s="39">
        <f>VLOOKUP('Data 1'!$B164,'Data 2'!$A$1:$F$46,MATCH('Data 1'!K$1,'Data 2'!$A$1:$F$1,0),0)</f>
        <v>141.57</v>
      </c>
      <c r="L164" s="40">
        <f>SUM('Data 1'!$J164*'Data 1'!$C164)</f>
        <v>1573</v>
      </c>
      <c r="M164" s="40">
        <f>'Data 1'!$C164*'Data 1'!$K164</f>
        <v>1840.4099999999999</v>
      </c>
      <c r="N164" s="40">
        <f>'Data 1'!$M164-'Data 1'!$L164</f>
        <v>267.40999999999985</v>
      </c>
      <c r="O164" s="37">
        <f>DAY('Data 1'!$A164)</f>
        <v>3</v>
      </c>
      <c r="P164" s="37" t="str">
        <f>TEXT('Data 1'!$A164,"mmm")</f>
        <v>Aug</v>
      </c>
      <c r="Q164" s="41">
        <f>YEAR('Data 1'!$A164)</f>
        <v>2021</v>
      </c>
    </row>
    <row r="165" spans="1:17" x14ac:dyDescent="0.3">
      <c r="A165" s="35">
        <v>44411</v>
      </c>
      <c r="B165" s="36" t="s">
        <v>32</v>
      </c>
      <c r="C165" s="37">
        <v>12</v>
      </c>
      <c r="D165" s="37" t="s">
        <v>17</v>
      </c>
      <c r="E165" s="37" t="s">
        <v>17</v>
      </c>
      <c r="F165" s="38">
        <v>0</v>
      </c>
      <c r="G165" s="42" t="str">
        <f>VLOOKUP('Data 1'!$B165,'Data 2'!$A$1:$F$46,MATCH('Data 1'!G$1,'Data 2'!$A$1:$F$1,0),0)</f>
        <v>Product34</v>
      </c>
      <c r="H165" s="42" t="str">
        <f>VLOOKUP('Data 1'!$B165,'Data 2'!$A$1:$F$46,MATCH('Data 1'!H$1,'Data 2'!$A$1:$F$1,0),0)</f>
        <v>Category04</v>
      </c>
      <c r="I165" s="42" t="str">
        <f>VLOOKUP('Data 1'!$B165,'Data 2'!$A$1:$F$46,MATCH('Data 1'!I$1,'Data 2'!$A$1:$F$1,0),0)</f>
        <v>Lt</v>
      </c>
      <c r="J165" s="42">
        <f>VLOOKUP('Data 1'!$B165,'Data 2'!$A$1:$F$46,MATCH('Data 1'!J$1,'Data 2'!$A$1:$F$1,0),0)</f>
        <v>55</v>
      </c>
      <c r="K165" s="42">
        <f>VLOOKUP('Data 1'!$B165,'Data 2'!$A$1:$F$46,MATCH('Data 1'!K$1,'Data 2'!$A$1:$F$1,0),0)</f>
        <v>58.3</v>
      </c>
      <c r="L165" s="40">
        <f>SUM('Data 1'!$J165*'Data 1'!$C165)</f>
        <v>660</v>
      </c>
      <c r="M165" s="40">
        <f>'Data 1'!$C165*'Data 1'!$K165</f>
        <v>699.59999999999991</v>
      </c>
      <c r="N165" s="40">
        <f>'Data 1'!$M165-'Data 1'!$L165</f>
        <v>39.599999999999909</v>
      </c>
      <c r="O165" s="37">
        <f>DAY('Data 1'!$A165)</f>
        <v>3</v>
      </c>
      <c r="P165" s="37" t="str">
        <f>TEXT('Data 1'!$A165,"mmm")</f>
        <v>Aug</v>
      </c>
      <c r="Q165" s="41">
        <f>YEAR('Data 1'!$A165)</f>
        <v>2021</v>
      </c>
    </row>
    <row r="166" spans="1:17" x14ac:dyDescent="0.3">
      <c r="A166" s="35">
        <v>44413</v>
      </c>
      <c r="B166" s="36" t="s">
        <v>52</v>
      </c>
      <c r="C166" s="37">
        <v>14</v>
      </c>
      <c r="D166" s="37" t="s">
        <v>21</v>
      </c>
      <c r="E166" s="37" t="s">
        <v>19</v>
      </c>
      <c r="F166" s="38">
        <v>0</v>
      </c>
      <c r="G166" s="39" t="str">
        <f>VLOOKUP('Data 1'!$B166,'Data 2'!$A$1:$F$46,MATCH('Data 1'!G$1,'Data 2'!$A$1:$F$1,0),0)</f>
        <v>Product28</v>
      </c>
      <c r="H166" s="39" t="str">
        <f>VLOOKUP('Data 1'!$B166,'Data 2'!$A$1:$F$46,MATCH('Data 1'!H$1,'Data 2'!$A$1:$F$1,0),0)</f>
        <v>Category04</v>
      </c>
      <c r="I166" s="39" t="str">
        <f>VLOOKUP('Data 1'!$B166,'Data 2'!$A$1:$F$46,MATCH('Data 1'!I$1,'Data 2'!$A$1:$F$1,0),0)</f>
        <v>No.</v>
      </c>
      <c r="J166" s="39">
        <f>VLOOKUP('Data 1'!$B166,'Data 2'!$A$1:$F$46,MATCH('Data 1'!J$1,'Data 2'!$A$1:$F$1,0),0)</f>
        <v>37</v>
      </c>
      <c r="K166" s="39">
        <f>VLOOKUP('Data 1'!$B166,'Data 2'!$A$1:$F$46,MATCH('Data 1'!K$1,'Data 2'!$A$1:$F$1,0),0)</f>
        <v>41.81</v>
      </c>
      <c r="L166" s="40">
        <f>SUM('Data 1'!$J166*'Data 1'!$C166)</f>
        <v>518</v>
      </c>
      <c r="M166" s="40">
        <f>'Data 1'!$C166*'Data 1'!$K166</f>
        <v>585.34</v>
      </c>
      <c r="N166" s="40">
        <f>'Data 1'!$M166-'Data 1'!$L166</f>
        <v>67.340000000000032</v>
      </c>
      <c r="O166" s="37">
        <f>DAY('Data 1'!$A166)</f>
        <v>5</v>
      </c>
      <c r="P166" s="37" t="str">
        <f>TEXT('Data 1'!$A166,"mmm")</f>
        <v>Aug</v>
      </c>
      <c r="Q166" s="41">
        <f>YEAR('Data 1'!$A166)</f>
        <v>2021</v>
      </c>
    </row>
    <row r="167" spans="1:17" x14ac:dyDescent="0.3">
      <c r="A167" s="35">
        <v>44414</v>
      </c>
      <c r="B167" s="36" t="s">
        <v>27</v>
      </c>
      <c r="C167" s="37">
        <v>1</v>
      </c>
      <c r="D167" s="37" t="s">
        <v>16</v>
      </c>
      <c r="E167" s="37" t="s">
        <v>19</v>
      </c>
      <c r="F167" s="38">
        <v>0</v>
      </c>
      <c r="G167" s="42" t="str">
        <f>VLOOKUP('Data 1'!$B167,'Data 2'!$A$1:$F$46,MATCH('Data 1'!G$1,'Data 2'!$A$1:$F$1,0),0)</f>
        <v>Product37</v>
      </c>
      <c r="H167" s="42" t="str">
        <f>VLOOKUP('Data 1'!$B167,'Data 2'!$A$1:$F$46,MATCH('Data 1'!H$1,'Data 2'!$A$1:$F$1,0),0)</f>
        <v>Category05</v>
      </c>
      <c r="I167" s="42" t="str">
        <f>VLOOKUP('Data 1'!$B167,'Data 2'!$A$1:$F$46,MATCH('Data 1'!I$1,'Data 2'!$A$1:$F$1,0),0)</f>
        <v>Kg</v>
      </c>
      <c r="J167" s="42">
        <f>VLOOKUP('Data 1'!$B167,'Data 2'!$A$1:$F$46,MATCH('Data 1'!J$1,'Data 2'!$A$1:$F$1,0),0)</f>
        <v>67</v>
      </c>
      <c r="K167" s="42">
        <f>VLOOKUP('Data 1'!$B167,'Data 2'!$A$1:$F$46,MATCH('Data 1'!K$1,'Data 2'!$A$1:$F$1,0),0)</f>
        <v>85.76</v>
      </c>
      <c r="L167" s="40">
        <f>SUM('Data 1'!$J167*'Data 1'!$C167)</f>
        <v>67</v>
      </c>
      <c r="M167" s="40">
        <f>'Data 1'!$C167*'Data 1'!$K167</f>
        <v>85.76</v>
      </c>
      <c r="N167" s="40">
        <f>'Data 1'!$M167-'Data 1'!$L167</f>
        <v>18.760000000000005</v>
      </c>
      <c r="O167" s="37">
        <f>DAY('Data 1'!$A167)</f>
        <v>6</v>
      </c>
      <c r="P167" s="37" t="str">
        <f>TEXT('Data 1'!$A167,"mmm")</f>
        <v>Aug</v>
      </c>
      <c r="Q167" s="41">
        <f>YEAR('Data 1'!$A167)</f>
        <v>2021</v>
      </c>
    </row>
    <row r="168" spans="1:17" x14ac:dyDescent="0.3">
      <c r="A168" s="35">
        <v>44418</v>
      </c>
      <c r="B168" s="36" t="s">
        <v>43</v>
      </c>
      <c r="C168" s="37">
        <v>4</v>
      </c>
      <c r="D168" s="37" t="s">
        <v>16</v>
      </c>
      <c r="E168" s="37" t="s">
        <v>19</v>
      </c>
      <c r="F168" s="38">
        <v>0</v>
      </c>
      <c r="G168" s="39" t="str">
        <f>VLOOKUP('Data 1'!$B168,'Data 2'!$A$1:$F$46,MATCH('Data 1'!G$1,'Data 2'!$A$1:$F$1,0),0)</f>
        <v>Product05</v>
      </c>
      <c r="H168" s="39" t="str">
        <f>VLOOKUP('Data 1'!$B168,'Data 2'!$A$1:$F$46,MATCH('Data 1'!H$1,'Data 2'!$A$1:$F$1,0),0)</f>
        <v>Category01</v>
      </c>
      <c r="I168" s="39" t="str">
        <f>VLOOKUP('Data 1'!$B168,'Data 2'!$A$1:$F$46,MATCH('Data 1'!I$1,'Data 2'!$A$1:$F$1,0),0)</f>
        <v>Ft</v>
      </c>
      <c r="J168" s="39">
        <f>VLOOKUP('Data 1'!$B168,'Data 2'!$A$1:$F$46,MATCH('Data 1'!J$1,'Data 2'!$A$1:$F$1,0),0)</f>
        <v>133</v>
      </c>
      <c r="K168" s="39">
        <f>VLOOKUP('Data 1'!$B168,'Data 2'!$A$1:$F$46,MATCH('Data 1'!K$1,'Data 2'!$A$1:$F$1,0),0)</f>
        <v>155.61000000000001</v>
      </c>
      <c r="L168" s="40">
        <f>SUM('Data 1'!$J168*'Data 1'!$C168)</f>
        <v>532</v>
      </c>
      <c r="M168" s="40">
        <f>'Data 1'!$C168*'Data 1'!$K168</f>
        <v>622.44000000000005</v>
      </c>
      <c r="N168" s="40">
        <f>'Data 1'!$M168-'Data 1'!$L168</f>
        <v>90.440000000000055</v>
      </c>
      <c r="O168" s="37">
        <f>DAY('Data 1'!$A168)</f>
        <v>10</v>
      </c>
      <c r="P168" s="37" t="str">
        <f>TEXT('Data 1'!$A168,"mmm")</f>
        <v>Aug</v>
      </c>
      <c r="Q168" s="41">
        <f>YEAR('Data 1'!$A168)</f>
        <v>2021</v>
      </c>
    </row>
    <row r="169" spans="1:17" x14ac:dyDescent="0.3">
      <c r="A169" s="35">
        <v>44418</v>
      </c>
      <c r="B169" s="36" t="s">
        <v>30</v>
      </c>
      <c r="C169" s="37">
        <v>10</v>
      </c>
      <c r="D169" s="37" t="s">
        <v>17</v>
      </c>
      <c r="E169" s="37" t="s">
        <v>19</v>
      </c>
      <c r="F169" s="38">
        <v>0</v>
      </c>
      <c r="G169" s="42" t="str">
        <f>VLOOKUP('Data 1'!$B169,'Data 2'!$A$1:$F$46,MATCH('Data 1'!G$1,'Data 2'!$A$1:$F$1,0),0)</f>
        <v>Product44</v>
      </c>
      <c r="H169" s="42" t="str">
        <f>VLOOKUP('Data 1'!$B169,'Data 2'!$A$1:$F$46,MATCH('Data 1'!H$1,'Data 2'!$A$1:$F$1,0),0)</f>
        <v>Category05</v>
      </c>
      <c r="I169" s="42" t="str">
        <f>VLOOKUP('Data 1'!$B169,'Data 2'!$A$1:$F$46,MATCH('Data 1'!I$1,'Data 2'!$A$1:$F$1,0),0)</f>
        <v>Kg</v>
      </c>
      <c r="J169" s="42">
        <f>VLOOKUP('Data 1'!$B169,'Data 2'!$A$1:$F$46,MATCH('Data 1'!J$1,'Data 2'!$A$1:$F$1,0),0)</f>
        <v>76</v>
      </c>
      <c r="K169" s="42">
        <f>VLOOKUP('Data 1'!$B169,'Data 2'!$A$1:$F$46,MATCH('Data 1'!K$1,'Data 2'!$A$1:$F$1,0),0)</f>
        <v>82.08</v>
      </c>
      <c r="L169" s="40">
        <f>SUM('Data 1'!$J169*'Data 1'!$C169)</f>
        <v>760</v>
      </c>
      <c r="M169" s="40">
        <f>'Data 1'!$C169*'Data 1'!$K169</f>
        <v>820.8</v>
      </c>
      <c r="N169" s="40">
        <f>'Data 1'!$M169-'Data 1'!$L169</f>
        <v>60.799999999999955</v>
      </c>
      <c r="O169" s="37">
        <f>DAY('Data 1'!$A169)</f>
        <v>10</v>
      </c>
      <c r="P169" s="37" t="str">
        <f>TEXT('Data 1'!$A169,"mmm")</f>
        <v>Aug</v>
      </c>
      <c r="Q169" s="41">
        <f>YEAR('Data 1'!$A169)</f>
        <v>2021</v>
      </c>
    </row>
    <row r="170" spans="1:17" x14ac:dyDescent="0.3">
      <c r="A170" s="35">
        <v>44418</v>
      </c>
      <c r="B170" s="36" t="s">
        <v>34</v>
      </c>
      <c r="C170" s="37">
        <v>6</v>
      </c>
      <c r="D170" s="37" t="s">
        <v>21</v>
      </c>
      <c r="E170" s="37" t="s">
        <v>19</v>
      </c>
      <c r="F170" s="38">
        <v>0</v>
      </c>
      <c r="G170" s="39" t="str">
        <f>VLOOKUP('Data 1'!$B170,'Data 2'!$A$1:$F$46,MATCH('Data 1'!G$1,'Data 2'!$A$1:$F$1,0),0)</f>
        <v>Product06</v>
      </c>
      <c r="H170" s="39" t="str">
        <f>VLOOKUP('Data 1'!$B170,'Data 2'!$A$1:$F$46,MATCH('Data 1'!H$1,'Data 2'!$A$1:$F$1,0),0)</f>
        <v>Category01</v>
      </c>
      <c r="I170" s="39" t="str">
        <f>VLOOKUP('Data 1'!$B170,'Data 2'!$A$1:$F$46,MATCH('Data 1'!I$1,'Data 2'!$A$1:$F$1,0),0)</f>
        <v>Kg</v>
      </c>
      <c r="J170" s="39">
        <f>VLOOKUP('Data 1'!$B170,'Data 2'!$A$1:$F$46,MATCH('Data 1'!J$1,'Data 2'!$A$1:$F$1,0),0)</f>
        <v>75</v>
      </c>
      <c r="K170" s="39">
        <f>VLOOKUP('Data 1'!$B170,'Data 2'!$A$1:$F$46,MATCH('Data 1'!K$1,'Data 2'!$A$1:$F$1,0),0)</f>
        <v>85.5</v>
      </c>
      <c r="L170" s="40">
        <f>SUM('Data 1'!$J170*'Data 1'!$C170)</f>
        <v>450</v>
      </c>
      <c r="M170" s="40">
        <f>'Data 1'!$C170*'Data 1'!$K170</f>
        <v>513</v>
      </c>
      <c r="N170" s="40">
        <f>'Data 1'!$M170-'Data 1'!$L170</f>
        <v>63</v>
      </c>
      <c r="O170" s="37">
        <f>DAY('Data 1'!$A170)</f>
        <v>10</v>
      </c>
      <c r="P170" s="37" t="str">
        <f>TEXT('Data 1'!$A170,"mmm")</f>
        <v>Aug</v>
      </c>
      <c r="Q170" s="41">
        <f>YEAR('Data 1'!$A170)</f>
        <v>2021</v>
      </c>
    </row>
    <row r="171" spans="1:17" x14ac:dyDescent="0.3">
      <c r="A171" s="35">
        <v>44419</v>
      </c>
      <c r="B171" s="36" t="s">
        <v>31</v>
      </c>
      <c r="C171" s="37">
        <v>4</v>
      </c>
      <c r="D171" s="37" t="s">
        <v>21</v>
      </c>
      <c r="E171" s="37" t="s">
        <v>17</v>
      </c>
      <c r="F171" s="38">
        <v>0</v>
      </c>
      <c r="G171" s="42" t="str">
        <f>VLOOKUP('Data 1'!$B171,'Data 2'!$A$1:$F$46,MATCH('Data 1'!G$1,'Data 2'!$A$1:$F$1,0),0)</f>
        <v>Product23</v>
      </c>
      <c r="H171" s="42" t="str">
        <f>VLOOKUP('Data 1'!$B171,'Data 2'!$A$1:$F$46,MATCH('Data 1'!H$1,'Data 2'!$A$1:$F$1,0),0)</f>
        <v>Category03</v>
      </c>
      <c r="I171" s="42" t="str">
        <f>VLOOKUP('Data 1'!$B171,'Data 2'!$A$1:$F$46,MATCH('Data 1'!I$1,'Data 2'!$A$1:$F$1,0),0)</f>
        <v>Ft</v>
      </c>
      <c r="J171" s="42">
        <f>VLOOKUP('Data 1'!$B171,'Data 2'!$A$1:$F$46,MATCH('Data 1'!J$1,'Data 2'!$A$1:$F$1,0),0)</f>
        <v>141</v>
      </c>
      <c r="K171" s="42">
        <f>VLOOKUP('Data 1'!$B171,'Data 2'!$A$1:$F$46,MATCH('Data 1'!K$1,'Data 2'!$A$1:$F$1,0),0)</f>
        <v>149.46</v>
      </c>
      <c r="L171" s="40">
        <f>SUM('Data 1'!$J171*'Data 1'!$C171)</f>
        <v>564</v>
      </c>
      <c r="M171" s="40">
        <f>'Data 1'!$C171*'Data 1'!$K171</f>
        <v>597.84</v>
      </c>
      <c r="N171" s="40">
        <f>'Data 1'!$M171-'Data 1'!$L171</f>
        <v>33.840000000000032</v>
      </c>
      <c r="O171" s="37">
        <f>DAY('Data 1'!$A171)</f>
        <v>11</v>
      </c>
      <c r="P171" s="37" t="str">
        <f>TEXT('Data 1'!$A171,"mmm")</f>
        <v>Aug</v>
      </c>
      <c r="Q171" s="41">
        <f>YEAR('Data 1'!$A171)</f>
        <v>2021</v>
      </c>
    </row>
    <row r="172" spans="1:17" x14ac:dyDescent="0.3">
      <c r="A172" s="35">
        <v>44421</v>
      </c>
      <c r="B172" s="36" t="s">
        <v>50</v>
      </c>
      <c r="C172" s="37">
        <v>13</v>
      </c>
      <c r="D172" s="37" t="s">
        <v>21</v>
      </c>
      <c r="E172" s="37" t="s">
        <v>17</v>
      </c>
      <c r="F172" s="38">
        <v>0</v>
      </c>
      <c r="G172" s="39" t="str">
        <f>VLOOKUP('Data 1'!$B172,'Data 2'!$A$1:$F$46,MATCH('Data 1'!G$1,'Data 2'!$A$1:$F$1,0),0)</f>
        <v>Product11</v>
      </c>
      <c r="H172" s="39" t="str">
        <f>VLOOKUP('Data 1'!$B172,'Data 2'!$A$1:$F$46,MATCH('Data 1'!H$1,'Data 2'!$A$1:$F$1,0),0)</f>
        <v>Category02</v>
      </c>
      <c r="I172" s="39" t="str">
        <f>VLOOKUP('Data 1'!$B172,'Data 2'!$A$1:$F$46,MATCH('Data 1'!I$1,'Data 2'!$A$1:$F$1,0),0)</f>
        <v>Lt</v>
      </c>
      <c r="J172" s="39">
        <f>VLOOKUP('Data 1'!$B172,'Data 2'!$A$1:$F$46,MATCH('Data 1'!J$1,'Data 2'!$A$1:$F$1,0),0)</f>
        <v>44</v>
      </c>
      <c r="K172" s="39">
        <f>VLOOKUP('Data 1'!$B172,'Data 2'!$A$1:$F$46,MATCH('Data 1'!K$1,'Data 2'!$A$1:$F$1,0),0)</f>
        <v>48.4</v>
      </c>
      <c r="L172" s="40">
        <f>SUM('Data 1'!$J172*'Data 1'!$C172)</f>
        <v>572</v>
      </c>
      <c r="M172" s="40">
        <f>'Data 1'!$C172*'Data 1'!$K172</f>
        <v>629.19999999999993</v>
      </c>
      <c r="N172" s="40">
        <f>'Data 1'!$M172-'Data 1'!$L172</f>
        <v>57.199999999999932</v>
      </c>
      <c r="O172" s="37">
        <f>DAY('Data 1'!$A172)</f>
        <v>13</v>
      </c>
      <c r="P172" s="37" t="str">
        <f>TEXT('Data 1'!$A172,"mmm")</f>
        <v>Aug</v>
      </c>
      <c r="Q172" s="41">
        <f>YEAR('Data 1'!$A172)</f>
        <v>2021</v>
      </c>
    </row>
    <row r="173" spans="1:17" x14ac:dyDescent="0.3">
      <c r="A173" s="35">
        <v>44421</v>
      </c>
      <c r="B173" s="36" t="s">
        <v>45</v>
      </c>
      <c r="C173" s="37">
        <v>9</v>
      </c>
      <c r="D173" s="37" t="s">
        <v>21</v>
      </c>
      <c r="E173" s="37" t="s">
        <v>17</v>
      </c>
      <c r="F173" s="38">
        <v>0</v>
      </c>
      <c r="G173" s="42" t="str">
        <f>VLOOKUP('Data 1'!$B173,'Data 2'!$A$1:$F$46,MATCH('Data 1'!G$1,'Data 2'!$A$1:$F$1,0),0)</f>
        <v>Product27</v>
      </c>
      <c r="H173" s="42" t="str">
        <f>VLOOKUP('Data 1'!$B173,'Data 2'!$A$1:$F$46,MATCH('Data 1'!H$1,'Data 2'!$A$1:$F$1,0),0)</f>
        <v>Category04</v>
      </c>
      <c r="I173" s="42" t="str">
        <f>VLOOKUP('Data 1'!$B173,'Data 2'!$A$1:$F$46,MATCH('Data 1'!I$1,'Data 2'!$A$1:$F$1,0),0)</f>
        <v>Lt</v>
      </c>
      <c r="J173" s="42">
        <f>VLOOKUP('Data 1'!$B173,'Data 2'!$A$1:$F$46,MATCH('Data 1'!J$1,'Data 2'!$A$1:$F$1,0),0)</f>
        <v>48</v>
      </c>
      <c r="K173" s="42">
        <f>VLOOKUP('Data 1'!$B173,'Data 2'!$A$1:$F$46,MATCH('Data 1'!K$1,'Data 2'!$A$1:$F$1,0),0)</f>
        <v>57.120000000000005</v>
      </c>
      <c r="L173" s="40">
        <f>SUM('Data 1'!$J173*'Data 1'!$C173)</f>
        <v>432</v>
      </c>
      <c r="M173" s="40">
        <f>'Data 1'!$C173*'Data 1'!$K173</f>
        <v>514.08000000000004</v>
      </c>
      <c r="N173" s="40">
        <f>'Data 1'!$M173-'Data 1'!$L173</f>
        <v>82.080000000000041</v>
      </c>
      <c r="O173" s="37">
        <f>DAY('Data 1'!$A173)</f>
        <v>13</v>
      </c>
      <c r="P173" s="37" t="str">
        <f>TEXT('Data 1'!$A173,"mmm")</f>
        <v>Aug</v>
      </c>
      <c r="Q173" s="41">
        <f>YEAR('Data 1'!$A173)</f>
        <v>2021</v>
      </c>
    </row>
    <row r="174" spans="1:17" x14ac:dyDescent="0.3">
      <c r="A174" s="35">
        <v>44424</v>
      </c>
      <c r="B174" s="36" t="s">
        <v>25</v>
      </c>
      <c r="C174" s="37">
        <v>3</v>
      </c>
      <c r="D174" s="37" t="s">
        <v>17</v>
      </c>
      <c r="E174" s="37" t="s">
        <v>17</v>
      </c>
      <c r="F174" s="38">
        <v>0</v>
      </c>
      <c r="G174" s="39" t="str">
        <f>VLOOKUP('Data 1'!$B174,'Data 2'!$A$1:$F$46,MATCH('Data 1'!G$1,'Data 2'!$A$1:$F$1,0),0)</f>
        <v>Product03</v>
      </c>
      <c r="H174" s="39" t="str">
        <f>VLOOKUP('Data 1'!$B174,'Data 2'!$A$1:$F$46,MATCH('Data 1'!H$1,'Data 2'!$A$1:$F$1,0),0)</f>
        <v>Category01</v>
      </c>
      <c r="I174" s="39" t="str">
        <f>VLOOKUP('Data 1'!$B174,'Data 2'!$A$1:$F$46,MATCH('Data 1'!I$1,'Data 2'!$A$1:$F$1,0),0)</f>
        <v>Kg</v>
      </c>
      <c r="J174" s="39">
        <f>VLOOKUP('Data 1'!$B174,'Data 2'!$A$1:$F$46,MATCH('Data 1'!J$1,'Data 2'!$A$1:$F$1,0),0)</f>
        <v>71</v>
      </c>
      <c r="K174" s="39">
        <f>VLOOKUP('Data 1'!$B174,'Data 2'!$A$1:$F$46,MATCH('Data 1'!K$1,'Data 2'!$A$1:$F$1,0),0)</f>
        <v>80.94</v>
      </c>
      <c r="L174" s="40">
        <f>SUM('Data 1'!$J174*'Data 1'!$C174)</f>
        <v>213</v>
      </c>
      <c r="M174" s="40">
        <f>'Data 1'!$C174*'Data 1'!$K174</f>
        <v>242.82</v>
      </c>
      <c r="N174" s="40">
        <f>'Data 1'!$M174-'Data 1'!$L174</f>
        <v>29.819999999999993</v>
      </c>
      <c r="O174" s="37">
        <f>DAY('Data 1'!$A174)</f>
        <v>16</v>
      </c>
      <c r="P174" s="37" t="str">
        <f>TEXT('Data 1'!$A174,"mmm")</f>
        <v>Aug</v>
      </c>
      <c r="Q174" s="41">
        <f>YEAR('Data 1'!$A174)</f>
        <v>2021</v>
      </c>
    </row>
    <row r="175" spans="1:17" x14ac:dyDescent="0.3">
      <c r="A175" s="35">
        <v>44426</v>
      </c>
      <c r="B175" s="36" t="s">
        <v>26</v>
      </c>
      <c r="C175" s="37">
        <v>6</v>
      </c>
      <c r="D175" s="37" t="s">
        <v>21</v>
      </c>
      <c r="E175" s="37" t="s">
        <v>17</v>
      </c>
      <c r="F175" s="38">
        <v>0</v>
      </c>
      <c r="G175" s="42" t="str">
        <f>VLOOKUP('Data 1'!$B175,'Data 2'!$A$1:$F$46,MATCH('Data 1'!G$1,'Data 2'!$A$1:$F$1,0),0)</f>
        <v>Product25</v>
      </c>
      <c r="H175" s="42" t="str">
        <f>VLOOKUP('Data 1'!$B175,'Data 2'!$A$1:$F$46,MATCH('Data 1'!H$1,'Data 2'!$A$1:$F$1,0),0)</f>
        <v>Category03</v>
      </c>
      <c r="I175" s="42" t="str">
        <f>VLOOKUP('Data 1'!$B175,'Data 2'!$A$1:$F$46,MATCH('Data 1'!I$1,'Data 2'!$A$1:$F$1,0),0)</f>
        <v>No.</v>
      </c>
      <c r="J175" s="42">
        <f>VLOOKUP('Data 1'!$B175,'Data 2'!$A$1:$F$46,MATCH('Data 1'!J$1,'Data 2'!$A$1:$F$1,0),0)</f>
        <v>7</v>
      </c>
      <c r="K175" s="42">
        <f>VLOOKUP('Data 1'!$B175,'Data 2'!$A$1:$F$46,MATCH('Data 1'!K$1,'Data 2'!$A$1:$F$1,0),0)</f>
        <v>8.33</v>
      </c>
      <c r="L175" s="40">
        <f>SUM('Data 1'!$J175*'Data 1'!$C175)</f>
        <v>42</v>
      </c>
      <c r="M175" s="40">
        <f>'Data 1'!$C175*'Data 1'!$K175</f>
        <v>49.980000000000004</v>
      </c>
      <c r="N175" s="40">
        <f>'Data 1'!$M175-'Data 1'!$L175</f>
        <v>7.980000000000004</v>
      </c>
      <c r="O175" s="37">
        <f>DAY('Data 1'!$A175)</f>
        <v>18</v>
      </c>
      <c r="P175" s="37" t="str">
        <f>TEXT('Data 1'!$A175,"mmm")</f>
        <v>Aug</v>
      </c>
      <c r="Q175" s="41">
        <f>YEAR('Data 1'!$A175)</f>
        <v>2021</v>
      </c>
    </row>
    <row r="176" spans="1:17" x14ac:dyDescent="0.3">
      <c r="A176" s="35">
        <v>44428</v>
      </c>
      <c r="B176" s="36" t="s">
        <v>33</v>
      </c>
      <c r="C176" s="37">
        <v>15</v>
      </c>
      <c r="D176" s="37" t="s">
        <v>21</v>
      </c>
      <c r="E176" s="37" t="s">
        <v>19</v>
      </c>
      <c r="F176" s="38">
        <v>0</v>
      </c>
      <c r="G176" s="39" t="str">
        <f>VLOOKUP('Data 1'!$B176,'Data 2'!$A$1:$F$46,MATCH('Data 1'!G$1,'Data 2'!$A$1:$F$1,0),0)</f>
        <v>Product20</v>
      </c>
      <c r="H176" s="39" t="str">
        <f>VLOOKUP('Data 1'!$B176,'Data 2'!$A$1:$F$46,MATCH('Data 1'!H$1,'Data 2'!$A$1:$F$1,0),0)</f>
        <v>Category03</v>
      </c>
      <c r="I176" s="39" t="str">
        <f>VLOOKUP('Data 1'!$B176,'Data 2'!$A$1:$F$46,MATCH('Data 1'!I$1,'Data 2'!$A$1:$F$1,0),0)</f>
        <v>Lt</v>
      </c>
      <c r="J176" s="39">
        <f>VLOOKUP('Data 1'!$B176,'Data 2'!$A$1:$F$46,MATCH('Data 1'!J$1,'Data 2'!$A$1:$F$1,0),0)</f>
        <v>61</v>
      </c>
      <c r="K176" s="39">
        <f>VLOOKUP('Data 1'!$B176,'Data 2'!$A$1:$F$46,MATCH('Data 1'!K$1,'Data 2'!$A$1:$F$1,0),0)</f>
        <v>76.25</v>
      </c>
      <c r="L176" s="40">
        <f>SUM('Data 1'!$J176*'Data 1'!$C176)</f>
        <v>915</v>
      </c>
      <c r="M176" s="40">
        <f>'Data 1'!$C176*'Data 1'!$K176</f>
        <v>1143.75</v>
      </c>
      <c r="N176" s="40">
        <f>'Data 1'!$M176-'Data 1'!$L176</f>
        <v>228.75</v>
      </c>
      <c r="O176" s="37">
        <f>DAY('Data 1'!$A176)</f>
        <v>20</v>
      </c>
      <c r="P176" s="37" t="str">
        <f>TEXT('Data 1'!$A176,"mmm")</f>
        <v>Aug</v>
      </c>
      <c r="Q176" s="41">
        <f>YEAR('Data 1'!$A176)</f>
        <v>2021</v>
      </c>
    </row>
    <row r="177" spans="1:17" x14ac:dyDescent="0.3">
      <c r="A177" s="35">
        <v>44428</v>
      </c>
      <c r="B177" s="36" t="s">
        <v>24</v>
      </c>
      <c r="C177" s="37">
        <v>9</v>
      </c>
      <c r="D177" s="37" t="s">
        <v>21</v>
      </c>
      <c r="E177" s="37" t="s">
        <v>17</v>
      </c>
      <c r="F177" s="38">
        <v>0</v>
      </c>
      <c r="G177" s="42" t="str">
        <f>VLOOKUP('Data 1'!$B177,'Data 2'!$A$1:$F$46,MATCH('Data 1'!G$1,'Data 2'!$A$1:$F$1,0),0)</f>
        <v>Product31</v>
      </c>
      <c r="H177" s="42" t="str">
        <f>VLOOKUP('Data 1'!$B177,'Data 2'!$A$1:$F$46,MATCH('Data 1'!H$1,'Data 2'!$A$1:$F$1,0),0)</f>
        <v>Category04</v>
      </c>
      <c r="I177" s="42" t="str">
        <f>VLOOKUP('Data 1'!$B177,'Data 2'!$A$1:$F$46,MATCH('Data 1'!I$1,'Data 2'!$A$1:$F$1,0),0)</f>
        <v>Kg</v>
      </c>
      <c r="J177" s="42">
        <f>VLOOKUP('Data 1'!$B177,'Data 2'!$A$1:$F$46,MATCH('Data 1'!J$1,'Data 2'!$A$1:$F$1,0),0)</f>
        <v>93</v>
      </c>
      <c r="K177" s="42">
        <f>VLOOKUP('Data 1'!$B177,'Data 2'!$A$1:$F$46,MATCH('Data 1'!K$1,'Data 2'!$A$1:$F$1,0),0)</f>
        <v>104.16</v>
      </c>
      <c r="L177" s="40">
        <f>SUM('Data 1'!$J177*'Data 1'!$C177)</f>
        <v>837</v>
      </c>
      <c r="M177" s="40">
        <f>'Data 1'!$C177*'Data 1'!$K177</f>
        <v>937.43999999999994</v>
      </c>
      <c r="N177" s="40">
        <f>'Data 1'!$M177-'Data 1'!$L177</f>
        <v>100.43999999999994</v>
      </c>
      <c r="O177" s="37">
        <f>DAY('Data 1'!$A177)</f>
        <v>20</v>
      </c>
      <c r="P177" s="37" t="str">
        <f>TEXT('Data 1'!$A177,"mmm")</f>
        <v>Aug</v>
      </c>
      <c r="Q177" s="41">
        <f>YEAR('Data 1'!$A177)</f>
        <v>2021</v>
      </c>
    </row>
    <row r="178" spans="1:17" x14ac:dyDescent="0.3">
      <c r="A178" s="35">
        <v>44428</v>
      </c>
      <c r="B178" s="36" t="s">
        <v>52</v>
      </c>
      <c r="C178" s="37">
        <v>13</v>
      </c>
      <c r="D178" s="37" t="s">
        <v>21</v>
      </c>
      <c r="E178" s="37" t="s">
        <v>17</v>
      </c>
      <c r="F178" s="38">
        <v>0</v>
      </c>
      <c r="G178" s="39" t="str">
        <f>VLOOKUP('Data 1'!$B178,'Data 2'!$A$1:$F$46,MATCH('Data 1'!G$1,'Data 2'!$A$1:$F$1,0),0)</f>
        <v>Product28</v>
      </c>
      <c r="H178" s="39" t="str">
        <f>VLOOKUP('Data 1'!$B178,'Data 2'!$A$1:$F$46,MATCH('Data 1'!H$1,'Data 2'!$A$1:$F$1,0),0)</f>
        <v>Category04</v>
      </c>
      <c r="I178" s="39" t="str">
        <f>VLOOKUP('Data 1'!$B178,'Data 2'!$A$1:$F$46,MATCH('Data 1'!I$1,'Data 2'!$A$1:$F$1,0),0)</f>
        <v>No.</v>
      </c>
      <c r="J178" s="39">
        <f>VLOOKUP('Data 1'!$B178,'Data 2'!$A$1:$F$46,MATCH('Data 1'!J$1,'Data 2'!$A$1:$F$1,0),0)</f>
        <v>37</v>
      </c>
      <c r="K178" s="39">
        <f>VLOOKUP('Data 1'!$B178,'Data 2'!$A$1:$F$46,MATCH('Data 1'!K$1,'Data 2'!$A$1:$F$1,0),0)</f>
        <v>41.81</v>
      </c>
      <c r="L178" s="40">
        <f>SUM('Data 1'!$J178*'Data 1'!$C178)</f>
        <v>481</v>
      </c>
      <c r="M178" s="40">
        <f>'Data 1'!$C178*'Data 1'!$K178</f>
        <v>543.53</v>
      </c>
      <c r="N178" s="40">
        <f>'Data 1'!$M178-'Data 1'!$L178</f>
        <v>62.529999999999973</v>
      </c>
      <c r="O178" s="37">
        <f>DAY('Data 1'!$A178)</f>
        <v>20</v>
      </c>
      <c r="P178" s="37" t="str">
        <f>TEXT('Data 1'!$A178,"mmm")</f>
        <v>Aug</v>
      </c>
      <c r="Q178" s="41">
        <f>YEAR('Data 1'!$A178)</f>
        <v>2021</v>
      </c>
    </row>
    <row r="179" spans="1:17" x14ac:dyDescent="0.3">
      <c r="A179" s="35">
        <v>44434</v>
      </c>
      <c r="B179" s="36" t="s">
        <v>53</v>
      </c>
      <c r="C179" s="37">
        <v>4</v>
      </c>
      <c r="D179" s="37" t="s">
        <v>21</v>
      </c>
      <c r="E179" s="37" t="s">
        <v>17</v>
      </c>
      <c r="F179" s="38">
        <v>0</v>
      </c>
      <c r="G179" s="42" t="str">
        <f>VLOOKUP('Data 1'!$B179,'Data 2'!$A$1:$F$46,MATCH('Data 1'!G$1,'Data 2'!$A$1:$F$1,0),0)</f>
        <v>Product39</v>
      </c>
      <c r="H179" s="42" t="str">
        <f>VLOOKUP('Data 1'!$B179,'Data 2'!$A$1:$F$46,MATCH('Data 1'!H$1,'Data 2'!$A$1:$F$1,0),0)</f>
        <v>Category05</v>
      </c>
      <c r="I179" s="42" t="str">
        <f>VLOOKUP('Data 1'!$B179,'Data 2'!$A$1:$F$46,MATCH('Data 1'!I$1,'Data 2'!$A$1:$F$1,0),0)</f>
        <v>No.</v>
      </c>
      <c r="J179" s="42">
        <f>VLOOKUP('Data 1'!$B179,'Data 2'!$A$1:$F$46,MATCH('Data 1'!J$1,'Data 2'!$A$1:$F$1,0),0)</f>
        <v>37</v>
      </c>
      <c r="K179" s="42">
        <f>VLOOKUP('Data 1'!$B179,'Data 2'!$A$1:$F$46,MATCH('Data 1'!K$1,'Data 2'!$A$1:$F$1,0),0)</f>
        <v>42.55</v>
      </c>
      <c r="L179" s="40">
        <f>SUM('Data 1'!$J179*'Data 1'!$C179)</f>
        <v>148</v>
      </c>
      <c r="M179" s="40">
        <f>'Data 1'!$C179*'Data 1'!$K179</f>
        <v>170.2</v>
      </c>
      <c r="N179" s="40">
        <f>'Data 1'!$M179-'Data 1'!$L179</f>
        <v>22.199999999999989</v>
      </c>
      <c r="O179" s="37">
        <f>DAY('Data 1'!$A179)</f>
        <v>26</v>
      </c>
      <c r="P179" s="37" t="str">
        <f>TEXT('Data 1'!$A179,"mmm")</f>
        <v>Aug</v>
      </c>
      <c r="Q179" s="41">
        <f>YEAR('Data 1'!$A179)</f>
        <v>2021</v>
      </c>
    </row>
    <row r="180" spans="1:17" x14ac:dyDescent="0.3">
      <c r="A180" s="35">
        <v>44437</v>
      </c>
      <c r="B180" s="36" t="s">
        <v>32</v>
      </c>
      <c r="C180" s="37">
        <v>12</v>
      </c>
      <c r="D180" s="37" t="s">
        <v>16</v>
      </c>
      <c r="E180" s="37" t="s">
        <v>17</v>
      </c>
      <c r="F180" s="38">
        <v>0</v>
      </c>
      <c r="G180" s="39" t="str">
        <f>VLOOKUP('Data 1'!$B180,'Data 2'!$A$1:$F$46,MATCH('Data 1'!G$1,'Data 2'!$A$1:$F$1,0),0)</f>
        <v>Product34</v>
      </c>
      <c r="H180" s="39" t="str">
        <f>VLOOKUP('Data 1'!$B180,'Data 2'!$A$1:$F$46,MATCH('Data 1'!H$1,'Data 2'!$A$1:$F$1,0),0)</f>
        <v>Category04</v>
      </c>
      <c r="I180" s="39" t="str">
        <f>VLOOKUP('Data 1'!$B180,'Data 2'!$A$1:$F$46,MATCH('Data 1'!I$1,'Data 2'!$A$1:$F$1,0),0)</f>
        <v>Lt</v>
      </c>
      <c r="J180" s="39">
        <f>VLOOKUP('Data 1'!$B180,'Data 2'!$A$1:$F$46,MATCH('Data 1'!J$1,'Data 2'!$A$1:$F$1,0),0)</f>
        <v>55</v>
      </c>
      <c r="K180" s="39">
        <f>VLOOKUP('Data 1'!$B180,'Data 2'!$A$1:$F$46,MATCH('Data 1'!K$1,'Data 2'!$A$1:$F$1,0),0)</f>
        <v>58.3</v>
      </c>
      <c r="L180" s="40">
        <f>SUM('Data 1'!$J180*'Data 1'!$C180)</f>
        <v>660</v>
      </c>
      <c r="M180" s="40">
        <f>'Data 1'!$C180*'Data 1'!$K180</f>
        <v>699.59999999999991</v>
      </c>
      <c r="N180" s="40">
        <f>'Data 1'!$M180-'Data 1'!$L180</f>
        <v>39.599999999999909</v>
      </c>
      <c r="O180" s="37">
        <f>DAY('Data 1'!$A180)</f>
        <v>29</v>
      </c>
      <c r="P180" s="37" t="str">
        <f>TEXT('Data 1'!$A180,"mmm")</f>
        <v>Aug</v>
      </c>
      <c r="Q180" s="41">
        <f>YEAR('Data 1'!$A180)</f>
        <v>2021</v>
      </c>
    </row>
    <row r="181" spans="1:17" x14ac:dyDescent="0.3">
      <c r="A181" s="35">
        <v>44438</v>
      </c>
      <c r="B181" s="36" t="s">
        <v>20</v>
      </c>
      <c r="C181" s="37">
        <v>13</v>
      </c>
      <c r="D181" s="37" t="s">
        <v>21</v>
      </c>
      <c r="E181" s="37" t="s">
        <v>17</v>
      </c>
      <c r="F181" s="38">
        <v>0</v>
      </c>
      <c r="G181" s="42" t="str">
        <f>VLOOKUP('Data 1'!$B181,'Data 2'!$A$1:$F$46,MATCH('Data 1'!G$1,'Data 2'!$A$1:$F$1,0),0)</f>
        <v>Product13</v>
      </c>
      <c r="H181" s="42" t="str">
        <f>VLOOKUP('Data 1'!$B181,'Data 2'!$A$1:$F$46,MATCH('Data 1'!H$1,'Data 2'!$A$1:$F$1,0),0)</f>
        <v>Category02</v>
      </c>
      <c r="I181" s="42" t="str">
        <f>VLOOKUP('Data 1'!$B181,'Data 2'!$A$1:$F$46,MATCH('Data 1'!I$1,'Data 2'!$A$1:$F$1,0),0)</f>
        <v>Kg</v>
      </c>
      <c r="J181" s="42">
        <f>VLOOKUP('Data 1'!$B181,'Data 2'!$A$1:$F$46,MATCH('Data 1'!J$1,'Data 2'!$A$1:$F$1,0),0)</f>
        <v>112</v>
      </c>
      <c r="K181" s="42">
        <f>VLOOKUP('Data 1'!$B181,'Data 2'!$A$1:$F$46,MATCH('Data 1'!K$1,'Data 2'!$A$1:$F$1,0),0)</f>
        <v>122.08</v>
      </c>
      <c r="L181" s="40">
        <f>SUM('Data 1'!$J181*'Data 1'!$C181)</f>
        <v>1456</v>
      </c>
      <c r="M181" s="40">
        <f>'Data 1'!$C181*'Data 1'!$K181</f>
        <v>1587.04</v>
      </c>
      <c r="N181" s="40">
        <f>'Data 1'!$M181-'Data 1'!$L181</f>
        <v>131.03999999999996</v>
      </c>
      <c r="O181" s="37">
        <f>DAY('Data 1'!$A181)</f>
        <v>30</v>
      </c>
      <c r="P181" s="37" t="str">
        <f>TEXT('Data 1'!$A181,"mmm")</f>
        <v>Aug</v>
      </c>
      <c r="Q181" s="41">
        <f>YEAR('Data 1'!$A181)</f>
        <v>2021</v>
      </c>
    </row>
    <row r="182" spans="1:17" x14ac:dyDescent="0.3">
      <c r="A182" s="35">
        <v>44439</v>
      </c>
      <c r="B182" s="36" t="s">
        <v>35</v>
      </c>
      <c r="C182" s="37">
        <v>2</v>
      </c>
      <c r="D182" s="37" t="s">
        <v>21</v>
      </c>
      <c r="E182" s="37" t="s">
        <v>17</v>
      </c>
      <c r="F182" s="38">
        <v>0</v>
      </c>
      <c r="G182" s="39" t="str">
        <f>VLOOKUP('Data 1'!$B182,'Data 2'!$A$1:$F$46,MATCH('Data 1'!G$1,'Data 2'!$A$1:$F$1,0),0)</f>
        <v>Product01</v>
      </c>
      <c r="H182" s="39" t="str">
        <f>VLOOKUP('Data 1'!$B182,'Data 2'!$A$1:$F$46,MATCH('Data 1'!H$1,'Data 2'!$A$1:$F$1,0),0)</f>
        <v>Category01</v>
      </c>
      <c r="I182" s="39" t="str">
        <f>VLOOKUP('Data 1'!$B182,'Data 2'!$A$1:$F$46,MATCH('Data 1'!I$1,'Data 2'!$A$1:$F$1,0),0)</f>
        <v>Kg</v>
      </c>
      <c r="J182" s="39">
        <f>VLOOKUP('Data 1'!$B182,'Data 2'!$A$1:$F$46,MATCH('Data 1'!J$1,'Data 2'!$A$1:$F$1,0),0)</f>
        <v>98</v>
      </c>
      <c r="K182" s="39">
        <f>VLOOKUP('Data 1'!$B182,'Data 2'!$A$1:$F$46,MATCH('Data 1'!K$1,'Data 2'!$A$1:$F$1,0),0)</f>
        <v>103.88</v>
      </c>
      <c r="L182" s="40">
        <f>SUM('Data 1'!$J182*'Data 1'!$C182)</f>
        <v>196</v>
      </c>
      <c r="M182" s="40">
        <f>'Data 1'!$C182*'Data 1'!$K182</f>
        <v>207.76</v>
      </c>
      <c r="N182" s="40">
        <f>'Data 1'!$M182-'Data 1'!$L182</f>
        <v>11.759999999999991</v>
      </c>
      <c r="O182" s="37">
        <f>DAY('Data 1'!$A182)</f>
        <v>31</v>
      </c>
      <c r="P182" s="37" t="str">
        <f>TEXT('Data 1'!$A182,"mmm")</f>
        <v>Aug</v>
      </c>
      <c r="Q182" s="41">
        <f>YEAR('Data 1'!$A182)</f>
        <v>2021</v>
      </c>
    </row>
    <row r="183" spans="1:17" x14ac:dyDescent="0.3">
      <c r="A183" s="35">
        <v>44439</v>
      </c>
      <c r="B183" s="36" t="s">
        <v>23</v>
      </c>
      <c r="C183" s="37">
        <v>11</v>
      </c>
      <c r="D183" s="37" t="s">
        <v>21</v>
      </c>
      <c r="E183" s="37" t="s">
        <v>17</v>
      </c>
      <c r="F183" s="38">
        <v>0</v>
      </c>
      <c r="G183" s="42" t="str">
        <f>VLOOKUP('Data 1'!$B183,'Data 2'!$A$1:$F$46,MATCH('Data 1'!G$1,'Data 2'!$A$1:$F$1,0),0)</f>
        <v>Product35</v>
      </c>
      <c r="H183" s="42" t="str">
        <f>VLOOKUP('Data 1'!$B183,'Data 2'!$A$1:$F$46,MATCH('Data 1'!H$1,'Data 2'!$A$1:$F$1,0),0)</f>
        <v>Category04</v>
      </c>
      <c r="I183" s="42" t="str">
        <f>VLOOKUP('Data 1'!$B183,'Data 2'!$A$1:$F$46,MATCH('Data 1'!I$1,'Data 2'!$A$1:$F$1,0),0)</f>
        <v>No.</v>
      </c>
      <c r="J183" s="42">
        <f>VLOOKUP('Data 1'!$B183,'Data 2'!$A$1:$F$46,MATCH('Data 1'!J$1,'Data 2'!$A$1:$F$1,0),0)</f>
        <v>5</v>
      </c>
      <c r="K183" s="42">
        <f>VLOOKUP('Data 1'!$B183,'Data 2'!$A$1:$F$46,MATCH('Data 1'!K$1,'Data 2'!$A$1:$F$1,0),0)</f>
        <v>6.7</v>
      </c>
      <c r="L183" s="40">
        <f>SUM('Data 1'!$J183*'Data 1'!$C183)</f>
        <v>55</v>
      </c>
      <c r="M183" s="40">
        <f>'Data 1'!$C183*'Data 1'!$K183</f>
        <v>73.7</v>
      </c>
      <c r="N183" s="40">
        <f>'Data 1'!$M183-'Data 1'!$L183</f>
        <v>18.700000000000003</v>
      </c>
      <c r="O183" s="37">
        <f>DAY('Data 1'!$A183)</f>
        <v>31</v>
      </c>
      <c r="P183" s="37" t="str">
        <f>TEXT('Data 1'!$A183,"mmm")</f>
        <v>Aug</v>
      </c>
      <c r="Q183" s="41">
        <f>YEAR('Data 1'!$A183)</f>
        <v>2021</v>
      </c>
    </row>
    <row r="184" spans="1:17" x14ac:dyDescent="0.3">
      <c r="A184" s="35">
        <v>44440</v>
      </c>
      <c r="B184" s="36" t="s">
        <v>15</v>
      </c>
      <c r="C184" s="37">
        <v>1</v>
      </c>
      <c r="D184" s="37" t="s">
        <v>16</v>
      </c>
      <c r="E184" s="37" t="s">
        <v>19</v>
      </c>
      <c r="F184" s="38">
        <v>0</v>
      </c>
      <c r="G184" s="39" t="str">
        <f>VLOOKUP('Data 1'!$B184,'Data 2'!$A$1:$F$46,MATCH('Data 1'!G$1,'Data 2'!$A$1:$F$1,0),0)</f>
        <v>Product24</v>
      </c>
      <c r="H184" s="39" t="str">
        <f>VLOOKUP('Data 1'!$B184,'Data 2'!$A$1:$F$46,MATCH('Data 1'!H$1,'Data 2'!$A$1:$F$1,0),0)</f>
        <v>Category03</v>
      </c>
      <c r="I184" s="39" t="str">
        <f>VLOOKUP('Data 1'!$B184,'Data 2'!$A$1:$F$46,MATCH('Data 1'!I$1,'Data 2'!$A$1:$F$1,0),0)</f>
        <v>Ft</v>
      </c>
      <c r="J184" s="39">
        <f>VLOOKUP('Data 1'!$B184,'Data 2'!$A$1:$F$46,MATCH('Data 1'!J$1,'Data 2'!$A$1:$F$1,0),0)</f>
        <v>144</v>
      </c>
      <c r="K184" s="39">
        <f>VLOOKUP('Data 1'!$B184,'Data 2'!$A$1:$F$46,MATCH('Data 1'!K$1,'Data 2'!$A$1:$F$1,0),0)</f>
        <v>156.96</v>
      </c>
      <c r="L184" s="40">
        <f>SUM('Data 1'!$J184*'Data 1'!$C184)</f>
        <v>144</v>
      </c>
      <c r="M184" s="40">
        <f>'Data 1'!$C184*'Data 1'!$K184</f>
        <v>156.96</v>
      </c>
      <c r="N184" s="40">
        <f>'Data 1'!$M184-'Data 1'!$L184</f>
        <v>12.960000000000008</v>
      </c>
      <c r="O184" s="37">
        <f>DAY('Data 1'!$A184)</f>
        <v>1</v>
      </c>
      <c r="P184" s="37" t="str">
        <f>TEXT('Data 1'!$A184,"mmm")</f>
        <v>Sep</v>
      </c>
      <c r="Q184" s="41">
        <f>YEAR('Data 1'!$A184)</f>
        <v>2021</v>
      </c>
    </row>
    <row r="185" spans="1:17" x14ac:dyDescent="0.3">
      <c r="A185" s="35">
        <v>44440</v>
      </c>
      <c r="B185" s="36" t="s">
        <v>25</v>
      </c>
      <c r="C185" s="37">
        <v>14</v>
      </c>
      <c r="D185" s="37" t="s">
        <v>17</v>
      </c>
      <c r="E185" s="37" t="s">
        <v>17</v>
      </c>
      <c r="F185" s="38">
        <v>0</v>
      </c>
      <c r="G185" s="42" t="str">
        <f>VLOOKUP('Data 1'!$B185,'Data 2'!$A$1:$F$46,MATCH('Data 1'!G$1,'Data 2'!$A$1:$F$1,0),0)</f>
        <v>Product03</v>
      </c>
      <c r="H185" s="42" t="str">
        <f>VLOOKUP('Data 1'!$B185,'Data 2'!$A$1:$F$46,MATCH('Data 1'!H$1,'Data 2'!$A$1:$F$1,0),0)</f>
        <v>Category01</v>
      </c>
      <c r="I185" s="42" t="str">
        <f>VLOOKUP('Data 1'!$B185,'Data 2'!$A$1:$F$46,MATCH('Data 1'!I$1,'Data 2'!$A$1:$F$1,0),0)</f>
        <v>Kg</v>
      </c>
      <c r="J185" s="42">
        <f>VLOOKUP('Data 1'!$B185,'Data 2'!$A$1:$F$46,MATCH('Data 1'!J$1,'Data 2'!$A$1:$F$1,0),0)</f>
        <v>71</v>
      </c>
      <c r="K185" s="42">
        <f>VLOOKUP('Data 1'!$B185,'Data 2'!$A$1:$F$46,MATCH('Data 1'!K$1,'Data 2'!$A$1:$F$1,0),0)</f>
        <v>80.94</v>
      </c>
      <c r="L185" s="40">
        <f>SUM('Data 1'!$J185*'Data 1'!$C185)</f>
        <v>994</v>
      </c>
      <c r="M185" s="40">
        <f>'Data 1'!$C185*'Data 1'!$K185</f>
        <v>1133.1599999999999</v>
      </c>
      <c r="N185" s="40">
        <f>'Data 1'!$M185-'Data 1'!$L185</f>
        <v>139.15999999999985</v>
      </c>
      <c r="O185" s="37">
        <f>DAY('Data 1'!$A185)</f>
        <v>1</v>
      </c>
      <c r="P185" s="37" t="str">
        <f>TEXT('Data 1'!$A185,"mmm")</f>
        <v>Sep</v>
      </c>
      <c r="Q185" s="41">
        <f>YEAR('Data 1'!$A185)</f>
        <v>2021</v>
      </c>
    </row>
    <row r="186" spans="1:17" x14ac:dyDescent="0.3">
      <c r="A186" s="35">
        <v>44442</v>
      </c>
      <c r="B186" s="36" t="s">
        <v>60</v>
      </c>
      <c r="C186" s="37">
        <v>8</v>
      </c>
      <c r="D186" s="37" t="s">
        <v>21</v>
      </c>
      <c r="E186" s="37" t="s">
        <v>17</v>
      </c>
      <c r="F186" s="38">
        <v>0</v>
      </c>
      <c r="G186" s="39" t="str">
        <f>VLOOKUP('Data 1'!$B186,'Data 2'!$A$1:$F$46,MATCH('Data 1'!G$1,'Data 2'!$A$1:$F$1,0),0)</f>
        <v>Product41</v>
      </c>
      <c r="H186" s="39" t="str">
        <f>VLOOKUP('Data 1'!$B186,'Data 2'!$A$1:$F$46,MATCH('Data 1'!H$1,'Data 2'!$A$1:$F$1,0),0)</f>
        <v>Category05</v>
      </c>
      <c r="I186" s="39" t="str">
        <f>VLOOKUP('Data 1'!$B186,'Data 2'!$A$1:$F$46,MATCH('Data 1'!I$1,'Data 2'!$A$1:$F$1,0),0)</f>
        <v>Ft</v>
      </c>
      <c r="J186" s="39">
        <f>VLOOKUP('Data 1'!$B186,'Data 2'!$A$1:$F$46,MATCH('Data 1'!J$1,'Data 2'!$A$1:$F$1,0),0)</f>
        <v>138</v>
      </c>
      <c r="K186" s="39">
        <f>VLOOKUP('Data 1'!$B186,'Data 2'!$A$1:$F$46,MATCH('Data 1'!K$1,'Data 2'!$A$1:$F$1,0),0)</f>
        <v>173.88</v>
      </c>
      <c r="L186" s="40">
        <f>SUM('Data 1'!$J186*'Data 1'!$C186)</f>
        <v>1104</v>
      </c>
      <c r="M186" s="40">
        <f>'Data 1'!$C186*'Data 1'!$K186</f>
        <v>1391.04</v>
      </c>
      <c r="N186" s="40">
        <f>'Data 1'!$M186-'Data 1'!$L186</f>
        <v>287.03999999999996</v>
      </c>
      <c r="O186" s="37">
        <f>DAY('Data 1'!$A186)</f>
        <v>3</v>
      </c>
      <c r="P186" s="37" t="str">
        <f>TEXT('Data 1'!$A186,"mmm")</f>
        <v>Sep</v>
      </c>
      <c r="Q186" s="41">
        <f>YEAR('Data 1'!$A186)</f>
        <v>2021</v>
      </c>
    </row>
    <row r="187" spans="1:17" x14ac:dyDescent="0.3">
      <c r="A187" s="35">
        <v>44443</v>
      </c>
      <c r="B187" s="36" t="s">
        <v>52</v>
      </c>
      <c r="C187" s="37">
        <v>7</v>
      </c>
      <c r="D187" s="37" t="s">
        <v>21</v>
      </c>
      <c r="E187" s="37" t="s">
        <v>17</v>
      </c>
      <c r="F187" s="38">
        <v>0</v>
      </c>
      <c r="G187" s="42" t="str">
        <f>VLOOKUP('Data 1'!$B187,'Data 2'!$A$1:$F$46,MATCH('Data 1'!G$1,'Data 2'!$A$1:$F$1,0),0)</f>
        <v>Product28</v>
      </c>
      <c r="H187" s="42" t="str">
        <f>VLOOKUP('Data 1'!$B187,'Data 2'!$A$1:$F$46,MATCH('Data 1'!H$1,'Data 2'!$A$1:$F$1,0),0)</f>
        <v>Category04</v>
      </c>
      <c r="I187" s="42" t="str">
        <f>VLOOKUP('Data 1'!$B187,'Data 2'!$A$1:$F$46,MATCH('Data 1'!I$1,'Data 2'!$A$1:$F$1,0),0)</f>
        <v>No.</v>
      </c>
      <c r="J187" s="42">
        <f>VLOOKUP('Data 1'!$B187,'Data 2'!$A$1:$F$46,MATCH('Data 1'!J$1,'Data 2'!$A$1:$F$1,0),0)</f>
        <v>37</v>
      </c>
      <c r="K187" s="42">
        <f>VLOOKUP('Data 1'!$B187,'Data 2'!$A$1:$F$46,MATCH('Data 1'!K$1,'Data 2'!$A$1:$F$1,0),0)</f>
        <v>41.81</v>
      </c>
      <c r="L187" s="40">
        <f>SUM('Data 1'!$J187*'Data 1'!$C187)</f>
        <v>259</v>
      </c>
      <c r="M187" s="40">
        <f>'Data 1'!$C187*'Data 1'!$K187</f>
        <v>292.67</v>
      </c>
      <c r="N187" s="40">
        <f>'Data 1'!$M187-'Data 1'!$L187</f>
        <v>33.670000000000016</v>
      </c>
      <c r="O187" s="37">
        <f>DAY('Data 1'!$A187)</f>
        <v>4</v>
      </c>
      <c r="P187" s="37" t="str">
        <f>TEXT('Data 1'!$A187,"mmm")</f>
        <v>Sep</v>
      </c>
      <c r="Q187" s="41">
        <f>YEAR('Data 1'!$A187)</f>
        <v>2021</v>
      </c>
    </row>
    <row r="188" spans="1:17" x14ac:dyDescent="0.3">
      <c r="A188" s="35">
        <v>44443</v>
      </c>
      <c r="B188" s="36" t="s">
        <v>31</v>
      </c>
      <c r="C188" s="37">
        <v>15</v>
      </c>
      <c r="D188" s="37" t="s">
        <v>21</v>
      </c>
      <c r="E188" s="37" t="s">
        <v>17</v>
      </c>
      <c r="F188" s="38">
        <v>0</v>
      </c>
      <c r="G188" s="39" t="str">
        <f>VLOOKUP('Data 1'!$B188,'Data 2'!$A$1:$F$46,MATCH('Data 1'!G$1,'Data 2'!$A$1:$F$1,0),0)</f>
        <v>Product23</v>
      </c>
      <c r="H188" s="39" t="str">
        <f>VLOOKUP('Data 1'!$B188,'Data 2'!$A$1:$F$46,MATCH('Data 1'!H$1,'Data 2'!$A$1:$F$1,0),0)</f>
        <v>Category03</v>
      </c>
      <c r="I188" s="39" t="str">
        <f>VLOOKUP('Data 1'!$B188,'Data 2'!$A$1:$F$46,MATCH('Data 1'!I$1,'Data 2'!$A$1:$F$1,0),0)</f>
        <v>Ft</v>
      </c>
      <c r="J188" s="39">
        <f>VLOOKUP('Data 1'!$B188,'Data 2'!$A$1:$F$46,MATCH('Data 1'!J$1,'Data 2'!$A$1:$F$1,0),0)</f>
        <v>141</v>
      </c>
      <c r="K188" s="39">
        <f>VLOOKUP('Data 1'!$B188,'Data 2'!$A$1:$F$46,MATCH('Data 1'!K$1,'Data 2'!$A$1:$F$1,0),0)</f>
        <v>149.46</v>
      </c>
      <c r="L188" s="40">
        <f>SUM('Data 1'!$J188*'Data 1'!$C188)</f>
        <v>2115</v>
      </c>
      <c r="M188" s="40">
        <f>'Data 1'!$C188*'Data 1'!$K188</f>
        <v>2241.9</v>
      </c>
      <c r="N188" s="40">
        <f>'Data 1'!$M188-'Data 1'!$L188</f>
        <v>126.90000000000009</v>
      </c>
      <c r="O188" s="37">
        <f>DAY('Data 1'!$A188)</f>
        <v>4</v>
      </c>
      <c r="P188" s="37" t="str">
        <f>TEXT('Data 1'!$A188,"mmm")</f>
        <v>Sep</v>
      </c>
      <c r="Q188" s="41">
        <f>YEAR('Data 1'!$A188)</f>
        <v>2021</v>
      </c>
    </row>
    <row r="189" spans="1:17" x14ac:dyDescent="0.3">
      <c r="A189" s="35">
        <v>44444</v>
      </c>
      <c r="B189" s="36" t="s">
        <v>37</v>
      </c>
      <c r="C189" s="37">
        <v>1</v>
      </c>
      <c r="D189" s="37" t="s">
        <v>21</v>
      </c>
      <c r="E189" s="37" t="s">
        <v>19</v>
      </c>
      <c r="F189" s="38">
        <v>0</v>
      </c>
      <c r="G189" s="42" t="str">
        <f>VLOOKUP('Data 1'!$B189,'Data 2'!$A$1:$F$46,MATCH('Data 1'!G$1,'Data 2'!$A$1:$F$1,0),0)</f>
        <v>Product32</v>
      </c>
      <c r="H189" s="42" t="str">
        <f>VLOOKUP('Data 1'!$B189,'Data 2'!$A$1:$F$46,MATCH('Data 1'!H$1,'Data 2'!$A$1:$F$1,0),0)</f>
        <v>Category04</v>
      </c>
      <c r="I189" s="42" t="str">
        <f>VLOOKUP('Data 1'!$B189,'Data 2'!$A$1:$F$46,MATCH('Data 1'!I$1,'Data 2'!$A$1:$F$1,0),0)</f>
        <v>Kg</v>
      </c>
      <c r="J189" s="42">
        <f>VLOOKUP('Data 1'!$B189,'Data 2'!$A$1:$F$46,MATCH('Data 1'!J$1,'Data 2'!$A$1:$F$1,0),0)</f>
        <v>89</v>
      </c>
      <c r="K189" s="42">
        <f>VLOOKUP('Data 1'!$B189,'Data 2'!$A$1:$F$46,MATCH('Data 1'!K$1,'Data 2'!$A$1:$F$1,0),0)</f>
        <v>117.48</v>
      </c>
      <c r="L189" s="40">
        <f>SUM('Data 1'!$J189*'Data 1'!$C189)</f>
        <v>89</v>
      </c>
      <c r="M189" s="40">
        <f>'Data 1'!$C189*'Data 1'!$K189</f>
        <v>117.48</v>
      </c>
      <c r="N189" s="40">
        <f>'Data 1'!$M189-'Data 1'!$L189</f>
        <v>28.480000000000004</v>
      </c>
      <c r="O189" s="37">
        <f>DAY('Data 1'!$A189)</f>
        <v>5</v>
      </c>
      <c r="P189" s="37" t="str">
        <f>TEXT('Data 1'!$A189,"mmm")</f>
        <v>Sep</v>
      </c>
      <c r="Q189" s="41">
        <f>YEAR('Data 1'!$A189)</f>
        <v>2021</v>
      </c>
    </row>
    <row r="190" spans="1:17" x14ac:dyDescent="0.3">
      <c r="A190" s="35">
        <v>44446</v>
      </c>
      <c r="B190" s="36" t="s">
        <v>59</v>
      </c>
      <c r="C190" s="37">
        <v>5</v>
      </c>
      <c r="D190" s="37" t="s">
        <v>21</v>
      </c>
      <c r="E190" s="37" t="s">
        <v>17</v>
      </c>
      <c r="F190" s="38">
        <v>0</v>
      </c>
      <c r="G190" s="39" t="str">
        <f>VLOOKUP('Data 1'!$B190,'Data 2'!$A$1:$F$46,MATCH('Data 1'!G$1,'Data 2'!$A$1:$F$1,0),0)</f>
        <v>Product19</v>
      </c>
      <c r="H190" s="39" t="str">
        <f>VLOOKUP('Data 1'!$B190,'Data 2'!$A$1:$F$46,MATCH('Data 1'!H$1,'Data 2'!$A$1:$F$1,0),0)</f>
        <v>Category02</v>
      </c>
      <c r="I190" s="39" t="str">
        <f>VLOOKUP('Data 1'!$B190,'Data 2'!$A$1:$F$46,MATCH('Data 1'!I$1,'Data 2'!$A$1:$F$1,0),0)</f>
        <v>Ft</v>
      </c>
      <c r="J190" s="39">
        <f>VLOOKUP('Data 1'!$B190,'Data 2'!$A$1:$F$46,MATCH('Data 1'!J$1,'Data 2'!$A$1:$F$1,0),0)</f>
        <v>150</v>
      </c>
      <c r="K190" s="39">
        <f>VLOOKUP('Data 1'!$B190,'Data 2'!$A$1:$F$46,MATCH('Data 1'!K$1,'Data 2'!$A$1:$F$1,0),0)</f>
        <v>210</v>
      </c>
      <c r="L190" s="40">
        <f>SUM('Data 1'!$J190*'Data 1'!$C190)</f>
        <v>750</v>
      </c>
      <c r="M190" s="40">
        <f>'Data 1'!$C190*'Data 1'!$K190</f>
        <v>1050</v>
      </c>
      <c r="N190" s="40">
        <f>'Data 1'!$M190-'Data 1'!$L190</f>
        <v>300</v>
      </c>
      <c r="O190" s="37">
        <f>DAY('Data 1'!$A190)</f>
        <v>7</v>
      </c>
      <c r="P190" s="37" t="str">
        <f>TEXT('Data 1'!$A190,"mmm")</f>
        <v>Sep</v>
      </c>
      <c r="Q190" s="41">
        <f>YEAR('Data 1'!$A190)</f>
        <v>2021</v>
      </c>
    </row>
    <row r="191" spans="1:17" x14ac:dyDescent="0.3">
      <c r="A191" s="35">
        <v>44448</v>
      </c>
      <c r="B191" s="36" t="s">
        <v>30</v>
      </c>
      <c r="C191" s="37">
        <v>4</v>
      </c>
      <c r="D191" s="37" t="s">
        <v>21</v>
      </c>
      <c r="E191" s="37" t="s">
        <v>17</v>
      </c>
      <c r="F191" s="38">
        <v>0</v>
      </c>
      <c r="G191" s="42" t="str">
        <f>VLOOKUP('Data 1'!$B191,'Data 2'!$A$1:$F$46,MATCH('Data 1'!G$1,'Data 2'!$A$1:$F$1,0),0)</f>
        <v>Product44</v>
      </c>
      <c r="H191" s="42" t="str">
        <f>VLOOKUP('Data 1'!$B191,'Data 2'!$A$1:$F$46,MATCH('Data 1'!H$1,'Data 2'!$A$1:$F$1,0),0)</f>
        <v>Category05</v>
      </c>
      <c r="I191" s="42" t="str">
        <f>VLOOKUP('Data 1'!$B191,'Data 2'!$A$1:$F$46,MATCH('Data 1'!I$1,'Data 2'!$A$1:$F$1,0),0)</f>
        <v>Kg</v>
      </c>
      <c r="J191" s="42">
        <f>VLOOKUP('Data 1'!$B191,'Data 2'!$A$1:$F$46,MATCH('Data 1'!J$1,'Data 2'!$A$1:$F$1,0),0)</f>
        <v>76</v>
      </c>
      <c r="K191" s="42">
        <f>VLOOKUP('Data 1'!$B191,'Data 2'!$A$1:$F$46,MATCH('Data 1'!K$1,'Data 2'!$A$1:$F$1,0),0)</f>
        <v>82.08</v>
      </c>
      <c r="L191" s="40">
        <f>SUM('Data 1'!$J191*'Data 1'!$C191)</f>
        <v>304</v>
      </c>
      <c r="M191" s="40">
        <f>'Data 1'!$C191*'Data 1'!$K191</f>
        <v>328.32</v>
      </c>
      <c r="N191" s="40">
        <f>'Data 1'!$M191-'Data 1'!$L191</f>
        <v>24.319999999999993</v>
      </c>
      <c r="O191" s="37">
        <f>DAY('Data 1'!$A191)</f>
        <v>9</v>
      </c>
      <c r="P191" s="37" t="str">
        <f>TEXT('Data 1'!$A191,"mmm")</f>
        <v>Sep</v>
      </c>
      <c r="Q191" s="41">
        <f>YEAR('Data 1'!$A191)</f>
        <v>2021</v>
      </c>
    </row>
    <row r="192" spans="1:17" x14ac:dyDescent="0.3">
      <c r="A192" s="35">
        <v>44449</v>
      </c>
      <c r="B192" s="36" t="s">
        <v>47</v>
      </c>
      <c r="C192" s="37">
        <v>6</v>
      </c>
      <c r="D192" s="37" t="s">
        <v>21</v>
      </c>
      <c r="E192" s="37" t="s">
        <v>17</v>
      </c>
      <c r="F192" s="38">
        <v>0</v>
      </c>
      <c r="G192" s="39" t="str">
        <f>VLOOKUP('Data 1'!$B192,'Data 2'!$A$1:$F$46,MATCH('Data 1'!G$1,'Data 2'!$A$1:$F$1,0),0)</f>
        <v>Product30</v>
      </c>
      <c r="H192" s="39" t="str">
        <f>VLOOKUP('Data 1'!$B192,'Data 2'!$A$1:$F$46,MATCH('Data 1'!H$1,'Data 2'!$A$1:$F$1,0),0)</f>
        <v>Category04</v>
      </c>
      <c r="I192" s="39" t="str">
        <f>VLOOKUP('Data 1'!$B192,'Data 2'!$A$1:$F$46,MATCH('Data 1'!I$1,'Data 2'!$A$1:$F$1,0),0)</f>
        <v>Ft</v>
      </c>
      <c r="J192" s="39">
        <f>VLOOKUP('Data 1'!$B192,'Data 2'!$A$1:$F$46,MATCH('Data 1'!J$1,'Data 2'!$A$1:$F$1,0),0)</f>
        <v>148</v>
      </c>
      <c r="K192" s="39">
        <f>VLOOKUP('Data 1'!$B192,'Data 2'!$A$1:$F$46,MATCH('Data 1'!K$1,'Data 2'!$A$1:$F$1,0),0)</f>
        <v>201.28</v>
      </c>
      <c r="L192" s="40">
        <f>SUM('Data 1'!$J192*'Data 1'!$C192)</f>
        <v>888</v>
      </c>
      <c r="M192" s="40">
        <f>'Data 1'!$C192*'Data 1'!$K192</f>
        <v>1207.68</v>
      </c>
      <c r="N192" s="40">
        <f>'Data 1'!$M192-'Data 1'!$L192</f>
        <v>319.68000000000006</v>
      </c>
      <c r="O192" s="37">
        <f>DAY('Data 1'!$A192)</f>
        <v>10</v>
      </c>
      <c r="P192" s="37" t="str">
        <f>TEXT('Data 1'!$A192,"mmm")</f>
        <v>Sep</v>
      </c>
      <c r="Q192" s="41">
        <f>YEAR('Data 1'!$A192)</f>
        <v>2021</v>
      </c>
    </row>
    <row r="193" spans="1:17" x14ac:dyDescent="0.3">
      <c r="A193" s="35">
        <v>44449</v>
      </c>
      <c r="B193" s="36" t="s">
        <v>35</v>
      </c>
      <c r="C193" s="37">
        <v>9</v>
      </c>
      <c r="D193" s="37" t="s">
        <v>16</v>
      </c>
      <c r="E193" s="37" t="s">
        <v>17</v>
      </c>
      <c r="F193" s="38">
        <v>0</v>
      </c>
      <c r="G193" s="42" t="str">
        <f>VLOOKUP('Data 1'!$B193,'Data 2'!$A$1:$F$46,MATCH('Data 1'!G$1,'Data 2'!$A$1:$F$1,0),0)</f>
        <v>Product01</v>
      </c>
      <c r="H193" s="42" t="str">
        <f>VLOOKUP('Data 1'!$B193,'Data 2'!$A$1:$F$46,MATCH('Data 1'!H$1,'Data 2'!$A$1:$F$1,0),0)</f>
        <v>Category01</v>
      </c>
      <c r="I193" s="42" t="str">
        <f>VLOOKUP('Data 1'!$B193,'Data 2'!$A$1:$F$46,MATCH('Data 1'!I$1,'Data 2'!$A$1:$F$1,0),0)</f>
        <v>Kg</v>
      </c>
      <c r="J193" s="42">
        <f>VLOOKUP('Data 1'!$B193,'Data 2'!$A$1:$F$46,MATCH('Data 1'!J$1,'Data 2'!$A$1:$F$1,0),0)</f>
        <v>98</v>
      </c>
      <c r="K193" s="42">
        <f>VLOOKUP('Data 1'!$B193,'Data 2'!$A$1:$F$46,MATCH('Data 1'!K$1,'Data 2'!$A$1:$F$1,0),0)</f>
        <v>103.88</v>
      </c>
      <c r="L193" s="40">
        <f>SUM('Data 1'!$J193*'Data 1'!$C193)</f>
        <v>882</v>
      </c>
      <c r="M193" s="40">
        <f>'Data 1'!$C193*'Data 1'!$K193</f>
        <v>934.92</v>
      </c>
      <c r="N193" s="40">
        <f>'Data 1'!$M193-'Data 1'!$L193</f>
        <v>52.919999999999959</v>
      </c>
      <c r="O193" s="37">
        <f>DAY('Data 1'!$A193)</f>
        <v>10</v>
      </c>
      <c r="P193" s="37" t="str">
        <f>TEXT('Data 1'!$A193,"mmm")</f>
        <v>Sep</v>
      </c>
      <c r="Q193" s="41">
        <f>YEAR('Data 1'!$A193)</f>
        <v>2021</v>
      </c>
    </row>
    <row r="194" spans="1:17" x14ac:dyDescent="0.3">
      <c r="A194" s="35">
        <v>44449</v>
      </c>
      <c r="B194" s="36" t="s">
        <v>61</v>
      </c>
      <c r="C194" s="37">
        <v>2</v>
      </c>
      <c r="D194" s="37" t="s">
        <v>21</v>
      </c>
      <c r="E194" s="37" t="s">
        <v>17</v>
      </c>
      <c r="F194" s="38">
        <v>0</v>
      </c>
      <c r="G194" s="39" t="str">
        <f>VLOOKUP('Data 1'!$B194,'Data 2'!$A$1:$F$46,MATCH('Data 1'!G$1,'Data 2'!$A$1:$F$1,0),0)</f>
        <v>Product26</v>
      </c>
      <c r="H194" s="39" t="str">
        <f>VLOOKUP('Data 1'!$B194,'Data 2'!$A$1:$F$46,MATCH('Data 1'!H$1,'Data 2'!$A$1:$F$1,0),0)</f>
        <v>Category04</v>
      </c>
      <c r="I194" s="39" t="str">
        <f>VLOOKUP('Data 1'!$B194,'Data 2'!$A$1:$F$46,MATCH('Data 1'!I$1,'Data 2'!$A$1:$F$1,0),0)</f>
        <v>No.</v>
      </c>
      <c r="J194" s="39">
        <f>VLOOKUP('Data 1'!$B194,'Data 2'!$A$1:$F$46,MATCH('Data 1'!J$1,'Data 2'!$A$1:$F$1,0),0)</f>
        <v>18</v>
      </c>
      <c r="K194" s="39">
        <f>VLOOKUP('Data 1'!$B194,'Data 2'!$A$1:$F$46,MATCH('Data 1'!K$1,'Data 2'!$A$1:$F$1,0),0)</f>
        <v>24.66</v>
      </c>
      <c r="L194" s="40">
        <f>SUM('Data 1'!$J194*'Data 1'!$C194)</f>
        <v>36</v>
      </c>
      <c r="M194" s="40">
        <f>'Data 1'!$C194*'Data 1'!$K194</f>
        <v>49.32</v>
      </c>
      <c r="N194" s="40">
        <f>'Data 1'!$M194-'Data 1'!$L194</f>
        <v>13.32</v>
      </c>
      <c r="O194" s="37">
        <f>DAY('Data 1'!$A194)</f>
        <v>10</v>
      </c>
      <c r="P194" s="37" t="str">
        <f>TEXT('Data 1'!$A194,"mmm")</f>
        <v>Sep</v>
      </c>
      <c r="Q194" s="41">
        <f>YEAR('Data 1'!$A194)</f>
        <v>2021</v>
      </c>
    </row>
    <row r="195" spans="1:17" x14ac:dyDescent="0.3">
      <c r="A195" s="35">
        <v>44450</v>
      </c>
      <c r="B195" s="36" t="s">
        <v>35</v>
      </c>
      <c r="C195" s="37">
        <v>6</v>
      </c>
      <c r="D195" s="37" t="s">
        <v>16</v>
      </c>
      <c r="E195" s="37" t="s">
        <v>17</v>
      </c>
      <c r="F195" s="38">
        <v>0</v>
      </c>
      <c r="G195" s="42" t="str">
        <f>VLOOKUP('Data 1'!$B195,'Data 2'!$A$1:$F$46,MATCH('Data 1'!G$1,'Data 2'!$A$1:$F$1,0),0)</f>
        <v>Product01</v>
      </c>
      <c r="H195" s="42" t="str">
        <f>VLOOKUP('Data 1'!$B195,'Data 2'!$A$1:$F$46,MATCH('Data 1'!H$1,'Data 2'!$A$1:$F$1,0),0)</f>
        <v>Category01</v>
      </c>
      <c r="I195" s="42" t="str">
        <f>VLOOKUP('Data 1'!$B195,'Data 2'!$A$1:$F$46,MATCH('Data 1'!I$1,'Data 2'!$A$1:$F$1,0),0)</f>
        <v>Kg</v>
      </c>
      <c r="J195" s="42">
        <f>VLOOKUP('Data 1'!$B195,'Data 2'!$A$1:$F$46,MATCH('Data 1'!J$1,'Data 2'!$A$1:$F$1,0),0)</f>
        <v>98</v>
      </c>
      <c r="K195" s="42">
        <f>VLOOKUP('Data 1'!$B195,'Data 2'!$A$1:$F$46,MATCH('Data 1'!K$1,'Data 2'!$A$1:$F$1,0),0)</f>
        <v>103.88</v>
      </c>
      <c r="L195" s="40">
        <f>SUM('Data 1'!$J195*'Data 1'!$C195)</f>
        <v>588</v>
      </c>
      <c r="M195" s="40">
        <f>'Data 1'!$C195*'Data 1'!$K195</f>
        <v>623.28</v>
      </c>
      <c r="N195" s="40">
        <f>'Data 1'!$M195-'Data 1'!$L195</f>
        <v>35.279999999999973</v>
      </c>
      <c r="O195" s="37">
        <f>DAY('Data 1'!$A195)</f>
        <v>11</v>
      </c>
      <c r="P195" s="37" t="str">
        <f>TEXT('Data 1'!$A195,"mmm")</f>
        <v>Sep</v>
      </c>
      <c r="Q195" s="41">
        <f>YEAR('Data 1'!$A195)</f>
        <v>2021</v>
      </c>
    </row>
    <row r="196" spans="1:17" x14ac:dyDescent="0.3">
      <c r="A196" s="35">
        <v>44452</v>
      </c>
      <c r="B196" s="36" t="s">
        <v>60</v>
      </c>
      <c r="C196" s="37">
        <v>7</v>
      </c>
      <c r="D196" s="37" t="s">
        <v>21</v>
      </c>
      <c r="E196" s="37" t="s">
        <v>19</v>
      </c>
      <c r="F196" s="38">
        <v>0</v>
      </c>
      <c r="G196" s="39" t="str">
        <f>VLOOKUP('Data 1'!$B196,'Data 2'!$A$1:$F$46,MATCH('Data 1'!G$1,'Data 2'!$A$1:$F$1,0),0)</f>
        <v>Product41</v>
      </c>
      <c r="H196" s="39" t="str">
        <f>VLOOKUP('Data 1'!$B196,'Data 2'!$A$1:$F$46,MATCH('Data 1'!H$1,'Data 2'!$A$1:$F$1,0),0)</f>
        <v>Category05</v>
      </c>
      <c r="I196" s="39" t="str">
        <f>VLOOKUP('Data 1'!$B196,'Data 2'!$A$1:$F$46,MATCH('Data 1'!I$1,'Data 2'!$A$1:$F$1,0),0)</f>
        <v>Ft</v>
      </c>
      <c r="J196" s="39">
        <f>VLOOKUP('Data 1'!$B196,'Data 2'!$A$1:$F$46,MATCH('Data 1'!J$1,'Data 2'!$A$1:$F$1,0),0)</f>
        <v>138</v>
      </c>
      <c r="K196" s="39">
        <f>VLOOKUP('Data 1'!$B196,'Data 2'!$A$1:$F$46,MATCH('Data 1'!K$1,'Data 2'!$A$1:$F$1,0),0)</f>
        <v>173.88</v>
      </c>
      <c r="L196" s="40">
        <f>SUM('Data 1'!$J196*'Data 1'!$C196)</f>
        <v>966</v>
      </c>
      <c r="M196" s="40">
        <f>'Data 1'!$C196*'Data 1'!$K196</f>
        <v>1217.1599999999999</v>
      </c>
      <c r="N196" s="40">
        <f>'Data 1'!$M196-'Data 1'!$L196</f>
        <v>251.15999999999985</v>
      </c>
      <c r="O196" s="37">
        <f>DAY('Data 1'!$A196)</f>
        <v>13</v>
      </c>
      <c r="P196" s="37" t="str">
        <f>TEXT('Data 1'!$A196,"mmm")</f>
        <v>Sep</v>
      </c>
      <c r="Q196" s="41">
        <f>YEAR('Data 1'!$A196)</f>
        <v>2021</v>
      </c>
    </row>
    <row r="197" spans="1:17" x14ac:dyDescent="0.3">
      <c r="A197" s="35">
        <v>44454</v>
      </c>
      <c r="B197" s="36" t="s">
        <v>29</v>
      </c>
      <c r="C197" s="37">
        <v>6</v>
      </c>
      <c r="D197" s="37" t="s">
        <v>21</v>
      </c>
      <c r="E197" s="37" t="s">
        <v>17</v>
      </c>
      <c r="F197" s="38">
        <v>0</v>
      </c>
      <c r="G197" s="42" t="str">
        <f>VLOOKUP('Data 1'!$B197,'Data 2'!$A$1:$F$46,MATCH('Data 1'!G$1,'Data 2'!$A$1:$F$1,0),0)</f>
        <v>Product42</v>
      </c>
      <c r="H197" s="42" t="str">
        <f>VLOOKUP('Data 1'!$B197,'Data 2'!$A$1:$F$46,MATCH('Data 1'!H$1,'Data 2'!$A$1:$F$1,0),0)</f>
        <v>Category05</v>
      </c>
      <c r="I197" s="42" t="str">
        <f>VLOOKUP('Data 1'!$B197,'Data 2'!$A$1:$F$46,MATCH('Data 1'!I$1,'Data 2'!$A$1:$F$1,0),0)</f>
        <v>Ft</v>
      </c>
      <c r="J197" s="42">
        <f>VLOOKUP('Data 1'!$B197,'Data 2'!$A$1:$F$46,MATCH('Data 1'!J$1,'Data 2'!$A$1:$F$1,0),0)</f>
        <v>120</v>
      </c>
      <c r="K197" s="42">
        <f>VLOOKUP('Data 1'!$B197,'Data 2'!$A$1:$F$46,MATCH('Data 1'!K$1,'Data 2'!$A$1:$F$1,0),0)</f>
        <v>162</v>
      </c>
      <c r="L197" s="40">
        <f>SUM('Data 1'!$J197*'Data 1'!$C197)</f>
        <v>720</v>
      </c>
      <c r="M197" s="40">
        <f>'Data 1'!$C197*'Data 1'!$K197</f>
        <v>972</v>
      </c>
      <c r="N197" s="40">
        <f>'Data 1'!$M197-'Data 1'!$L197</f>
        <v>252</v>
      </c>
      <c r="O197" s="37">
        <f>DAY('Data 1'!$A197)</f>
        <v>15</v>
      </c>
      <c r="P197" s="37" t="str">
        <f>TEXT('Data 1'!$A197,"mmm")</f>
        <v>Sep</v>
      </c>
      <c r="Q197" s="41">
        <f>YEAR('Data 1'!$A197)</f>
        <v>2021</v>
      </c>
    </row>
    <row r="198" spans="1:17" x14ac:dyDescent="0.3">
      <c r="A198" s="35">
        <v>44454</v>
      </c>
      <c r="B198" s="36" t="s">
        <v>29</v>
      </c>
      <c r="C198" s="37">
        <v>14</v>
      </c>
      <c r="D198" s="37" t="s">
        <v>21</v>
      </c>
      <c r="E198" s="37" t="s">
        <v>17</v>
      </c>
      <c r="F198" s="38">
        <v>0</v>
      </c>
      <c r="G198" s="39" t="str">
        <f>VLOOKUP('Data 1'!$B198,'Data 2'!$A$1:$F$46,MATCH('Data 1'!G$1,'Data 2'!$A$1:$F$1,0),0)</f>
        <v>Product42</v>
      </c>
      <c r="H198" s="39" t="str">
        <f>VLOOKUP('Data 1'!$B198,'Data 2'!$A$1:$F$46,MATCH('Data 1'!H$1,'Data 2'!$A$1:$F$1,0),0)</f>
        <v>Category05</v>
      </c>
      <c r="I198" s="39" t="str">
        <f>VLOOKUP('Data 1'!$B198,'Data 2'!$A$1:$F$46,MATCH('Data 1'!I$1,'Data 2'!$A$1:$F$1,0),0)</f>
        <v>Ft</v>
      </c>
      <c r="J198" s="39">
        <f>VLOOKUP('Data 1'!$B198,'Data 2'!$A$1:$F$46,MATCH('Data 1'!J$1,'Data 2'!$A$1:$F$1,0),0)</f>
        <v>120</v>
      </c>
      <c r="K198" s="39">
        <f>VLOOKUP('Data 1'!$B198,'Data 2'!$A$1:$F$46,MATCH('Data 1'!K$1,'Data 2'!$A$1:$F$1,0),0)</f>
        <v>162</v>
      </c>
      <c r="L198" s="40">
        <f>SUM('Data 1'!$J198*'Data 1'!$C198)</f>
        <v>1680</v>
      </c>
      <c r="M198" s="40">
        <f>'Data 1'!$C198*'Data 1'!$K198</f>
        <v>2268</v>
      </c>
      <c r="N198" s="40">
        <f>'Data 1'!$M198-'Data 1'!$L198</f>
        <v>588</v>
      </c>
      <c r="O198" s="37">
        <f>DAY('Data 1'!$A198)</f>
        <v>15</v>
      </c>
      <c r="P198" s="37" t="str">
        <f>TEXT('Data 1'!$A198,"mmm")</f>
        <v>Sep</v>
      </c>
      <c r="Q198" s="41">
        <f>YEAR('Data 1'!$A198)</f>
        <v>2021</v>
      </c>
    </row>
    <row r="199" spans="1:17" x14ac:dyDescent="0.3">
      <c r="A199" s="35">
        <v>44460</v>
      </c>
      <c r="B199" s="36" t="s">
        <v>33</v>
      </c>
      <c r="C199" s="37">
        <v>7</v>
      </c>
      <c r="D199" s="37" t="s">
        <v>16</v>
      </c>
      <c r="E199" s="37" t="s">
        <v>19</v>
      </c>
      <c r="F199" s="38">
        <v>0</v>
      </c>
      <c r="G199" s="42" t="str">
        <f>VLOOKUP('Data 1'!$B199,'Data 2'!$A$1:$F$46,MATCH('Data 1'!G$1,'Data 2'!$A$1:$F$1,0),0)</f>
        <v>Product20</v>
      </c>
      <c r="H199" s="42" t="str">
        <f>VLOOKUP('Data 1'!$B199,'Data 2'!$A$1:$F$46,MATCH('Data 1'!H$1,'Data 2'!$A$1:$F$1,0),0)</f>
        <v>Category03</v>
      </c>
      <c r="I199" s="42" t="str">
        <f>VLOOKUP('Data 1'!$B199,'Data 2'!$A$1:$F$46,MATCH('Data 1'!I$1,'Data 2'!$A$1:$F$1,0),0)</f>
        <v>Lt</v>
      </c>
      <c r="J199" s="42">
        <f>VLOOKUP('Data 1'!$B199,'Data 2'!$A$1:$F$46,MATCH('Data 1'!J$1,'Data 2'!$A$1:$F$1,0),0)</f>
        <v>61</v>
      </c>
      <c r="K199" s="42">
        <f>VLOOKUP('Data 1'!$B199,'Data 2'!$A$1:$F$46,MATCH('Data 1'!K$1,'Data 2'!$A$1:$F$1,0),0)</f>
        <v>76.25</v>
      </c>
      <c r="L199" s="40">
        <f>SUM('Data 1'!$J199*'Data 1'!$C199)</f>
        <v>427</v>
      </c>
      <c r="M199" s="40">
        <f>'Data 1'!$C199*'Data 1'!$K199</f>
        <v>533.75</v>
      </c>
      <c r="N199" s="40">
        <f>'Data 1'!$M199-'Data 1'!$L199</f>
        <v>106.75</v>
      </c>
      <c r="O199" s="37">
        <f>DAY('Data 1'!$A199)</f>
        <v>21</v>
      </c>
      <c r="P199" s="37" t="str">
        <f>TEXT('Data 1'!$A199,"mmm")</f>
        <v>Sep</v>
      </c>
      <c r="Q199" s="41">
        <f>YEAR('Data 1'!$A199)</f>
        <v>2021</v>
      </c>
    </row>
    <row r="200" spans="1:17" x14ac:dyDescent="0.3">
      <c r="A200" s="35">
        <v>44461</v>
      </c>
      <c r="B200" s="36" t="s">
        <v>36</v>
      </c>
      <c r="C200" s="37">
        <v>2</v>
      </c>
      <c r="D200" s="37" t="s">
        <v>17</v>
      </c>
      <c r="E200" s="37" t="s">
        <v>19</v>
      </c>
      <c r="F200" s="38">
        <v>0</v>
      </c>
      <c r="G200" s="39" t="str">
        <f>VLOOKUP('Data 1'!$B200,'Data 2'!$A$1:$F$46,MATCH('Data 1'!G$1,'Data 2'!$A$1:$F$1,0),0)</f>
        <v>Product40</v>
      </c>
      <c r="H200" s="39" t="str">
        <f>VLOOKUP('Data 1'!$B200,'Data 2'!$A$1:$F$46,MATCH('Data 1'!H$1,'Data 2'!$A$1:$F$1,0),0)</f>
        <v>Category05</v>
      </c>
      <c r="I200" s="39" t="str">
        <f>VLOOKUP('Data 1'!$B200,'Data 2'!$A$1:$F$46,MATCH('Data 1'!I$1,'Data 2'!$A$1:$F$1,0),0)</f>
        <v>Kg</v>
      </c>
      <c r="J200" s="39">
        <f>VLOOKUP('Data 1'!$B200,'Data 2'!$A$1:$F$46,MATCH('Data 1'!J$1,'Data 2'!$A$1:$F$1,0),0)</f>
        <v>90</v>
      </c>
      <c r="K200" s="39">
        <f>VLOOKUP('Data 1'!$B200,'Data 2'!$A$1:$F$46,MATCH('Data 1'!K$1,'Data 2'!$A$1:$F$1,0),0)</f>
        <v>115.2</v>
      </c>
      <c r="L200" s="40">
        <f>SUM('Data 1'!$J200*'Data 1'!$C200)</f>
        <v>180</v>
      </c>
      <c r="M200" s="40">
        <f>'Data 1'!$C200*'Data 1'!$K200</f>
        <v>230.4</v>
      </c>
      <c r="N200" s="40">
        <f>'Data 1'!$M200-'Data 1'!$L200</f>
        <v>50.400000000000006</v>
      </c>
      <c r="O200" s="37">
        <f>DAY('Data 1'!$A200)</f>
        <v>22</v>
      </c>
      <c r="P200" s="37" t="str">
        <f>TEXT('Data 1'!$A200,"mmm")</f>
        <v>Sep</v>
      </c>
      <c r="Q200" s="41">
        <f>YEAR('Data 1'!$A200)</f>
        <v>2021</v>
      </c>
    </row>
    <row r="201" spans="1:17" x14ac:dyDescent="0.3">
      <c r="A201" s="35">
        <v>44461</v>
      </c>
      <c r="B201" s="36" t="s">
        <v>48</v>
      </c>
      <c r="C201" s="37">
        <v>4</v>
      </c>
      <c r="D201" s="37" t="s">
        <v>21</v>
      </c>
      <c r="E201" s="37" t="s">
        <v>19</v>
      </c>
      <c r="F201" s="38">
        <v>0</v>
      </c>
      <c r="G201" s="42" t="str">
        <f>VLOOKUP('Data 1'!$B201,'Data 2'!$A$1:$F$46,MATCH('Data 1'!G$1,'Data 2'!$A$1:$F$1,0),0)</f>
        <v>Product02</v>
      </c>
      <c r="H201" s="42" t="str">
        <f>VLOOKUP('Data 1'!$B201,'Data 2'!$A$1:$F$46,MATCH('Data 1'!H$1,'Data 2'!$A$1:$F$1,0),0)</f>
        <v>Category01</v>
      </c>
      <c r="I201" s="42" t="str">
        <f>VLOOKUP('Data 1'!$B201,'Data 2'!$A$1:$F$46,MATCH('Data 1'!I$1,'Data 2'!$A$1:$F$1,0),0)</f>
        <v>Kg</v>
      </c>
      <c r="J201" s="42">
        <f>VLOOKUP('Data 1'!$B201,'Data 2'!$A$1:$F$46,MATCH('Data 1'!J$1,'Data 2'!$A$1:$F$1,0),0)</f>
        <v>105</v>
      </c>
      <c r="K201" s="42">
        <f>VLOOKUP('Data 1'!$B201,'Data 2'!$A$1:$F$46,MATCH('Data 1'!K$1,'Data 2'!$A$1:$F$1,0),0)</f>
        <v>142.80000000000001</v>
      </c>
      <c r="L201" s="40">
        <f>SUM('Data 1'!$J201*'Data 1'!$C201)</f>
        <v>420</v>
      </c>
      <c r="M201" s="40">
        <f>'Data 1'!$C201*'Data 1'!$K201</f>
        <v>571.20000000000005</v>
      </c>
      <c r="N201" s="40">
        <f>'Data 1'!$M201-'Data 1'!$L201</f>
        <v>151.20000000000005</v>
      </c>
      <c r="O201" s="37">
        <f>DAY('Data 1'!$A201)</f>
        <v>22</v>
      </c>
      <c r="P201" s="37" t="str">
        <f>TEXT('Data 1'!$A201,"mmm")</f>
        <v>Sep</v>
      </c>
      <c r="Q201" s="41">
        <f>YEAR('Data 1'!$A201)</f>
        <v>2021</v>
      </c>
    </row>
    <row r="202" spans="1:17" x14ac:dyDescent="0.3">
      <c r="A202" s="35">
        <v>44462</v>
      </c>
      <c r="B202" s="36" t="s">
        <v>49</v>
      </c>
      <c r="C202" s="37">
        <v>12</v>
      </c>
      <c r="D202" s="37" t="s">
        <v>21</v>
      </c>
      <c r="E202" s="37" t="s">
        <v>19</v>
      </c>
      <c r="F202" s="38">
        <v>0</v>
      </c>
      <c r="G202" s="39" t="str">
        <f>VLOOKUP('Data 1'!$B202,'Data 2'!$A$1:$F$46,MATCH('Data 1'!G$1,'Data 2'!$A$1:$F$1,0),0)</f>
        <v>Product18</v>
      </c>
      <c r="H202" s="39" t="str">
        <f>VLOOKUP('Data 1'!$B202,'Data 2'!$A$1:$F$46,MATCH('Data 1'!H$1,'Data 2'!$A$1:$F$1,0),0)</f>
        <v>Category02</v>
      </c>
      <c r="I202" s="39" t="str">
        <f>VLOOKUP('Data 1'!$B202,'Data 2'!$A$1:$F$46,MATCH('Data 1'!I$1,'Data 2'!$A$1:$F$1,0),0)</f>
        <v>No.</v>
      </c>
      <c r="J202" s="39">
        <f>VLOOKUP('Data 1'!$B202,'Data 2'!$A$1:$F$46,MATCH('Data 1'!J$1,'Data 2'!$A$1:$F$1,0),0)</f>
        <v>37</v>
      </c>
      <c r="K202" s="39">
        <f>VLOOKUP('Data 1'!$B202,'Data 2'!$A$1:$F$46,MATCH('Data 1'!K$1,'Data 2'!$A$1:$F$1,0),0)</f>
        <v>49.21</v>
      </c>
      <c r="L202" s="40">
        <f>SUM('Data 1'!$J202*'Data 1'!$C202)</f>
        <v>444</v>
      </c>
      <c r="M202" s="40">
        <f>'Data 1'!$C202*'Data 1'!$K202</f>
        <v>590.52</v>
      </c>
      <c r="N202" s="40">
        <f>'Data 1'!$M202-'Data 1'!$L202</f>
        <v>146.51999999999998</v>
      </c>
      <c r="O202" s="37">
        <f>DAY('Data 1'!$A202)</f>
        <v>23</v>
      </c>
      <c r="P202" s="37" t="str">
        <f>TEXT('Data 1'!$A202,"mmm")</f>
        <v>Sep</v>
      </c>
      <c r="Q202" s="41">
        <f>YEAR('Data 1'!$A202)</f>
        <v>2021</v>
      </c>
    </row>
    <row r="203" spans="1:17" x14ac:dyDescent="0.3">
      <c r="A203" s="35">
        <v>44462</v>
      </c>
      <c r="B203" s="36" t="s">
        <v>51</v>
      </c>
      <c r="C203" s="37">
        <v>7</v>
      </c>
      <c r="D203" s="37" t="s">
        <v>17</v>
      </c>
      <c r="E203" s="37" t="s">
        <v>17</v>
      </c>
      <c r="F203" s="38">
        <v>0</v>
      </c>
      <c r="G203" s="42" t="str">
        <f>VLOOKUP('Data 1'!$B203,'Data 2'!$A$1:$F$46,MATCH('Data 1'!G$1,'Data 2'!$A$1:$F$1,0),0)</f>
        <v>Product21</v>
      </c>
      <c r="H203" s="42" t="str">
        <f>VLOOKUP('Data 1'!$B203,'Data 2'!$A$1:$F$46,MATCH('Data 1'!H$1,'Data 2'!$A$1:$F$1,0),0)</f>
        <v>Category03</v>
      </c>
      <c r="I203" s="42" t="str">
        <f>VLOOKUP('Data 1'!$B203,'Data 2'!$A$1:$F$46,MATCH('Data 1'!I$1,'Data 2'!$A$1:$F$1,0),0)</f>
        <v>Ft</v>
      </c>
      <c r="J203" s="42">
        <f>VLOOKUP('Data 1'!$B203,'Data 2'!$A$1:$F$46,MATCH('Data 1'!J$1,'Data 2'!$A$1:$F$1,0),0)</f>
        <v>126</v>
      </c>
      <c r="K203" s="42">
        <f>VLOOKUP('Data 1'!$B203,'Data 2'!$A$1:$F$46,MATCH('Data 1'!K$1,'Data 2'!$A$1:$F$1,0),0)</f>
        <v>162.54</v>
      </c>
      <c r="L203" s="40">
        <f>SUM('Data 1'!$J203*'Data 1'!$C203)</f>
        <v>882</v>
      </c>
      <c r="M203" s="40">
        <f>'Data 1'!$C203*'Data 1'!$K203</f>
        <v>1137.78</v>
      </c>
      <c r="N203" s="40">
        <f>'Data 1'!$M203-'Data 1'!$L203</f>
        <v>255.77999999999997</v>
      </c>
      <c r="O203" s="37">
        <f>DAY('Data 1'!$A203)</f>
        <v>23</v>
      </c>
      <c r="P203" s="37" t="str">
        <f>TEXT('Data 1'!$A203,"mmm")</f>
        <v>Sep</v>
      </c>
      <c r="Q203" s="41">
        <f>YEAR('Data 1'!$A203)</f>
        <v>2021</v>
      </c>
    </row>
    <row r="204" spans="1:17" x14ac:dyDescent="0.3">
      <c r="A204" s="35">
        <v>44466</v>
      </c>
      <c r="B204" s="36" t="s">
        <v>32</v>
      </c>
      <c r="C204" s="37">
        <v>1</v>
      </c>
      <c r="D204" s="37" t="s">
        <v>21</v>
      </c>
      <c r="E204" s="37" t="s">
        <v>19</v>
      </c>
      <c r="F204" s="38">
        <v>0</v>
      </c>
      <c r="G204" s="39" t="str">
        <f>VLOOKUP('Data 1'!$B204,'Data 2'!$A$1:$F$46,MATCH('Data 1'!G$1,'Data 2'!$A$1:$F$1,0),0)</f>
        <v>Product34</v>
      </c>
      <c r="H204" s="39" t="str">
        <f>VLOOKUP('Data 1'!$B204,'Data 2'!$A$1:$F$46,MATCH('Data 1'!H$1,'Data 2'!$A$1:$F$1,0),0)</f>
        <v>Category04</v>
      </c>
      <c r="I204" s="39" t="str">
        <f>VLOOKUP('Data 1'!$B204,'Data 2'!$A$1:$F$46,MATCH('Data 1'!I$1,'Data 2'!$A$1:$F$1,0),0)</f>
        <v>Lt</v>
      </c>
      <c r="J204" s="39">
        <f>VLOOKUP('Data 1'!$B204,'Data 2'!$A$1:$F$46,MATCH('Data 1'!J$1,'Data 2'!$A$1:$F$1,0),0)</f>
        <v>55</v>
      </c>
      <c r="K204" s="39">
        <f>VLOOKUP('Data 1'!$B204,'Data 2'!$A$1:$F$46,MATCH('Data 1'!K$1,'Data 2'!$A$1:$F$1,0),0)</f>
        <v>58.3</v>
      </c>
      <c r="L204" s="40">
        <f>SUM('Data 1'!$J204*'Data 1'!$C204)</f>
        <v>55</v>
      </c>
      <c r="M204" s="40">
        <f>'Data 1'!$C204*'Data 1'!$K204</f>
        <v>58.3</v>
      </c>
      <c r="N204" s="40">
        <f>'Data 1'!$M204-'Data 1'!$L204</f>
        <v>3.2999999999999972</v>
      </c>
      <c r="O204" s="37">
        <f>DAY('Data 1'!$A204)</f>
        <v>27</v>
      </c>
      <c r="P204" s="37" t="str">
        <f>TEXT('Data 1'!$A204,"mmm")</f>
        <v>Sep</v>
      </c>
      <c r="Q204" s="41">
        <f>YEAR('Data 1'!$A204)</f>
        <v>2021</v>
      </c>
    </row>
    <row r="205" spans="1:17" x14ac:dyDescent="0.3">
      <c r="A205" s="35">
        <v>44469</v>
      </c>
      <c r="B205" s="36" t="s">
        <v>28</v>
      </c>
      <c r="C205" s="37">
        <v>9</v>
      </c>
      <c r="D205" s="37" t="s">
        <v>17</v>
      </c>
      <c r="E205" s="37" t="s">
        <v>17</v>
      </c>
      <c r="F205" s="38">
        <v>0</v>
      </c>
      <c r="G205" s="42" t="str">
        <f>VLOOKUP('Data 1'!$B205,'Data 2'!$A$1:$F$46,MATCH('Data 1'!G$1,'Data 2'!$A$1:$F$1,0),0)</f>
        <v>Product14</v>
      </c>
      <c r="H205" s="42" t="str">
        <f>VLOOKUP('Data 1'!$B205,'Data 2'!$A$1:$F$46,MATCH('Data 1'!H$1,'Data 2'!$A$1:$F$1,0),0)</f>
        <v>Category02</v>
      </c>
      <c r="I205" s="42" t="str">
        <f>VLOOKUP('Data 1'!$B205,'Data 2'!$A$1:$F$46,MATCH('Data 1'!I$1,'Data 2'!$A$1:$F$1,0),0)</f>
        <v>Kg</v>
      </c>
      <c r="J205" s="42">
        <f>VLOOKUP('Data 1'!$B205,'Data 2'!$A$1:$F$46,MATCH('Data 1'!J$1,'Data 2'!$A$1:$F$1,0),0)</f>
        <v>112</v>
      </c>
      <c r="K205" s="42">
        <f>VLOOKUP('Data 1'!$B205,'Data 2'!$A$1:$F$46,MATCH('Data 1'!K$1,'Data 2'!$A$1:$F$1,0),0)</f>
        <v>146.72</v>
      </c>
      <c r="L205" s="40">
        <f>SUM('Data 1'!$J205*'Data 1'!$C205)</f>
        <v>1008</v>
      </c>
      <c r="M205" s="40">
        <f>'Data 1'!$C205*'Data 1'!$K205</f>
        <v>1320.48</v>
      </c>
      <c r="N205" s="40">
        <f>'Data 1'!$M205-'Data 1'!$L205</f>
        <v>312.48</v>
      </c>
      <c r="O205" s="37">
        <f>DAY('Data 1'!$A205)</f>
        <v>30</v>
      </c>
      <c r="P205" s="37" t="str">
        <f>TEXT('Data 1'!$A205,"mmm")</f>
        <v>Sep</v>
      </c>
      <c r="Q205" s="41">
        <f>YEAR('Data 1'!$A205)</f>
        <v>2021</v>
      </c>
    </row>
    <row r="206" spans="1:17" x14ac:dyDescent="0.3">
      <c r="A206" s="35">
        <v>44469</v>
      </c>
      <c r="B206" s="36" t="s">
        <v>34</v>
      </c>
      <c r="C206" s="37">
        <v>5</v>
      </c>
      <c r="D206" s="37" t="s">
        <v>17</v>
      </c>
      <c r="E206" s="37" t="s">
        <v>17</v>
      </c>
      <c r="F206" s="38">
        <v>0</v>
      </c>
      <c r="G206" s="39" t="str">
        <f>VLOOKUP('Data 1'!$B206,'Data 2'!$A$1:$F$46,MATCH('Data 1'!G$1,'Data 2'!$A$1:$F$1,0),0)</f>
        <v>Product06</v>
      </c>
      <c r="H206" s="39" t="str">
        <f>VLOOKUP('Data 1'!$B206,'Data 2'!$A$1:$F$46,MATCH('Data 1'!H$1,'Data 2'!$A$1:$F$1,0),0)</f>
        <v>Category01</v>
      </c>
      <c r="I206" s="39" t="str">
        <f>VLOOKUP('Data 1'!$B206,'Data 2'!$A$1:$F$46,MATCH('Data 1'!I$1,'Data 2'!$A$1:$F$1,0),0)</f>
        <v>Kg</v>
      </c>
      <c r="J206" s="39">
        <f>VLOOKUP('Data 1'!$B206,'Data 2'!$A$1:$F$46,MATCH('Data 1'!J$1,'Data 2'!$A$1:$F$1,0),0)</f>
        <v>75</v>
      </c>
      <c r="K206" s="39">
        <f>VLOOKUP('Data 1'!$B206,'Data 2'!$A$1:$F$46,MATCH('Data 1'!K$1,'Data 2'!$A$1:$F$1,0),0)</f>
        <v>85.5</v>
      </c>
      <c r="L206" s="40">
        <f>SUM('Data 1'!$J206*'Data 1'!$C206)</f>
        <v>375</v>
      </c>
      <c r="M206" s="40">
        <f>'Data 1'!$C206*'Data 1'!$K206</f>
        <v>427.5</v>
      </c>
      <c r="N206" s="40">
        <f>'Data 1'!$M206-'Data 1'!$L206</f>
        <v>52.5</v>
      </c>
      <c r="O206" s="37">
        <f>DAY('Data 1'!$A206)</f>
        <v>30</v>
      </c>
      <c r="P206" s="37" t="str">
        <f>TEXT('Data 1'!$A206,"mmm")</f>
        <v>Sep</v>
      </c>
      <c r="Q206" s="41">
        <f>YEAR('Data 1'!$A206)</f>
        <v>2021</v>
      </c>
    </row>
    <row r="207" spans="1:17" x14ac:dyDescent="0.3">
      <c r="A207" s="35">
        <v>44470</v>
      </c>
      <c r="B207" s="36" t="s">
        <v>47</v>
      </c>
      <c r="C207" s="37">
        <v>14</v>
      </c>
      <c r="D207" s="37" t="s">
        <v>17</v>
      </c>
      <c r="E207" s="37" t="s">
        <v>19</v>
      </c>
      <c r="F207" s="38">
        <v>0</v>
      </c>
      <c r="G207" s="42" t="str">
        <f>VLOOKUP('Data 1'!$B207,'Data 2'!$A$1:$F$46,MATCH('Data 1'!G$1,'Data 2'!$A$1:$F$1,0),0)</f>
        <v>Product30</v>
      </c>
      <c r="H207" s="42" t="str">
        <f>VLOOKUP('Data 1'!$B207,'Data 2'!$A$1:$F$46,MATCH('Data 1'!H$1,'Data 2'!$A$1:$F$1,0),0)</f>
        <v>Category04</v>
      </c>
      <c r="I207" s="42" t="str">
        <f>VLOOKUP('Data 1'!$B207,'Data 2'!$A$1:$F$46,MATCH('Data 1'!I$1,'Data 2'!$A$1:$F$1,0),0)</f>
        <v>Ft</v>
      </c>
      <c r="J207" s="42">
        <f>VLOOKUP('Data 1'!$B207,'Data 2'!$A$1:$F$46,MATCH('Data 1'!J$1,'Data 2'!$A$1:$F$1,0),0)</f>
        <v>148</v>
      </c>
      <c r="K207" s="42">
        <f>VLOOKUP('Data 1'!$B207,'Data 2'!$A$1:$F$46,MATCH('Data 1'!K$1,'Data 2'!$A$1:$F$1,0),0)</f>
        <v>201.28</v>
      </c>
      <c r="L207" s="40">
        <f>SUM('Data 1'!$J207*'Data 1'!$C207)</f>
        <v>2072</v>
      </c>
      <c r="M207" s="40">
        <f>'Data 1'!$C207*'Data 1'!$K207</f>
        <v>2817.92</v>
      </c>
      <c r="N207" s="40">
        <f>'Data 1'!$M207-'Data 1'!$L207</f>
        <v>745.92000000000007</v>
      </c>
      <c r="O207" s="37">
        <f>DAY('Data 1'!$A207)</f>
        <v>1</v>
      </c>
      <c r="P207" s="37" t="str">
        <f>TEXT('Data 1'!$A207,"mmm")</f>
        <v>Oct</v>
      </c>
      <c r="Q207" s="41">
        <f>YEAR('Data 1'!$A207)</f>
        <v>2021</v>
      </c>
    </row>
    <row r="208" spans="1:17" x14ac:dyDescent="0.3">
      <c r="A208" s="35">
        <v>44471</v>
      </c>
      <c r="B208" s="36" t="s">
        <v>28</v>
      </c>
      <c r="C208" s="37">
        <v>15</v>
      </c>
      <c r="D208" s="37" t="s">
        <v>21</v>
      </c>
      <c r="E208" s="37" t="s">
        <v>17</v>
      </c>
      <c r="F208" s="38">
        <v>0</v>
      </c>
      <c r="G208" s="39" t="str">
        <f>VLOOKUP('Data 1'!$B208,'Data 2'!$A$1:$F$46,MATCH('Data 1'!G$1,'Data 2'!$A$1:$F$1,0),0)</f>
        <v>Product14</v>
      </c>
      <c r="H208" s="39" t="str">
        <f>VLOOKUP('Data 1'!$B208,'Data 2'!$A$1:$F$46,MATCH('Data 1'!H$1,'Data 2'!$A$1:$F$1,0),0)</f>
        <v>Category02</v>
      </c>
      <c r="I208" s="39" t="str">
        <f>VLOOKUP('Data 1'!$B208,'Data 2'!$A$1:$F$46,MATCH('Data 1'!I$1,'Data 2'!$A$1:$F$1,0),0)</f>
        <v>Kg</v>
      </c>
      <c r="J208" s="39">
        <f>VLOOKUP('Data 1'!$B208,'Data 2'!$A$1:$F$46,MATCH('Data 1'!J$1,'Data 2'!$A$1:$F$1,0),0)</f>
        <v>112</v>
      </c>
      <c r="K208" s="39">
        <f>VLOOKUP('Data 1'!$B208,'Data 2'!$A$1:$F$46,MATCH('Data 1'!K$1,'Data 2'!$A$1:$F$1,0),0)</f>
        <v>146.72</v>
      </c>
      <c r="L208" s="40">
        <f>SUM('Data 1'!$J208*'Data 1'!$C208)</f>
        <v>1680</v>
      </c>
      <c r="M208" s="40">
        <f>'Data 1'!$C208*'Data 1'!$K208</f>
        <v>2200.8000000000002</v>
      </c>
      <c r="N208" s="40">
        <f>'Data 1'!$M208-'Data 1'!$L208</f>
        <v>520.80000000000018</v>
      </c>
      <c r="O208" s="37">
        <f>DAY('Data 1'!$A208)</f>
        <v>2</v>
      </c>
      <c r="P208" s="37" t="str">
        <f>TEXT('Data 1'!$A208,"mmm")</f>
        <v>Oct</v>
      </c>
      <c r="Q208" s="41">
        <f>YEAR('Data 1'!$A208)</f>
        <v>2021</v>
      </c>
    </row>
    <row r="209" spans="1:17" x14ac:dyDescent="0.3">
      <c r="A209" s="35">
        <v>44472</v>
      </c>
      <c r="B209" s="36" t="s">
        <v>59</v>
      </c>
      <c r="C209" s="37">
        <v>9</v>
      </c>
      <c r="D209" s="37" t="s">
        <v>21</v>
      </c>
      <c r="E209" s="37" t="s">
        <v>17</v>
      </c>
      <c r="F209" s="38">
        <v>0</v>
      </c>
      <c r="G209" s="42" t="str">
        <f>VLOOKUP('Data 1'!$B209,'Data 2'!$A$1:$F$46,MATCH('Data 1'!G$1,'Data 2'!$A$1:$F$1,0),0)</f>
        <v>Product19</v>
      </c>
      <c r="H209" s="42" t="str">
        <f>VLOOKUP('Data 1'!$B209,'Data 2'!$A$1:$F$46,MATCH('Data 1'!H$1,'Data 2'!$A$1:$F$1,0),0)</f>
        <v>Category02</v>
      </c>
      <c r="I209" s="42" t="str">
        <f>VLOOKUP('Data 1'!$B209,'Data 2'!$A$1:$F$46,MATCH('Data 1'!I$1,'Data 2'!$A$1:$F$1,0),0)</f>
        <v>Ft</v>
      </c>
      <c r="J209" s="42">
        <f>VLOOKUP('Data 1'!$B209,'Data 2'!$A$1:$F$46,MATCH('Data 1'!J$1,'Data 2'!$A$1:$F$1,0),0)</f>
        <v>150</v>
      </c>
      <c r="K209" s="42">
        <f>VLOOKUP('Data 1'!$B209,'Data 2'!$A$1:$F$46,MATCH('Data 1'!K$1,'Data 2'!$A$1:$F$1,0),0)</f>
        <v>210</v>
      </c>
      <c r="L209" s="40">
        <f>SUM('Data 1'!$J209*'Data 1'!$C209)</f>
        <v>1350</v>
      </c>
      <c r="M209" s="40">
        <f>'Data 1'!$C209*'Data 1'!$K209</f>
        <v>1890</v>
      </c>
      <c r="N209" s="40">
        <f>'Data 1'!$M209-'Data 1'!$L209</f>
        <v>540</v>
      </c>
      <c r="O209" s="37">
        <f>DAY('Data 1'!$A209)</f>
        <v>3</v>
      </c>
      <c r="P209" s="37" t="str">
        <f>TEXT('Data 1'!$A209,"mmm")</f>
        <v>Oct</v>
      </c>
      <c r="Q209" s="41">
        <f>YEAR('Data 1'!$A209)</f>
        <v>2021</v>
      </c>
    </row>
    <row r="210" spans="1:17" x14ac:dyDescent="0.3">
      <c r="A210" s="35">
        <v>44475</v>
      </c>
      <c r="B210" s="36" t="s">
        <v>23</v>
      </c>
      <c r="C210" s="37">
        <v>1</v>
      </c>
      <c r="D210" s="37" t="s">
        <v>21</v>
      </c>
      <c r="E210" s="37" t="s">
        <v>17</v>
      </c>
      <c r="F210" s="38">
        <v>0</v>
      </c>
      <c r="G210" s="39" t="str">
        <f>VLOOKUP('Data 1'!$B210,'Data 2'!$A$1:$F$46,MATCH('Data 1'!G$1,'Data 2'!$A$1:$F$1,0),0)</f>
        <v>Product35</v>
      </c>
      <c r="H210" s="39" t="str">
        <f>VLOOKUP('Data 1'!$B210,'Data 2'!$A$1:$F$46,MATCH('Data 1'!H$1,'Data 2'!$A$1:$F$1,0),0)</f>
        <v>Category04</v>
      </c>
      <c r="I210" s="39" t="str">
        <f>VLOOKUP('Data 1'!$B210,'Data 2'!$A$1:$F$46,MATCH('Data 1'!I$1,'Data 2'!$A$1:$F$1,0),0)</f>
        <v>No.</v>
      </c>
      <c r="J210" s="39">
        <f>VLOOKUP('Data 1'!$B210,'Data 2'!$A$1:$F$46,MATCH('Data 1'!J$1,'Data 2'!$A$1:$F$1,0),0)</f>
        <v>5</v>
      </c>
      <c r="K210" s="39">
        <f>VLOOKUP('Data 1'!$B210,'Data 2'!$A$1:$F$46,MATCH('Data 1'!K$1,'Data 2'!$A$1:$F$1,0),0)</f>
        <v>6.7</v>
      </c>
      <c r="L210" s="40">
        <f>SUM('Data 1'!$J210*'Data 1'!$C210)</f>
        <v>5</v>
      </c>
      <c r="M210" s="40">
        <f>'Data 1'!$C210*'Data 1'!$K210</f>
        <v>6.7</v>
      </c>
      <c r="N210" s="40">
        <f>'Data 1'!$M210-'Data 1'!$L210</f>
        <v>1.7000000000000002</v>
      </c>
      <c r="O210" s="37">
        <f>DAY('Data 1'!$A210)</f>
        <v>6</v>
      </c>
      <c r="P210" s="37" t="str">
        <f>TEXT('Data 1'!$A210,"mmm")</f>
        <v>Oct</v>
      </c>
      <c r="Q210" s="41">
        <f>YEAR('Data 1'!$A210)</f>
        <v>2021</v>
      </c>
    </row>
    <row r="211" spans="1:17" x14ac:dyDescent="0.3">
      <c r="A211" s="35">
        <v>44475</v>
      </c>
      <c r="B211" s="36" t="s">
        <v>62</v>
      </c>
      <c r="C211" s="37">
        <v>12</v>
      </c>
      <c r="D211" s="37" t="s">
        <v>17</v>
      </c>
      <c r="E211" s="37" t="s">
        <v>17</v>
      </c>
      <c r="F211" s="38">
        <v>0</v>
      </c>
      <c r="G211" s="42" t="str">
        <f>VLOOKUP('Data 1'!$B211,'Data 2'!$A$1:$F$46,MATCH('Data 1'!G$1,'Data 2'!$A$1:$F$1,0),0)</f>
        <v>Product36</v>
      </c>
      <c r="H211" s="42" t="str">
        <f>VLOOKUP('Data 1'!$B211,'Data 2'!$A$1:$F$46,MATCH('Data 1'!H$1,'Data 2'!$A$1:$F$1,0),0)</f>
        <v>Category04</v>
      </c>
      <c r="I211" s="42" t="str">
        <f>VLOOKUP('Data 1'!$B211,'Data 2'!$A$1:$F$46,MATCH('Data 1'!I$1,'Data 2'!$A$1:$F$1,0),0)</f>
        <v>Kg</v>
      </c>
      <c r="J211" s="42">
        <f>VLOOKUP('Data 1'!$B211,'Data 2'!$A$1:$F$46,MATCH('Data 1'!J$1,'Data 2'!$A$1:$F$1,0),0)</f>
        <v>90</v>
      </c>
      <c r="K211" s="42">
        <f>VLOOKUP('Data 1'!$B211,'Data 2'!$A$1:$F$46,MATCH('Data 1'!K$1,'Data 2'!$A$1:$F$1,0),0)</f>
        <v>96.3</v>
      </c>
      <c r="L211" s="40">
        <f>SUM('Data 1'!$J211*'Data 1'!$C211)</f>
        <v>1080</v>
      </c>
      <c r="M211" s="40">
        <f>'Data 1'!$C211*'Data 1'!$K211</f>
        <v>1155.5999999999999</v>
      </c>
      <c r="N211" s="40">
        <f>'Data 1'!$M211-'Data 1'!$L211</f>
        <v>75.599999999999909</v>
      </c>
      <c r="O211" s="37">
        <f>DAY('Data 1'!$A211)</f>
        <v>6</v>
      </c>
      <c r="P211" s="37" t="str">
        <f>TEXT('Data 1'!$A211,"mmm")</f>
        <v>Oct</v>
      </c>
      <c r="Q211" s="41">
        <f>YEAR('Data 1'!$A211)</f>
        <v>2021</v>
      </c>
    </row>
    <row r="212" spans="1:17" x14ac:dyDescent="0.3">
      <c r="A212" s="35">
        <v>44476</v>
      </c>
      <c r="B212" s="36" t="s">
        <v>61</v>
      </c>
      <c r="C212" s="37">
        <v>6</v>
      </c>
      <c r="D212" s="37" t="s">
        <v>21</v>
      </c>
      <c r="E212" s="37" t="s">
        <v>19</v>
      </c>
      <c r="F212" s="38">
        <v>0</v>
      </c>
      <c r="G212" s="39" t="str">
        <f>VLOOKUP('Data 1'!$B212,'Data 2'!$A$1:$F$46,MATCH('Data 1'!G$1,'Data 2'!$A$1:$F$1,0),0)</f>
        <v>Product26</v>
      </c>
      <c r="H212" s="39" t="str">
        <f>VLOOKUP('Data 1'!$B212,'Data 2'!$A$1:$F$46,MATCH('Data 1'!H$1,'Data 2'!$A$1:$F$1,0),0)</f>
        <v>Category04</v>
      </c>
      <c r="I212" s="39" t="str">
        <f>VLOOKUP('Data 1'!$B212,'Data 2'!$A$1:$F$46,MATCH('Data 1'!I$1,'Data 2'!$A$1:$F$1,0),0)</f>
        <v>No.</v>
      </c>
      <c r="J212" s="39">
        <f>VLOOKUP('Data 1'!$B212,'Data 2'!$A$1:$F$46,MATCH('Data 1'!J$1,'Data 2'!$A$1:$F$1,0),0)</f>
        <v>18</v>
      </c>
      <c r="K212" s="39">
        <f>VLOOKUP('Data 1'!$B212,'Data 2'!$A$1:$F$46,MATCH('Data 1'!K$1,'Data 2'!$A$1:$F$1,0),0)</f>
        <v>24.66</v>
      </c>
      <c r="L212" s="40">
        <f>SUM('Data 1'!$J212*'Data 1'!$C212)</f>
        <v>108</v>
      </c>
      <c r="M212" s="40">
        <f>'Data 1'!$C212*'Data 1'!$K212</f>
        <v>147.96</v>
      </c>
      <c r="N212" s="40">
        <f>'Data 1'!$M212-'Data 1'!$L212</f>
        <v>39.960000000000008</v>
      </c>
      <c r="O212" s="37">
        <f>DAY('Data 1'!$A212)</f>
        <v>7</v>
      </c>
      <c r="P212" s="37" t="str">
        <f>TEXT('Data 1'!$A212,"mmm")</f>
        <v>Oct</v>
      </c>
      <c r="Q212" s="41">
        <f>YEAR('Data 1'!$A212)</f>
        <v>2021</v>
      </c>
    </row>
    <row r="213" spans="1:17" x14ac:dyDescent="0.3">
      <c r="A213" s="35">
        <v>44478</v>
      </c>
      <c r="B213" s="36" t="s">
        <v>18</v>
      </c>
      <c r="C213" s="37">
        <v>5</v>
      </c>
      <c r="D213" s="37" t="s">
        <v>21</v>
      </c>
      <c r="E213" s="37" t="s">
        <v>19</v>
      </c>
      <c r="F213" s="38">
        <v>0</v>
      </c>
      <c r="G213" s="42" t="str">
        <f>VLOOKUP('Data 1'!$B213,'Data 2'!$A$1:$F$46,MATCH('Data 1'!G$1,'Data 2'!$A$1:$F$1,0),0)</f>
        <v>Product38</v>
      </c>
      <c r="H213" s="42" t="str">
        <f>VLOOKUP('Data 1'!$B213,'Data 2'!$A$1:$F$46,MATCH('Data 1'!H$1,'Data 2'!$A$1:$F$1,0),0)</f>
        <v>Category05</v>
      </c>
      <c r="I213" s="42" t="str">
        <f>VLOOKUP('Data 1'!$B213,'Data 2'!$A$1:$F$46,MATCH('Data 1'!I$1,'Data 2'!$A$1:$F$1,0),0)</f>
        <v>Kg</v>
      </c>
      <c r="J213" s="42">
        <f>VLOOKUP('Data 1'!$B213,'Data 2'!$A$1:$F$46,MATCH('Data 1'!J$1,'Data 2'!$A$1:$F$1,0),0)</f>
        <v>72</v>
      </c>
      <c r="K213" s="42">
        <f>VLOOKUP('Data 1'!$B213,'Data 2'!$A$1:$F$46,MATCH('Data 1'!K$1,'Data 2'!$A$1:$F$1,0),0)</f>
        <v>79.92</v>
      </c>
      <c r="L213" s="40">
        <f>SUM('Data 1'!$J213*'Data 1'!$C213)</f>
        <v>360</v>
      </c>
      <c r="M213" s="40">
        <f>'Data 1'!$C213*'Data 1'!$K213</f>
        <v>399.6</v>
      </c>
      <c r="N213" s="40">
        <f>'Data 1'!$M213-'Data 1'!$L213</f>
        <v>39.600000000000023</v>
      </c>
      <c r="O213" s="37">
        <f>DAY('Data 1'!$A213)</f>
        <v>9</v>
      </c>
      <c r="P213" s="37" t="str">
        <f>TEXT('Data 1'!$A213,"mmm")</f>
        <v>Oct</v>
      </c>
      <c r="Q213" s="41">
        <f>YEAR('Data 1'!$A213)</f>
        <v>2021</v>
      </c>
    </row>
    <row r="214" spans="1:17" x14ac:dyDescent="0.3">
      <c r="A214" s="35">
        <v>44478</v>
      </c>
      <c r="B214" s="36" t="s">
        <v>37</v>
      </c>
      <c r="C214" s="37">
        <v>11</v>
      </c>
      <c r="D214" s="37" t="s">
        <v>17</v>
      </c>
      <c r="E214" s="37" t="s">
        <v>19</v>
      </c>
      <c r="F214" s="38">
        <v>0</v>
      </c>
      <c r="G214" s="39" t="str">
        <f>VLOOKUP('Data 1'!$B214,'Data 2'!$A$1:$F$46,MATCH('Data 1'!G$1,'Data 2'!$A$1:$F$1,0),0)</f>
        <v>Product32</v>
      </c>
      <c r="H214" s="39" t="str">
        <f>VLOOKUP('Data 1'!$B214,'Data 2'!$A$1:$F$46,MATCH('Data 1'!H$1,'Data 2'!$A$1:$F$1,0),0)</f>
        <v>Category04</v>
      </c>
      <c r="I214" s="39" t="str">
        <f>VLOOKUP('Data 1'!$B214,'Data 2'!$A$1:$F$46,MATCH('Data 1'!I$1,'Data 2'!$A$1:$F$1,0),0)</f>
        <v>Kg</v>
      </c>
      <c r="J214" s="39">
        <f>VLOOKUP('Data 1'!$B214,'Data 2'!$A$1:$F$46,MATCH('Data 1'!J$1,'Data 2'!$A$1:$F$1,0),0)</f>
        <v>89</v>
      </c>
      <c r="K214" s="39">
        <f>VLOOKUP('Data 1'!$B214,'Data 2'!$A$1:$F$46,MATCH('Data 1'!K$1,'Data 2'!$A$1:$F$1,0),0)</f>
        <v>117.48</v>
      </c>
      <c r="L214" s="40">
        <f>SUM('Data 1'!$J214*'Data 1'!$C214)</f>
        <v>979</v>
      </c>
      <c r="M214" s="40">
        <f>'Data 1'!$C214*'Data 1'!$K214</f>
        <v>1292.28</v>
      </c>
      <c r="N214" s="40">
        <f>'Data 1'!$M214-'Data 1'!$L214</f>
        <v>313.27999999999997</v>
      </c>
      <c r="O214" s="37">
        <f>DAY('Data 1'!$A214)</f>
        <v>9</v>
      </c>
      <c r="P214" s="37" t="str">
        <f>TEXT('Data 1'!$A214,"mmm")</f>
        <v>Oct</v>
      </c>
      <c r="Q214" s="41">
        <f>YEAR('Data 1'!$A214)</f>
        <v>2021</v>
      </c>
    </row>
    <row r="215" spans="1:17" x14ac:dyDescent="0.3">
      <c r="A215" s="35">
        <v>44479</v>
      </c>
      <c r="B215" s="36" t="s">
        <v>23</v>
      </c>
      <c r="C215" s="37">
        <v>14</v>
      </c>
      <c r="D215" s="37" t="s">
        <v>21</v>
      </c>
      <c r="E215" s="37" t="s">
        <v>19</v>
      </c>
      <c r="F215" s="38">
        <v>0</v>
      </c>
      <c r="G215" s="42" t="str">
        <f>VLOOKUP('Data 1'!$B215,'Data 2'!$A$1:$F$46,MATCH('Data 1'!G$1,'Data 2'!$A$1:$F$1,0),0)</f>
        <v>Product35</v>
      </c>
      <c r="H215" s="42" t="str">
        <f>VLOOKUP('Data 1'!$B215,'Data 2'!$A$1:$F$46,MATCH('Data 1'!H$1,'Data 2'!$A$1:$F$1,0),0)</f>
        <v>Category04</v>
      </c>
      <c r="I215" s="42" t="str">
        <f>VLOOKUP('Data 1'!$B215,'Data 2'!$A$1:$F$46,MATCH('Data 1'!I$1,'Data 2'!$A$1:$F$1,0),0)</f>
        <v>No.</v>
      </c>
      <c r="J215" s="42">
        <f>VLOOKUP('Data 1'!$B215,'Data 2'!$A$1:$F$46,MATCH('Data 1'!J$1,'Data 2'!$A$1:$F$1,0),0)</f>
        <v>5</v>
      </c>
      <c r="K215" s="42">
        <f>VLOOKUP('Data 1'!$B215,'Data 2'!$A$1:$F$46,MATCH('Data 1'!K$1,'Data 2'!$A$1:$F$1,0),0)</f>
        <v>6.7</v>
      </c>
      <c r="L215" s="40">
        <f>SUM('Data 1'!$J215*'Data 1'!$C215)</f>
        <v>70</v>
      </c>
      <c r="M215" s="40">
        <f>'Data 1'!$C215*'Data 1'!$K215</f>
        <v>93.8</v>
      </c>
      <c r="N215" s="40">
        <f>'Data 1'!$M215-'Data 1'!$L215</f>
        <v>23.799999999999997</v>
      </c>
      <c r="O215" s="37">
        <f>DAY('Data 1'!$A215)</f>
        <v>10</v>
      </c>
      <c r="P215" s="37" t="str">
        <f>TEXT('Data 1'!$A215,"mmm")</f>
        <v>Oct</v>
      </c>
      <c r="Q215" s="41">
        <f>YEAR('Data 1'!$A215)</f>
        <v>2021</v>
      </c>
    </row>
    <row r="216" spans="1:17" x14ac:dyDescent="0.3">
      <c r="A216" s="35">
        <v>44480</v>
      </c>
      <c r="B216" s="36" t="s">
        <v>50</v>
      </c>
      <c r="C216" s="37">
        <v>15</v>
      </c>
      <c r="D216" s="37" t="s">
        <v>21</v>
      </c>
      <c r="E216" s="37" t="s">
        <v>19</v>
      </c>
      <c r="F216" s="38">
        <v>0</v>
      </c>
      <c r="G216" s="39" t="str">
        <f>VLOOKUP('Data 1'!$B216,'Data 2'!$A$1:$F$46,MATCH('Data 1'!G$1,'Data 2'!$A$1:$F$1,0),0)</f>
        <v>Product11</v>
      </c>
      <c r="H216" s="39" t="str">
        <f>VLOOKUP('Data 1'!$B216,'Data 2'!$A$1:$F$46,MATCH('Data 1'!H$1,'Data 2'!$A$1:$F$1,0),0)</f>
        <v>Category02</v>
      </c>
      <c r="I216" s="39" t="str">
        <f>VLOOKUP('Data 1'!$B216,'Data 2'!$A$1:$F$46,MATCH('Data 1'!I$1,'Data 2'!$A$1:$F$1,0),0)</f>
        <v>Lt</v>
      </c>
      <c r="J216" s="39">
        <f>VLOOKUP('Data 1'!$B216,'Data 2'!$A$1:$F$46,MATCH('Data 1'!J$1,'Data 2'!$A$1:$F$1,0),0)</f>
        <v>44</v>
      </c>
      <c r="K216" s="39">
        <f>VLOOKUP('Data 1'!$B216,'Data 2'!$A$1:$F$46,MATCH('Data 1'!K$1,'Data 2'!$A$1:$F$1,0),0)</f>
        <v>48.4</v>
      </c>
      <c r="L216" s="40">
        <f>SUM('Data 1'!$J216*'Data 1'!$C216)</f>
        <v>660</v>
      </c>
      <c r="M216" s="40">
        <f>'Data 1'!$C216*'Data 1'!$K216</f>
        <v>726</v>
      </c>
      <c r="N216" s="40">
        <f>'Data 1'!$M216-'Data 1'!$L216</f>
        <v>66</v>
      </c>
      <c r="O216" s="37">
        <f>DAY('Data 1'!$A216)</f>
        <v>11</v>
      </c>
      <c r="P216" s="37" t="str">
        <f>TEXT('Data 1'!$A216,"mmm")</f>
        <v>Oct</v>
      </c>
      <c r="Q216" s="41">
        <f>YEAR('Data 1'!$A216)</f>
        <v>2021</v>
      </c>
    </row>
    <row r="217" spans="1:17" x14ac:dyDescent="0.3">
      <c r="A217" s="35">
        <v>44481</v>
      </c>
      <c r="B217" s="36" t="s">
        <v>45</v>
      </c>
      <c r="C217" s="37">
        <v>8</v>
      </c>
      <c r="D217" s="37" t="s">
        <v>17</v>
      </c>
      <c r="E217" s="37" t="s">
        <v>17</v>
      </c>
      <c r="F217" s="38">
        <v>0</v>
      </c>
      <c r="G217" s="42" t="str">
        <f>VLOOKUP('Data 1'!$B217,'Data 2'!$A$1:$F$46,MATCH('Data 1'!G$1,'Data 2'!$A$1:$F$1,0),0)</f>
        <v>Product27</v>
      </c>
      <c r="H217" s="42" t="str">
        <f>VLOOKUP('Data 1'!$B217,'Data 2'!$A$1:$F$46,MATCH('Data 1'!H$1,'Data 2'!$A$1:$F$1,0),0)</f>
        <v>Category04</v>
      </c>
      <c r="I217" s="42" t="str">
        <f>VLOOKUP('Data 1'!$B217,'Data 2'!$A$1:$F$46,MATCH('Data 1'!I$1,'Data 2'!$A$1:$F$1,0),0)</f>
        <v>Lt</v>
      </c>
      <c r="J217" s="42">
        <f>VLOOKUP('Data 1'!$B217,'Data 2'!$A$1:$F$46,MATCH('Data 1'!J$1,'Data 2'!$A$1:$F$1,0),0)</f>
        <v>48</v>
      </c>
      <c r="K217" s="42">
        <f>VLOOKUP('Data 1'!$B217,'Data 2'!$A$1:$F$46,MATCH('Data 1'!K$1,'Data 2'!$A$1:$F$1,0),0)</f>
        <v>57.120000000000005</v>
      </c>
      <c r="L217" s="40">
        <f>SUM('Data 1'!$J217*'Data 1'!$C217)</f>
        <v>384</v>
      </c>
      <c r="M217" s="40">
        <f>'Data 1'!$C217*'Data 1'!$K217</f>
        <v>456.96000000000004</v>
      </c>
      <c r="N217" s="40">
        <f>'Data 1'!$M217-'Data 1'!$L217</f>
        <v>72.960000000000036</v>
      </c>
      <c r="O217" s="37">
        <f>DAY('Data 1'!$A217)</f>
        <v>12</v>
      </c>
      <c r="P217" s="37" t="str">
        <f>TEXT('Data 1'!$A217,"mmm")</f>
        <v>Oct</v>
      </c>
      <c r="Q217" s="41">
        <f>YEAR('Data 1'!$A217)</f>
        <v>2021</v>
      </c>
    </row>
    <row r="218" spans="1:17" x14ac:dyDescent="0.3">
      <c r="A218" s="35">
        <v>44486</v>
      </c>
      <c r="B218" s="36" t="s">
        <v>35</v>
      </c>
      <c r="C218" s="37">
        <v>13</v>
      </c>
      <c r="D218" s="37" t="s">
        <v>21</v>
      </c>
      <c r="E218" s="37" t="s">
        <v>17</v>
      </c>
      <c r="F218" s="38">
        <v>0</v>
      </c>
      <c r="G218" s="39" t="str">
        <f>VLOOKUP('Data 1'!$B218,'Data 2'!$A$1:$F$46,MATCH('Data 1'!G$1,'Data 2'!$A$1:$F$1,0),0)</f>
        <v>Product01</v>
      </c>
      <c r="H218" s="39" t="str">
        <f>VLOOKUP('Data 1'!$B218,'Data 2'!$A$1:$F$46,MATCH('Data 1'!H$1,'Data 2'!$A$1:$F$1,0),0)</f>
        <v>Category01</v>
      </c>
      <c r="I218" s="39" t="str">
        <f>VLOOKUP('Data 1'!$B218,'Data 2'!$A$1:$F$46,MATCH('Data 1'!I$1,'Data 2'!$A$1:$F$1,0),0)</f>
        <v>Kg</v>
      </c>
      <c r="J218" s="39">
        <f>VLOOKUP('Data 1'!$B218,'Data 2'!$A$1:$F$46,MATCH('Data 1'!J$1,'Data 2'!$A$1:$F$1,0),0)</f>
        <v>98</v>
      </c>
      <c r="K218" s="39">
        <f>VLOOKUP('Data 1'!$B218,'Data 2'!$A$1:$F$46,MATCH('Data 1'!K$1,'Data 2'!$A$1:$F$1,0),0)</f>
        <v>103.88</v>
      </c>
      <c r="L218" s="40">
        <f>SUM('Data 1'!$J218*'Data 1'!$C218)</f>
        <v>1274</v>
      </c>
      <c r="M218" s="40">
        <f>'Data 1'!$C218*'Data 1'!$K218</f>
        <v>1350.44</v>
      </c>
      <c r="N218" s="40">
        <f>'Data 1'!$M218-'Data 1'!$L218</f>
        <v>76.440000000000055</v>
      </c>
      <c r="O218" s="37">
        <f>DAY('Data 1'!$A218)</f>
        <v>17</v>
      </c>
      <c r="P218" s="37" t="str">
        <f>TEXT('Data 1'!$A218,"mmm")</f>
        <v>Oct</v>
      </c>
      <c r="Q218" s="41">
        <f>YEAR('Data 1'!$A218)</f>
        <v>2021</v>
      </c>
    </row>
    <row r="219" spans="1:17" x14ac:dyDescent="0.3">
      <c r="A219" s="35">
        <v>44487</v>
      </c>
      <c r="B219" s="36" t="s">
        <v>26</v>
      </c>
      <c r="C219" s="37">
        <v>6</v>
      </c>
      <c r="D219" s="37" t="s">
        <v>17</v>
      </c>
      <c r="E219" s="37" t="s">
        <v>19</v>
      </c>
      <c r="F219" s="38">
        <v>0</v>
      </c>
      <c r="G219" s="42" t="str">
        <f>VLOOKUP('Data 1'!$B219,'Data 2'!$A$1:$F$46,MATCH('Data 1'!G$1,'Data 2'!$A$1:$F$1,0),0)</f>
        <v>Product25</v>
      </c>
      <c r="H219" s="42" t="str">
        <f>VLOOKUP('Data 1'!$B219,'Data 2'!$A$1:$F$46,MATCH('Data 1'!H$1,'Data 2'!$A$1:$F$1,0),0)</f>
        <v>Category03</v>
      </c>
      <c r="I219" s="42" t="str">
        <f>VLOOKUP('Data 1'!$B219,'Data 2'!$A$1:$F$46,MATCH('Data 1'!I$1,'Data 2'!$A$1:$F$1,0),0)</f>
        <v>No.</v>
      </c>
      <c r="J219" s="42">
        <f>VLOOKUP('Data 1'!$B219,'Data 2'!$A$1:$F$46,MATCH('Data 1'!J$1,'Data 2'!$A$1:$F$1,0),0)</f>
        <v>7</v>
      </c>
      <c r="K219" s="42">
        <f>VLOOKUP('Data 1'!$B219,'Data 2'!$A$1:$F$46,MATCH('Data 1'!K$1,'Data 2'!$A$1:$F$1,0),0)</f>
        <v>8.33</v>
      </c>
      <c r="L219" s="40">
        <f>SUM('Data 1'!$J219*'Data 1'!$C219)</f>
        <v>42</v>
      </c>
      <c r="M219" s="40">
        <f>'Data 1'!$C219*'Data 1'!$K219</f>
        <v>49.980000000000004</v>
      </c>
      <c r="N219" s="40">
        <f>'Data 1'!$M219-'Data 1'!$L219</f>
        <v>7.980000000000004</v>
      </c>
      <c r="O219" s="37">
        <f>DAY('Data 1'!$A219)</f>
        <v>18</v>
      </c>
      <c r="P219" s="37" t="str">
        <f>TEXT('Data 1'!$A219,"mmm")</f>
        <v>Oct</v>
      </c>
      <c r="Q219" s="41">
        <f>YEAR('Data 1'!$A219)</f>
        <v>2021</v>
      </c>
    </row>
    <row r="220" spans="1:17" x14ac:dyDescent="0.3">
      <c r="A220" s="35">
        <v>44487</v>
      </c>
      <c r="B220" s="36" t="s">
        <v>51</v>
      </c>
      <c r="C220" s="37">
        <v>13</v>
      </c>
      <c r="D220" s="37" t="s">
        <v>17</v>
      </c>
      <c r="E220" s="37" t="s">
        <v>19</v>
      </c>
      <c r="F220" s="38">
        <v>0</v>
      </c>
      <c r="G220" s="39" t="str">
        <f>VLOOKUP('Data 1'!$B220,'Data 2'!$A$1:$F$46,MATCH('Data 1'!G$1,'Data 2'!$A$1:$F$1,0),0)</f>
        <v>Product21</v>
      </c>
      <c r="H220" s="39" t="str">
        <f>VLOOKUP('Data 1'!$B220,'Data 2'!$A$1:$F$46,MATCH('Data 1'!H$1,'Data 2'!$A$1:$F$1,0),0)</f>
        <v>Category03</v>
      </c>
      <c r="I220" s="39" t="str">
        <f>VLOOKUP('Data 1'!$B220,'Data 2'!$A$1:$F$46,MATCH('Data 1'!I$1,'Data 2'!$A$1:$F$1,0),0)</f>
        <v>Ft</v>
      </c>
      <c r="J220" s="39">
        <f>VLOOKUP('Data 1'!$B220,'Data 2'!$A$1:$F$46,MATCH('Data 1'!J$1,'Data 2'!$A$1:$F$1,0),0)</f>
        <v>126</v>
      </c>
      <c r="K220" s="39">
        <f>VLOOKUP('Data 1'!$B220,'Data 2'!$A$1:$F$46,MATCH('Data 1'!K$1,'Data 2'!$A$1:$F$1,0),0)</f>
        <v>162.54</v>
      </c>
      <c r="L220" s="40">
        <f>SUM('Data 1'!$J220*'Data 1'!$C220)</f>
        <v>1638</v>
      </c>
      <c r="M220" s="40">
        <f>'Data 1'!$C220*'Data 1'!$K220</f>
        <v>2113.02</v>
      </c>
      <c r="N220" s="40">
        <f>'Data 1'!$M220-'Data 1'!$L220</f>
        <v>475.02</v>
      </c>
      <c r="O220" s="37">
        <f>DAY('Data 1'!$A220)</f>
        <v>18</v>
      </c>
      <c r="P220" s="37" t="str">
        <f>TEXT('Data 1'!$A220,"mmm")</f>
        <v>Oct</v>
      </c>
      <c r="Q220" s="41">
        <f>YEAR('Data 1'!$A220)</f>
        <v>2021</v>
      </c>
    </row>
    <row r="221" spans="1:17" x14ac:dyDescent="0.3">
      <c r="A221" s="35">
        <v>44491</v>
      </c>
      <c r="B221" s="36" t="s">
        <v>50</v>
      </c>
      <c r="C221" s="37">
        <v>7</v>
      </c>
      <c r="D221" s="37" t="s">
        <v>21</v>
      </c>
      <c r="E221" s="37" t="s">
        <v>19</v>
      </c>
      <c r="F221" s="38">
        <v>0</v>
      </c>
      <c r="G221" s="42" t="str">
        <f>VLOOKUP('Data 1'!$B221,'Data 2'!$A$1:$F$46,MATCH('Data 1'!G$1,'Data 2'!$A$1:$F$1,0),0)</f>
        <v>Product11</v>
      </c>
      <c r="H221" s="42" t="str">
        <f>VLOOKUP('Data 1'!$B221,'Data 2'!$A$1:$F$46,MATCH('Data 1'!H$1,'Data 2'!$A$1:$F$1,0),0)</f>
        <v>Category02</v>
      </c>
      <c r="I221" s="42" t="str">
        <f>VLOOKUP('Data 1'!$B221,'Data 2'!$A$1:$F$46,MATCH('Data 1'!I$1,'Data 2'!$A$1:$F$1,0),0)</f>
        <v>Lt</v>
      </c>
      <c r="J221" s="42">
        <f>VLOOKUP('Data 1'!$B221,'Data 2'!$A$1:$F$46,MATCH('Data 1'!J$1,'Data 2'!$A$1:$F$1,0),0)</f>
        <v>44</v>
      </c>
      <c r="K221" s="42">
        <f>VLOOKUP('Data 1'!$B221,'Data 2'!$A$1:$F$46,MATCH('Data 1'!K$1,'Data 2'!$A$1:$F$1,0),0)</f>
        <v>48.4</v>
      </c>
      <c r="L221" s="40">
        <f>SUM('Data 1'!$J221*'Data 1'!$C221)</f>
        <v>308</v>
      </c>
      <c r="M221" s="40">
        <f>'Data 1'!$C221*'Data 1'!$K221</f>
        <v>338.8</v>
      </c>
      <c r="N221" s="40">
        <f>'Data 1'!$M221-'Data 1'!$L221</f>
        <v>30.800000000000011</v>
      </c>
      <c r="O221" s="37">
        <f>DAY('Data 1'!$A221)</f>
        <v>22</v>
      </c>
      <c r="P221" s="37" t="str">
        <f>TEXT('Data 1'!$A221,"mmm")</f>
        <v>Oct</v>
      </c>
      <c r="Q221" s="41">
        <f>YEAR('Data 1'!$A221)</f>
        <v>2021</v>
      </c>
    </row>
    <row r="222" spans="1:17" x14ac:dyDescent="0.3">
      <c r="A222" s="35">
        <v>44491</v>
      </c>
      <c r="B222" s="36" t="s">
        <v>15</v>
      </c>
      <c r="C222" s="37">
        <v>13</v>
      </c>
      <c r="D222" s="37" t="s">
        <v>17</v>
      </c>
      <c r="E222" s="37" t="s">
        <v>19</v>
      </c>
      <c r="F222" s="38">
        <v>0</v>
      </c>
      <c r="G222" s="39" t="str">
        <f>VLOOKUP('Data 1'!$B222,'Data 2'!$A$1:$F$46,MATCH('Data 1'!G$1,'Data 2'!$A$1:$F$1,0),0)</f>
        <v>Product24</v>
      </c>
      <c r="H222" s="39" t="str">
        <f>VLOOKUP('Data 1'!$B222,'Data 2'!$A$1:$F$46,MATCH('Data 1'!H$1,'Data 2'!$A$1:$F$1,0),0)</f>
        <v>Category03</v>
      </c>
      <c r="I222" s="39" t="str">
        <f>VLOOKUP('Data 1'!$B222,'Data 2'!$A$1:$F$46,MATCH('Data 1'!I$1,'Data 2'!$A$1:$F$1,0),0)</f>
        <v>Ft</v>
      </c>
      <c r="J222" s="39">
        <f>VLOOKUP('Data 1'!$B222,'Data 2'!$A$1:$F$46,MATCH('Data 1'!J$1,'Data 2'!$A$1:$F$1,0),0)</f>
        <v>144</v>
      </c>
      <c r="K222" s="39">
        <f>VLOOKUP('Data 1'!$B222,'Data 2'!$A$1:$F$46,MATCH('Data 1'!K$1,'Data 2'!$A$1:$F$1,0),0)</f>
        <v>156.96</v>
      </c>
      <c r="L222" s="40">
        <f>SUM('Data 1'!$J222*'Data 1'!$C222)</f>
        <v>1872</v>
      </c>
      <c r="M222" s="40">
        <f>'Data 1'!$C222*'Data 1'!$K222</f>
        <v>2040.48</v>
      </c>
      <c r="N222" s="40">
        <f>'Data 1'!$M222-'Data 1'!$L222</f>
        <v>168.48000000000002</v>
      </c>
      <c r="O222" s="37">
        <f>DAY('Data 1'!$A222)</f>
        <v>22</v>
      </c>
      <c r="P222" s="37" t="str">
        <f>TEXT('Data 1'!$A222,"mmm")</f>
        <v>Oct</v>
      </c>
      <c r="Q222" s="41">
        <f>YEAR('Data 1'!$A222)</f>
        <v>2021</v>
      </c>
    </row>
    <row r="223" spans="1:17" x14ac:dyDescent="0.3">
      <c r="A223" s="35">
        <v>44491</v>
      </c>
      <c r="B223" s="36" t="s">
        <v>56</v>
      </c>
      <c r="C223" s="37">
        <v>1</v>
      </c>
      <c r="D223" s="37" t="s">
        <v>21</v>
      </c>
      <c r="E223" s="37" t="s">
        <v>19</v>
      </c>
      <c r="F223" s="38">
        <v>0</v>
      </c>
      <c r="G223" s="42" t="str">
        <f>VLOOKUP('Data 1'!$B223,'Data 2'!$A$1:$F$46,MATCH('Data 1'!G$1,'Data 2'!$A$1:$F$1,0),0)</f>
        <v>Product09</v>
      </c>
      <c r="H223" s="42" t="str">
        <f>VLOOKUP('Data 1'!$B223,'Data 2'!$A$1:$F$46,MATCH('Data 1'!H$1,'Data 2'!$A$1:$F$1,0),0)</f>
        <v>Category03</v>
      </c>
      <c r="I223" s="42" t="str">
        <f>VLOOKUP('Data 1'!$B223,'Data 2'!$A$1:$F$46,MATCH('Data 1'!I$1,'Data 2'!$A$1:$F$1,0),0)</f>
        <v>No.</v>
      </c>
      <c r="J223" s="42">
        <f>VLOOKUP('Data 1'!$B223,'Data 2'!$A$1:$F$46,MATCH('Data 1'!J$1,'Data 2'!$A$1:$F$1,0),0)</f>
        <v>6</v>
      </c>
      <c r="K223" s="42">
        <f>VLOOKUP('Data 1'!$B223,'Data 2'!$A$1:$F$46,MATCH('Data 1'!K$1,'Data 2'!$A$1:$F$1,0),0)</f>
        <v>7.8599999999999994</v>
      </c>
      <c r="L223" s="40">
        <f>SUM('Data 1'!$J223*'Data 1'!$C223)</f>
        <v>6</v>
      </c>
      <c r="M223" s="40">
        <f>'Data 1'!$C223*'Data 1'!$K223</f>
        <v>7.8599999999999994</v>
      </c>
      <c r="N223" s="40">
        <f>'Data 1'!$M223-'Data 1'!$L223</f>
        <v>1.8599999999999994</v>
      </c>
      <c r="O223" s="37">
        <f>DAY('Data 1'!$A223)</f>
        <v>22</v>
      </c>
      <c r="P223" s="37" t="str">
        <f>TEXT('Data 1'!$A223,"mmm")</f>
        <v>Oct</v>
      </c>
      <c r="Q223" s="41">
        <f>YEAR('Data 1'!$A223)</f>
        <v>2021</v>
      </c>
    </row>
    <row r="224" spans="1:17" x14ac:dyDescent="0.3">
      <c r="A224" s="35">
        <v>44493</v>
      </c>
      <c r="B224" s="36" t="s">
        <v>50</v>
      </c>
      <c r="C224" s="37">
        <v>3</v>
      </c>
      <c r="D224" s="37" t="s">
        <v>16</v>
      </c>
      <c r="E224" s="37" t="s">
        <v>19</v>
      </c>
      <c r="F224" s="38">
        <v>0</v>
      </c>
      <c r="G224" s="39" t="str">
        <f>VLOOKUP('Data 1'!$B224,'Data 2'!$A$1:$F$46,MATCH('Data 1'!G$1,'Data 2'!$A$1:$F$1,0),0)</f>
        <v>Product11</v>
      </c>
      <c r="H224" s="39" t="str">
        <f>VLOOKUP('Data 1'!$B224,'Data 2'!$A$1:$F$46,MATCH('Data 1'!H$1,'Data 2'!$A$1:$F$1,0),0)</f>
        <v>Category02</v>
      </c>
      <c r="I224" s="39" t="str">
        <f>VLOOKUP('Data 1'!$B224,'Data 2'!$A$1:$F$46,MATCH('Data 1'!I$1,'Data 2'!$A$1:$F$1,0),0)</f>
        <v>Lt</v>
      </c>
      <c r="J224" s="39">
        <f>VLOOKUP('Data 1'!$B224,'Data 2'!$A$1:$F$46,MATCH('Data 1'!J$1,'Data 2'!$A$1:$F$1,0),0)</f>
        <v>44</v>
      </c>
      <c r="K224" s="39">
        <f>VLOOKUP('Data 1'!$B224,'Data 2'!$A$1:$F$46,MATCH('Data 1'!K$1,'Data 2'!$A$1:$F$1,0),0)</f>
        <v>48.4</v>
      </c>
      <c r="L224" s="40">
        <f>SUM('Data 1'!$J224*'Data 1'!$C224)</f>
        <v>132</v>
      </c>
      <c r="M224" s="40">
        <f>'Data 1'!$C224*'Data 1'!$K224</f>
        <v>145.19999999999999</v>
      </c>
      <c r="N224" s="40">
        <f>'Data 1'!$M224-'Data 1'!$L224</f>
        <v>13.199999999999989</v>
      </c>
      <c r="O224" s="37">
        <f>DAY('Data 1'!$A224)</f>
        <v>24</v>
      </c>
      <c r="P224" s="37" t="str">
        <f>TEXT('Data 1'!$A224,"mmm")</f>
        <v>Oct</v>
      </c>
      <c r="Q224" s="41">
        <f>YEAR('Data 1'!$A224)</f>
        <v>2021</v>
      </c>
    </row>
    <row r="225" spans="1:17" x14ac:dyDescent="0.3">
      <c r="A225" s="35">
        <v>44494</v>
      </c>
      <c r="B225" s="36" t="s">
        <v>30</v>
      </c>
      <c r="C225" s="37">
        <v>9</v>
      </c>
      <c r="D225" s="37" t="s">
        <v>17</v>
      </c>
      <c r="E225" s="37" t="s">
        <v>19</v>
      </c>
      <c r="F225" s="38">
        <v>0</v>
      </c>
      <c r="G225" s="42" t="str">
        <f>VLOOKUP('Data 1'!$B225,'Data 2'!$A$1:$F$46,MATCH('Data 1'!G$1,'Data 2'!$A$1:$F$1,0),0)</f>
        <v>Product44</v>
      </c>
      <c r="H225" s="42" t="str">
        <f>VLOOKUP('Data 1'!$B225,'Data 2'!$A$1:$F$46,MATCH('Data 1'!H$1,'Data 2'!$A$1:$F$1,0),0)</f>
        <v>Category05</v>
      </c>
      <c r="I225" s="42" t="str">
        <f>VLOOKUP('Data 1'!$B225,'Data 2'!$A$1:$F$46,MATCH('Data 1'!I$1,'Data 2'!$A$1:$F$1,0),0)</f>
        <v>Kg</v>
      </c>
      <c r="J225" s="42">
        <f>VLOOKUP('Data 1'!$B225,'Data 2'!$A$1:$F$46,MATCH('Data 1'!J$1,'Data 2'!$A$1:$F$1,0),0)</f>
        <v>76</v>
      </c>
      <c r="K225" s="42">
        <f>VLOOKUP('Data 1'!$B225,'Data 2'!$A$1:$F$46,MATCH('Data 1'!K$1,'Data 2'!$A$1:$F$1,0),0)</f>
        <v>82.08</v>
      </c>
      <c r="L225" s="40">
        <f>SUM('Data 1'!$J225*'Data 1'!$C225)</f>
        <v>684</v>
      </c>
      <c r="M225" s="40">
        <f>'Data 1'!$C225*'Data 1'!$K225</f>
        <v>738.72</v>
      </c>
      <c r="N225" s="40">
        <f>'Data 1'!$M225-'Data 1'!$L225</f>
        <v>54.720000000000027</v>
      </c>
      <c r="O225" s="37">
        <f>DAY('Data 1'!$A225)</f>
        <v>25</v>
      </c>
      <c r="P225" s="37" t="str">
        <f>TEXT('Data 1'!$A225,"mmm")</f>
        <v>Oct</v>
      </c>
      <c r="Q225" s="41">
        <f>YEAR('Data 1'!$A225)</f>
        <v>2021</v>
      </c>
    </row>
    <row r="226" spans="1:17" x14ac:dyDescent="0.3">
      <c r="A226" s="35">
        <v>44495</v>
      </c>
      <c r="B226" s="36" t="s">
        <v>22</v>
      </c>
      <c r="C226" s="37">
        <v>6</v>
      </c>
      <c r="D226" s="37" t="s">
        <v>16</v>
      </c>
      <c r="E226" s="37" t="s">
        <v>19</v>
      </c>
      <c r="F226" s="38">
        <v>0</v>
      </c>
      <c r="G226" s="39" t="str">
        <f>VLOOKUP('Data 1'!$B226,'Data 2'!$A$1:$F$46,MATCH('Data 1'!G$1,'Data 2'!$A$1:$F$1,0),0)</f>
        <v>Product04</v>
      </c>
      <c r="H226" s="39" t="str">
        <f>VLOOKUP('Data 1'!$B226,'Data 2'!$A$1:$F$46,MATCH('Data 1'!H$1,'Data 2'!$A$1:$F$1,0),0)</f>
        <v>Category01</v>
      </c>
      <c r="I226" s="39" t="str">
        <f>VLOOKUP('Data 1'!$B226,'Data 2'!$A$1:$F$46,MATCH('Data 1'!I$1,'Data 2'!$A$1:$F$1,0),0)</f>
        <v>Lt</v>
      </c>
      <c r="J226" s="39">
        <f>VLOOKUP('Data 1'!$B226,'Data 2'!$A$1:$F$46,MATCH('Data 1'!J$1,'Data 2'!$A$1:$F$1,0),0)</f>
        <v>44</v>
      </c>
      <c r="K226" s="39">
        <f>VLOOKUP('Data 1'!$B226,'Data 2'!$A$1:$F$46,MATCH('Data 1'!K$1,'Data 2'!$A$1:$F$1,0),0)</f>
        <v>48.84</v>
      </c>
      <c r="L226" s="40">
        <f>SUM('Data 1'!$J226*'Data 1'!$C226)</f>
        <v>264</v>
      </c>
      <c r="M226" s="40">
        <f>'Data 1'!$C226*'Data 1'!$K226</f>
        <v>293.04000000000002</v>
      </c>
      <c r="N226" s="40">
        <f>'Data 1'!$M226-'Data 1'!$L226</f>
        <v>29.04000000000002</v>
      </c>
      <c r="O226" s="37">
        <f>DAY('Data 1'!$A226)</f>
        <v>26</v>
      </c>
      <c r="P226" s="37" t="str">
        <f>TEXT('Data 1'!$A226,"mmm")</f>
        <v>Oct</v>
      </c>
      <c r="Q226" s="41">
        <f>YEAR('Data 1'!$A226)</f>
        <v>2021</v>
      </c>
    </row>
    <row r="227" spans="1:17" x14ac:dyDescent="0.3">
      <c r="A227" s="35">
        <v>44497</v>
      </c>
      <c r="B227" s="36" t="s">
        <v>44</v>
      </c>
      <c r="C227" s="37">
        <v>1</v>
      </c>
      <c r="D227" s="37" t="s">
        <v>21</v>
      </c>
      <c r="E227" s="37" t="s">
        <v>19</v>
      </c>
      <c r="F227" s="38">
        <v>0</v>
      </c>
      <c r="G227" s="42" t="str">
        <f>VLOOKUP('Data 1'!$B227,'Data 2'!$A$1:$F$46,MATCH('Data 1'!G$1,'Data 2'!$A$1:$F$1,0),0)</f>
        <v>Product08</v>
      </c>
      <c r="H227" s="42" t="str">
        <f>VLOOKUP('Data 1'!$B227,'Data 2'!$A$1:$F$46,MATCH('Data 1'!H$1,'Data 2'!$A$1:$F$1,0),0)</f>
        <v>Category01</v>
      </c>
      <c r="I227" s="42" t="str">
        <f>VLOOKUP('Data 1'!$B227,'Data 2'!$A$1:$F$46,MATCH('Data 1'!I$1,'Data 2'!$A$1:$F$1,0),0)</f>
        <v>Kg</v>
      </c>
      <c r="J227" s="42">
        <f>VLOOKUP('Data 1'!$B227,'Data 2'!$A$1:$F$46,MATCH('Data 1'!J$1,'Data 2'!$A$1:$F$1,0),0)</f>
        <v>83</v>
      </c>
      <c r="K227" s="42">
        <f>VLOOKUP('Data 1'!$B227,'Data 2'!$A$1:$F$46,MATCH('Data 1'!K$1,'Data 2'!$A$1:$F$1,0),0)</f>
        <v>94.62</v>
      </c>
      <c r="L227" s="40">
        <f>SUM('Data 1'!$J227*'Data 1'!$C227)</f>
        <v>83</v>
      </c>
      <c r="M227" s="40">
        <f>'Data 1'!$C227*'Data 1'!$K227</f>
        <v>94.62</v>
      </c>
      <c r="N227" s="40">
        <f>'Data 1'!$M227-'Data 1'!$L227</f>
        <v>11.620000000000005</v>
      </c>
      <c r="O227" s="37">
        <f>DAY('Data 1'!$A227)</f>
        <v>28</v>
      </c>
      <c r="P227" s="37" t="str">
        <f>TEXT('Data 1'!$A227,"mmm")</f>
        <v>Oct</v>
      </c>
      <c r="Q227" s="41">
        <f>YEAR('Data 1'!$A227)</f>
        <v>2021</v>
      </c>
    </row>
    <row r="228" spans="1:17" x14ac:dyDescent="0.3">
      <c r="A228" s="35">
        <v>44498</v>
      </c>
      <c r="B228" s="36" t="s">
        <v>18</v>
      </c>
      <c r="C228" s="37">
        <v>14</v>
      </c>
      <c r="D228" s="37" t="s">
        <v>17</v>
      </c>
      <c r="E228" s="37" t="s">
        <v>17</v>
      </c>
      <c r="F228" s="38">
        <v>0</v>
      </c>
      <c r="G228" s="39" t="str">
        <f>VLOOKUP('Data 1'!$B228,'Data 2'!$A$1:$F$46,MATCH('Data 1'!G$1,'Data 2'!$A$1:$F$1,0),0)</f>
        <v>Product38</v>
      </c>
      <c r="H228" s="39" t="str">
        <f>VLOOKUP('Data 1'!$B228,'Data 2'!$A$1:$F$46,MATCH('Data 1'!H$1,'Data 2'!$A$1:$F$1,0),0)</f>
        <v>Category05</v>
      </c>
      <c r="I228" s="39" t="str">
        <f>VLOOKUP('Data 1'!$B228,'Data 2'!$A$1:$F$46,MATCH('Data 1'!I$1,'Data 2'!$A$1:$F$1,0),0)</f>
        <v>Kg</v>
      </c>
      <c r="J228" s="39">
        <f>VLOOKUP('Data 1'!$B228,'Data 2'!$A$1:$F$46,MATCH('Data 1'!J$1,'Data 2'!$A$1:$F$1,0),0)</f>
        <v>72</v>
      </c>
      <c r="K228" s="39">
        <f>VLOOKUP('Data 1'!$B228,'Data 2'!$A$1:$F$46,MATCH('Data 1'!K$1,'Data 2'!$A$1:$F$1,0),0)</f>
        <v>79.92</v>
      </c>
      <c r="L228" s="40">
        <f>SUM('Data 1'!$J228*'Data 1'!$C228)</f>
        <v>1008</v>
      </c>
      <c r="M228" s="40">
        <f>'Data 1'!$C228*'Data 1'!$K228</f>
        <v>1118.8800000000001</v>
      </c>
      <c r="N228" s="40">
        <f>'Data 1'!$M228-'Data 1'!$L228</f>
        <v>110.88000000000011</v>
      </c>
      <c r="O228" s="37">
        <f>DAY('Data 1'!$A228)</f>
        <v>29</v>
      </c>
      <c r="P228" s="37" t="str">
        <f>TEXT('Data 1'!$A228,"mmm")</f>
        <v>Oct</v>
      </c>
      <c r="Q228" s="41">
        <f>YEAR('Data 1'!$A228)</f>
        <v>2021</v>
      </c>
    </row>
    <row r="229" spans="1:17" x14ac:dyDescent="0.3">
      <c r="A229" s="35">
        <v>44500</v>
      </c>
      <c r="B229" s="36" t="s">
        <v>51</v>
      </c>
      <c r="C229" s="37">
        <v>6</v>
      </c>
      <c r="D229" s="37" t="s">
        <v>17</v>
      </c>
      <c r="E229" s="37" t="s">
        <v>19</v>
      </c>
      <c r="F229" s="38">
        <v>0</v>
      </c>
      <c r="G229" s="42" t="str">
        <f>VLOOKUP('Data 1'!$B229,'Data 2'!$A$1:$F$46,MATCH('Data 1'!G$1,'Data 2'!$A$1:$F$1,0),0)</f>
        <v>Product21</v>
      </c>
      <c r="H229" s="42" t="str">
        <f>VLOOKUP('Data 1'!$B229,'Data 2'!$A$1:$F$46,MATCH('Data 1'!H$1,'Data 2'!$A$1:$F$1,0),0)</f>
        <v>Category03</v>
      </c>
      <c r="I229" s="42" t="str">
        <f>VLOOKUP('Data 1'!$B229,'Data 2'!$A$1:$F$46,MATCH('Data 1'!I$1,'Data 2'!$A$1:$F$1,0),0)</f>
        <v>Ft</v>
      </c>
      <c r="J229" s="42">
        <f>VLOOKUP('Data 1'!$B229,'Data 2'!$A$1:$F$46,MATCH('Data 1'!J$1,'Data 2'!$A$1:$F$1,0),0)</f>
        <v>126</v>
      </c>
      <c r="K229" s="42">
        <f>VLOOKUP('Data 1'!$B229,'Data 2'!$A$1:$F$46,MATCH('Data 1'!K$1,'Data 2'!$A$1:$F$1,0),0)</f>
        <v>162.54</v>
      </c>
      <c r="L229" s="40">
        <f>SUM('Data 1'!$J229*'Data 1'!$C229)</f>
        <v>756</v>
      </c>
      <c r="M229" s="40">
        <f>'Data 1'!$C229*'Data 1'!$K229</f>
        <v>975.24</v>
      </c>
      <c r="N229" s="40">
        <f>'Data 1'!$M229-'Data 1'!$L229</f>
        <v>219.24</v>
      </c>
      <c r="O229" s="37">
        <f>DAY('Data 1'!$A229)</f>
        <v>31</v>
      </c>
      <c r="P229" s="37" t="str">
        <f>TEXT('Data 1'!$A229,"mmm")</f>
        <v>Oct</v>
      </c>
      <c r="Q229" s="41">
        <f>YEAR('Data 1'!$A229)</f>
        <v>2021</v>
      </c>
    </row>
    <row r="230" spans="1:17" x14ac:dyDescent="0.3">
      <c r="A230" s="35">
        <v>44503</v>
      </c>
      <c r="B230" s="36" t="s">
        <v>20</v>
      </c>
      <c r="C230" s="37">
        <v>12</v>
      </c>
      <c r="D230" s="37" t="s">
        <v>21</v>
      </c>
      <c r="E230" s="37" t="s">
        <v>19</v>
      </c>
      <c r="F230" s="38">
        <v>0</v>
      </c>
      <c r="G230" s="39" t="str">
        <f>VLOOKUP('Data 1'!$B230,'Data 2'!$A$1:$F$46,MATCH('Data 1'!G$1,'Data 2'!$A$1:$F$1,0),0)</f>
        <v>Product13</v>
      </c>
      <c r="H230" s="39" t="str">
        <f>VLOOKUP('Data 1'!$B230,'Data 2'!$A$1:$F$46,MATCH('Data 1'!H$1,'Data 2'!$A$1:$F$1,0),0)</f>
        <v>Category02</v>
      </c>
      <c r="I230" s="39" t="str">
        <f>VLOOKUP('Data 1'!$B230,'Data 2'!$A$1:$F$46,MATCH('Data 1'!I$1,'Data 2'!$A$1:$F$1,0),0)</f>
        <v>Kg</v>
      </c>
      <c r="J230" s="39">
        <f>VLOOKUP('Data 1'!$B230,'Data 2'!$A$1:$F$46,MATCH('Data 1'!J$1,'Data 2'!$A$1:$F$1,0),0)</f>
        <v>112</v>
      </c>
      <c r="K230" s="39">
        <f>VLOOKUP('Data 1'!$B230,'Data 2'!$A$1:$F$46,MATCH('Data 1'!K$1,'Data 2'!$A$1:$F$1,0),0)</f>
        <v>122.08</v>
      </c>
      <c r="L230" s="40">
        <f>SUM('Data 1'!$J230*'Data 1'!$C230)</f>
        <v>1344</v>
      </c>
      <c r="M230" s="40">
        <f>'Data 1'!$C230*'Data 1'!$K230</f>
        <v>1464.96</v>
      </c>
      <c r="N230" s="40">
        <f>'Data 1'!$M230-'Data 1'!$L230</f>
        <v>120.96000000000004</v>
      </c>
      <c r="O230" s="37">
        <f>DAY('Data 1'!$A230)</f>
        <v>3</v>
      </c>
      <c r="P230" s="37" t="str">
        <f>TEXT('Data 1'!$A230,"mmm")</f>
        <v>Nov</v>
      </c>
      <c r="Q230" s="41">
        <f>YEAR('Data 1'!$A230)</f>
        <v>2021</v>
      </c>
    </row>
    <row r="231" spans="1:17" x14ac:dyDescent="0.3">
      <c r="A231" s="35">
        <v>44506</v>
      </c>
      <c r="B231" s="36" t="s">
        <v>62</v>
      </c>
      <c r="C231" s="37">
        <v>10</v>
      </c>
      <c r="D231" s="37" t="s">
        <v>21</v>
      </c>
      <c r="E231" s="37" t="s">
        <v>17</v>
      </c>
      <c r="F231" s="38">
        <v>0</v>
      </c>
      <c r="G231" s="42" t="str">
        <f>VLOOKUP('Data 1'!$B231,'Data 2'!$A$1:$F$46,MATCH('Data 1'!G$1,'Data 2'!$A$1:$F$1,0),0)</f>
        <v>Product36</v>
      </c>
      <c r="H231" s="42" t="str">
        <f>VLOOKUP('Data 1'!$B231,'Data 2'!$A$1:$F$46,MATCH('Data 1'!H$1,'Data 2'!$A$1:$F$1,0),0)</f>
        <v>Category04</v>
      </c>
      <c r="I231" s="42" t="str">
        <f>VLOOKUP('Data 1'!$B231,'Data 2'!$A$1:$F$46,MATCH('Data 1'!I$1,'Data 2'!$A$1:$F$1,0),0)</f>
        <v>Kg</v>
      </c>
      <c r="J231" s="42">
        <f>VLOOKUP('Data 1'!$B231,'Data 2'!$A$1:$F$46,MATCH('Data 1'!J$1,'Data 2'!$A$1:$F$1,0),0)</f>
        <v>90</v>
      </c>
      <c r="K231" s="42">
        <f>VLOOKUP('Data 1'!$B231,'Data 2'!$A$1:$F$46,MATCH('Data 1'!K$1,'Data 2'!$A$1:$F$1,0),0)</f>
        <v>96.3</v>
      </c>
      <c r="L231" s="40">
        <f>SUM('Data 1'!$J231*'Data 1'!$C231)</f>
        <v>900</v>
      </c>
      <c r="M231" s="40">
        <f>'Data 1'!$C231*'Data 1'!$K231</f>
        <v>963</v>
      </c>
      <c r="N231" s="40">
        <f>'Data 1'!$M231-'Data 1'!$L231</f>
        <v>63</v>
      </c>
      <c r="O231" s="37">
        <f>DAY('Data 1'!$A231)</f>
        <v>6</v>
      </c>
      <c r="P231" s="37" t="str">
        <f>TEXT('Data 1'!$A231,"mmm")</f>
        <v>Nov</v>
      </c>
      <c r="Q231" s="41">
        <f>YEAR('Data 1'!$A231)</f>
        <v>2021</v>
      </c>
    </row>
    <row r="232" spans="1:17" x14ac:dyDescent="0.3">
      <c r="A232" s="35">
        <v>44508</v>
      </c>
      <c r="B232" s="36" t="s">
        <v>55</v>
      </c>
      <c r="C232" s="37">
        <v>15</v>
      </c>
      <c r="D232" s="37" t="s">
        <v>21</v>
      </c>
      <c r="E232" s="37" t="s">
        <v>17</v>
      </c>
      <c r="F232" s="38">
        <v>0</v>
      </c>
      <c r="G232" s="39" t="str">
        <f>VLOOKUP('Data 1'!$B232,'Data 2'!$A$1:$F$46,MATCH('Data 1'!G$1,'Data 2'!$A$1:$F$1,0),0)</f>
        <v>Product07</v>
      </c>
      <c r="H232" s="39" t="str">
        <f>VLOOKUP('Data 1'!$B232,'Data 2'!$A$1:$F$46,MATCH('Data 1'!H$1,'Data 2'!$A$1:$F$1,0),0)</f>
        <v>Category01</v>
      </c>
      <c r="I232" s="39" t="str">
        <f>VLOOKUP('Data 1'!$B232,'Data 2'!$A$1:$F$46,MATCH('Data 1'!I$1,'Data 2'!$A$1:$F$1,0),0)</f>
        <v>Lt</v>
      </c>
      <c r="J232" s="39">
        <f>VLOOKUP('Data 1'!$B232,'Data 2'!$A$1:$F$46,MATCH('Data 1'!J$1,'Data 2'!$A$1:$F$1,0),0)</f>
        <v>43</v>
      </c>
      <c r="K232" s="39">
        <f>VLOOKUP('Data 1'!$B232,'Data 2'!$A$1:$F$46,MATCH('Data 1'!K$1,'Data 2'!$A$1:$F$1,0),0)</f>
        <v>47.730000000000004</v>
      </c>
      <c r="L232" s="40">
        <f>SUM('Data 1'!$J232*'Data 1'!$C232)</f>
        <v>645</v>
      </c>
      <c r="M232" s="40">
        <f>'Data 1'!$C232*'Data 1'!$K232</f>
        <v>715.95</v>
      </c>
      <c r="N232" s="40">
        <f>'Data 1'!$M232-'Data 1'!$L232</f>
        <v>70.950000000000045</v>
      </c>
      <c r="O232" s="37">
        <f>DAY('Data 1'!$A232)</f>
        <v>8</v>
      </c>
      <c r="P232" s="37" t="str">
        <f>TEXT('Data 1'!$A232,"mmm")</f>
        <v>Nov</v>
      </c>
      <c r="Q232" s="41">
        <f>YEAR('Data 1'!$A232)</f>
        <v>2021</v>
      </c>
    </row>
    <row r="233" spans="1:17" x14ac:dyDescent="0.3">
      <c r="A233" s="35">
        <v>44510</v>
      </c>
      <c r="B233" s="36" t="s">
        <v>29</v>
      </c>
      <c r="C233" s="37">
        <v>6</v>
      </c>
      <c r="D233" s="37" t="s">
        <v>17</v>
      </c>
      <c r="E233" s="37" t="s">
        <v>19</v>
      </c>
      <c r="F233" s="38">
        <v>0</v>
      </c>
      <c r="G233" s="42" t="str">
        <f>VLOOKUP('Data 1'!$B233,'Data 2'!$A$1:$F$46,MATCH('Data 1'!G$1,'Data 2'!$A$1:$F$1,0),0)</f>
        <v>Product42</v>
      </c>
      <c r="H233" s="42" t="str">
        <f>VLOOKUP('Data 1'!$B233,'Data 2'!$A$1:$F$46,MATCH('Data 1'!H$1,'Data 2'!$A$1:$F$1,0),0)</f>
        <v>Category05</v>
      </c>
      <c r="I233" s="42" t="str">
        <f>VLOOKUP('Data 1'!$B233,'Data 2'!$A$1:$F$46,MATCH('Data 1'!I$1,'Data 2'!$A$1:$F$1,0),0)</f>
        <v>Ft</v>
      </c>
      <c r="J233" s="42">
        <f>VLOOKUP('Data 1'!$B233,'Data 2'!$A$1:$F$46,MATCH('Data 1'!J$1,'Data 2'!$A$1:$F$1,0),0)</f>
        <v>120</v>
      </c>
      <c r="K233" s="42">
        <f>VLOOKUP('Data 1'!$B233,'Data 2'!$A$1:$F$46,MATCH('Data 1'!K$1,'Data 2'!$A$1:$F$1,0),0)</f>
        <v>162</v>
      </c>
      <c r="L233" s="40">
        <f>SUM('Data 1'!$J233*'Data 1'!$C233)</f>
        <v>720</v>
      </c>
      <c r="M233" s="40">
        <f>'Data 1'!$C233*'Data 1'!$K233</f>
        <v>972</v>
      </c>
      <c r="N233" s="40">
        <f>'Data 1'!$M233-'Data 1'!$L233</f>
        <v>252</v>
      </c>
      <c r="O233" s="37">
        <f>DAY('Data 1'!$A233)</f>
        <v>10</v>
      </c>
      <c r="P233" s="37" t="str">
        <f>TEXT('Data 1'!$A233,"mmm")</f>
        <v>Nov</v>
      </c>
      <c r="Q233" s="41">
        <f>YEAR('Data 1'!$A233)</f>
        <v>2021</v>
      </c>
    </row>
    <row r="234" spans="1:17" x14ac:dyDescent="0.3">
      <c r="A234" s="35">
        <v>44511</v>
      </c>
      <c r="B234" s="36" t="s">
        <v>36</v>
      </c>
      <c r="C234" s="37">
        <v>12</v>
      </c>
      <c r="D234" s="37" t="s">
        <v>16</v>
      </c>
      <c r="E234" s="37" t="s">
        <v>17</v>
      </c>
      <c r="F234" s="38">
        <v>0</v>
      </c>
      <c r="G234" s="39" t="str">
        <f>VLOOKUP('Data 1'!$B234,'Data 2'!$A$1:$F$46,MATCH('Data 1'!G$1,'Data 2'!$A$1:$F$1,0),0)</f>
        <v>Product40</v>
      </c>
      <c r="H234" s="39" t="str">
        <f>VLOOKUP('Data 1'!$B234,'Data 2'!$A$1:$F$46,MATCH('Data 1'!H$1,'Data 2'!$A$1:$F$1,0),0)</f>
        <v>Category05</v>
      </c>
      <c r="I234" s="39" t="str">
        <f>VLOOKUP('Data 1'!$B234,'Data 2'!$A$1:$F$46,MATCH('Data 1'!I$1,'Data 2'!$A$1:$F$1,0),0)</f>
        <v>Kg</v>
      </c>
      <c r="J234" s="39">
        <f>VLOOKUP('Data 1'!$B234,'Data 2'!$A$1:$F$46,MATCH('Data 1'!J$1,'Data 2'!$A$1:$F$1,0),0)</f>
        <v>90</v>
      </c>
      <c r="K234" s="39">
        <f>VLOOKUP('Data 1'!$B234,'Data 2'!$A$1:$F$46,MATCH('Data 1'!K$1,'Data 2'!$A$1:$F$1,0),0)</f>
        <v>115.2</v>
      </c>
      <c r="L234" s="40">
        <f>SUM('Data 1'!$J234*'Data 1'!$C234)</f>
        <v>1080</v>
      </c>
      <c r="M234" s="40">
        <f>'Data 1'!$C234*'Data 1'!$K234</f>
        <v>1382.4</v>
      </c>
      <c r="N234" s="40">
        <f>'Data 1'!$M234-'Data 1'!$L234</f>
        <v>302.40000000000009</v>
      </c>
      <c r="O234" s="37">
        <f>DAY('Data 1'!$A234)</f>
        <v>11</v>
      </c>
      <c r="P234" s="37" t="str">
        <f>TEXT('Data 1'!$A234,"mmm")</f>
        <v>Nov</v>
      </c>
      <c r="Q234" s="41">
        <f>YEAR('Data 1'!$A234)</f>
        <v>2021</v>
      </c>
    </row>
    <row r="235" spans="1:17" x14ac:dyDescent="0.3">
      <c r="A235" s="35">
        <v>44512</v>
      </c>
      <c r="B235" s="36" t="s">
        <v>39</v>
      </c>
      <c r="C235" s="37">
        <v>3</v>
      </c>
      <c r="D235" s="37" t="s">
        <v>17</v>
      </c>
      <c r="E235" s="37" t="s">
        <v>19</v>
      </c>
      <c r="F235" s="38">
        <v>0</v>
      </c>
      <c r="G235" s="42" t="str">
        <f>VLOOKUP('Data 1'!$B235,'Data 2'!$A$1:$F$46,MATCH('Data 1'!G$1,'Data 2'!$A$1:$F$1,0),0)</f>
        <v>Product10</v>
      </c>
      <c r="H235" s="42" t="str">
        <f>VLOOKUP('Data 1'!$B235,'Data 2'!$A$1:$F$46,MATCH('Data 1'!H$1,'Data 2'!$A$1:$F$1,0),0)</f>
        <v>Category02</v>
      </c>
      <c r="I235" s="42" t="str">
        <f>VLOOKUP('Data 1'!$B235,'Data 2'!$A$1:$F$46,MATCH('Data 1'!I$1,'Data 2'!$A$1:$F$1,0),0)</f>
        <v>Ft</v>
      </c>
      <c r="J235" s="42">
        <f>VLOOKUP('Data 1'!$B235,'Data 2'!$A$1:$F$46,MATCH('Data 1'!J$1,'Data 2'!$A$1:$F$1,0),0)</f>
        <v>148</v>
      </c>
      <c r="K235" s="42">
        <f>VLOOKUP('Data 1'!$B235,'Data 2'!$A$1:$F$46,MATCH('Data 1'!K$1,'Data 2'!$A$1:$F$1,0),0)</f>
        <v>164.28</v>
      </c>
      <c r="L235" s="40">
        <f>SUM('Data 1'!$J235*'Data 1'!$C235)</f>
        <v>444</v>
      </c>
      <c r="M235" s="40">
        <f>'Data 1'!$C235*'Data 1'!$K235</f>
        <v>492.84000000000003</v>
      </c>
      <c r="N235" s="40">
        <f>'Data 1'!$M235-'Data 1'!$L235</f>
        <v>48.840000000000032</v>
      </c>
      <c r="O235" s="37">
        <f>DAY('Data 1'!$A235)</f>
        <v>12</v>
      </c>
      <c r="P235" s="37" t="str">
        <f>TEXT('Data 1'!$A235,"mmm")</f>
        <v>Nov</v>
      </c>
      <c r="Q235" s="41">
        <f>YEAR('Data 1'!$A235)</f>
        <v>2021</v>
      </c>
    </row>
    <row r="236" spans="1:17" x14ac:dyDescent="0.3">
      <c r="A236" s="35">
        <v>44520</v>
      </c>
      <c r="B236" s="36" t="s">
        <v>32</v>
      </c>
      <c r="C236" s="37">
        <v>14</v>
      </c>
      <c r="D236" s="37" t="s">
        <v>17</v>
      </c>
      <c r="E236" s="37" t="s">
        <v>17</v>
      </c>
      <c r="F236" s="38">
        <v>0</v>
      </c>
      <c r="G236" s="39" t="str">
        <f>VLOOKUP('Data 1'!$B236,'Data 2'!$A$1:$F$46,MATCH('Data 1'!G$1,'Data 2'!$A$1:$F$1,0),0)</f>
        <v>Product34</v>
      </c>
      <c r="H236" s="39" t="str">
        <f>VLOOKUP('Data 1'!$B236,'Data 2'!$A$1:$F$46,MATCH('Data 1'!H$1,'Data 2'!$A$1:$F$1,0),0)</f>
        <v>Category04</v>
      </c>
      <c r="I236" s="39" t="str">
        <f>VLOOKUP('Data 1'!$B236,'Data 2'!$A$1:$F$46,MATCH('Data 1'!I$1,'Data 2'!$A$1:$F$1,0),0)</f>
        <v>Lt</v>
      </c>
      <c r="J236" s="39">
        <f>VLOOKUP('Data 1'!$B236,'Data 2'!$A$1:$F$46,MATCH('Data 1'!J$1,'Data 2'!$A$1:$F$1,0),0)</f>
        <v>55</v>
      </c>
      <c r="K236" s="39">
        <f>VLOOKUP('Data 1'!$B236,'Data 2'!$A$1:$F$46,MATCH('Data 1'!K$1,'Data 2'!$A$1:$F$1,0),0)</f>
        <v>58.3</v>
      </c>
      <c r="L236" s="40">
        <f>SUM('Data 1'!$J236*'Data 1'!$C236)</f>
        <v>770</v>
      </c>
      <c r="M236" s="40">
        <f>'Data 1'!$C236*'Data 1'!$K236</f>
        <v>816.19999999999993</v>
      </c>
      <c r="N236" s="40">
        <f>'Data 1'!$M236-'Data 1'!$L236</f>
        <v>46.199999999999932</v>
      </c>
      <c r="O236" s="37">
        <f>DAY('Data 1'!$A236)</f>
        <v>20</v>
      </c>
      <c r="P236" s="37" t="str">
        <f>TEXT('Data 1'!$A236,"mmm")</f>
        <v>Nov</v>
      </c>
      <c r="Q236" s="41">
        <f>YEAR('Data 1'!$A236)</f>
        <v>2021</v>
      </c>
    </row>
    <row r="237" spans="1:17" x14ac:dyDescent="0.3">
      <c r="A237" s="35">
        <v>44520</v>
      </c>
      <c r="B237" s="36" t="s">
        <v>44</v>
      </c>
      <c r="C237" s="37">
        <v>11</v>
      </c>
      <c r="D237" s="37" t="s">
        <v>17</v>
      </c>
      <c r="E237" s="37" t="s">
        <v>19</v>
      </c>
      <c r="F237" s="38">
        <v>0</v>
      </c>
      <c r="G237" s="42" t="str">
        <f>VLOOKUP('Data 1'!$B237,'Data 2'!$A$1:$F$46,MATCH('Data 1'!G$1,'Data 2'!$A$1:$F$1,0),0)</f>
        <v>Product08</v>
      </c>
      <c r="H237" s="42" t="str">
        <f>VLOOKUP('Data 1'!$B237,'Data 2'!$A$1:$F$46,MATCH('Data 1'!H$1,'Data 2'!$A$1:$F$1,0),0)</f>
        <v>Category01</v>
      </c>
      <c r="I237" s="42" t="str">
        <f>VLOOKUP('Data 1'!$B237,'Data 2'!$A$1:$F$46,MATCH('Data 1'!I$1,'Data 2'!$A$1:$F$1,0),0)</f>
        <v>Kg</v>
      </c>
      <c r="J237" s="42">
        <f>VLOOKUP('Data 1'!$B237,'Data 2'!$A$1:$F$46,MATCH('Data 1'!J$1,'Data 2'!$A$1:$F$1,0),0)</f>
        <v>83</v>
      </c>
      <c r="K237" s="42">
        <f>VLOOKUP('Data 1'!$B237,'Data 2'!$A$1:$F$46,MATCH('Data 1'!K$1,'Data 2'!$A$1:$F$1,0),0)</f>
        <v>94.62</v>
      </c>
      <c r="L237" s="40">
        <f>SUM('Data 1'!$J237*'Data 1'!$C237)</f>
        <v>913</v>
      </c>
      <c r="M237" s="40">
        <f>'Data 1'!$C237*'Data 1'!$K237</f>
        <v>1040.8200000000002</v>
      </c>
      <c r="N237" s="40">
        <f>'Data 1'!$M237-'Data 1'!$L237</f>
        <v>127.82000000000016</v>
      </c>
      <c r="O237" s="37">
        <f>DAY('Data 1'!$A237)</f>
        <v>20</v>
      </c>
      <c r="P237" s="37" t="str">
        <f>TEXT('Data 1'!$A237,"mmm")</f>
        <v>Nov</v>
      </c>
      <c r="Q237" s="41">
        <f>YEAR('Data 1'!$A237)</f>
        <v>2021</v>
      </c>
    </row>
    <row r="238" spans="1:17" x14ac:dyDescent="0.3">
      <c r="A238" s="35">
        <v>44521</v>
      </c>
      <c r="B238" s="36" t="s">
        <v>28</v>
      </c>
      <c r="C238" s="37">
        <v>1</v>
      </c>
      <c r="D238" s="37" t="s">
        <v>16</v>
      </c>
      <c r="E238" s="37" t="s">
        <v>17</v>
      </c>
      <c r="F238" s="38">
        <v>0</v>
      </c>
      <c r="G238" s="39" t="str">
        <f>VLOOKUP('Data 1'!$B238,'Data 2'!$A$1:$F$46,MATCH('Data 1'!G$1,'Data 2'!$A$1:$F$1,0),0)</f>
        <v>Product14</v>
      </c>
      <c r="H238" s="39" t="str">
        <f>VLOOKUP('Data 1'!$B238,'Data 2'!$A$1:$F$46,MATCH('Data 1'!H$1,'Data 2'!$A$1:$F$1,0),0)</f>
        <v>Category02</v>
      </c>
      <c r="I238" s="39" t="str">
        <f>VLOOKUP('Data 1'!$B238,'Data 2'!$A$1:$F$46,MATCH('Data 1'!I$1,'Data 2'!$A$1:$F$1,0),0)</f>
        <v>Kg</v>
      </c>
      <c r="J238" s="39">
        <f>VLOOKUP('Data 1'!$B238,'Data 2'!$A$1:$F$46,MATCH('Data 1'!J$1,'Data 2'!$A$1:$F$1,0),0)</f>
        <v>112</v>
      </c>
      <c r="K238" s="39">
        <f>VLOOKUP('Data 1'!$B238,'Data 2'!$A$1:$F$46,MATCH('Data 1'!K$1,'Data 2'!$A$1:$F$1,0),0)</f>
        <v>146.72</v>
      </c>
      <c r="L238" s="40">
        <f>SUM('Data 1'!$J238*'Data 1'!$C238)</f>
        <v>112</v>
      </c>
      <c r="M238" s="40">
        <f>'Data 1'!$C238*'Data 1'!$K238</f>
        <v>146.72</v>
      </c>
      <c r="N238" s="40">
        <f>'Data 1'!$M238-'Data 1'!$L238</f>
        <v>34.72</v>
      </c>
      <c r="O238" s="37">
        <f>DAY('Data 1'!$A238)</f>
        <v>21</v>
      </c>
      <c r="P238" s="37" t="str">
        <f>TEXT('Data 1'!$A238,"mmm")</f>
        <v>Nov</v>
      </c>
      <c r="Q238" s="41">
        <f>YEAR('Data 1'!$A238)</f>
        <v>2021</v>
      </c>
    </row>
    <row r="239" spans="1:17" x14ac:dyDescent="0.3">
      <c r="A239" s="35">
        <v>44521</v>
      </c>
      <c r="B239" s="36" t="s">
        <v>34</v>
      </c>
      <c r="C239" s="37">
        <v>1</v>
      </c>
      <c r="D239" s="37" t="s">
        <v>17</v>
      </c>
      <c r="E239" s="37" t="s">
        <v>19</v>
      </c>
      <c r="F239" s="38">
        <v>0</v>
      </c>
      <c r="G239" s="42" t="str">
        <f>VLOOKUP('Data 1'!$B239,'Data 2'!$A$1:$F$46,MATCH('Data 1'!G$1,'Data 2'!$A$1:$F$1,0),0)</f>
        <v>Product06</v>
      </c>
      <c r="H239" s="42" t="str">
        <f>VLOOKUP('Data 1'!$B239,'Data 2'!$A$1:$F$46,MATCH('Data 1'!H$1,'Data 2'!$A$1:$F$1,0),0)</f>
        <v>Category01</v>
      </c>
      <c r="I239" s="42" t="str">
        <f>VLOOKUP('Data 1'!$B239,'Data 2'!$A$1:$F$46,MATCH('Data 1'!I$1,'Data 2'!$A$1:$F$1,0),0)</f>
        <v>Kg</v>
      </c>
      <c r="J239" s="42">
        <f>VLOOKUP('Data 1'!$B239,'Data 2'!$A$1:$F$46,MATCH('Data 1'!J$1,'Data 2'!$A$1:$F$1,0),0)</f>
        <v>75</v>
      </c>
      <c r="K239" s="42">
        <f>VLOOKUP('Data 1'!$B239,'Data 2'!$A$1:$F$46,MATCH('Data 1'!K$1,'Data 2'!$A$1:$F$1,0),0)</f>
        <v>85.5</v>
      </c>
      <c r="L239" s="40">
        <f>SUM('Data 1'!$J239*'Data 1'!$C239)</f>
        <v>75</v>
      </c>
      <c r="M239" s="40">
        <f>'Data 1'!$C239*'Data 1'!$K239</f>
        <v>85.5</v>
      </c>
      <c r="N239" s="40">
        <f>'Data 1'!$M239-'Data 1'!$L239</f>
        <v>10.5</v>
      </c>
      <c r="O239" s="37">
        <f>DAY('Data 1'!$A239)</f>
        <v>21</v>
      </c>
      <c r="P239" s="37" t="str">
        <f>TEXT('Data 1'!$A239,"mmm")</f>
        <v>Nov</v>
      </c>
      <c r="Q239" s="41">
        <f>YEAR('Data 1'!$A239)</f>
        <v>2021</v>
      </c>
    </row>
    <row r="240" spans="1:17" x14ac:dyDescent="0.3">
      <c r="A240" s="35">
        <v>44527</v>
      </c>
      <c r="B240" s="36" t="s">
        <v>54</v>
      </c>
      <c r="C240" s="37">
        <v>8</v>
      </c>
      <c r="D240" s="37" t="s">
        <v>17</v>
      </c>
      <c r="E240" s="37" t="s">
        <v>17</v>
      </c>
      <c r="F240" s="38">
        <v>0</v>
      </c>
      <c r="G240" s="39" t="str">
        <f>VLOOKUP('Data 1'!$B240,'Data 2'!$A$1:$F$46,MATCH('Data 1'!G$1,'Data 2'!$A$1:$F$1,0),0)</f>
        <v>Product12</v>
      </c>
      <c r="H240" s="39" t="str">
        <f>VLOOKUP('Data 1'!$B240,'Data 2'!$A$1:$F$46,MATCH('Data 1'!H$1,'Data 2'!$A$1:$F$1,0),0)</f>
        <v>Category02</v>
      </c>
      <c r="I240" s="39" t="str">
        <f>VLOOKUP('Data 1'!$B240,'Data 2'!$A$1:$F$46,MATCH('Data 1'!I$1,'Data 2'!$A$1:$F$1,0),0)</f>
        <v>Kg</v>
      </c>
      <c r="J240" s="39">
        <f>VLOOKUP('Data 1'!$B240,'Data 2'!$A$1:$F$46,MATCH('Data 1'!J$1,'Data 2'!$A$1:$F$1,0),0)</f>
        <v>73</v>
      </c>
      <c r="K240" s="39">
        <f>VLOOKUP('Data 1'!$B240,'Data 2'!$A$1:$F$46,MATCH('Data 1'!K$1,'Data 2'!$A$1:$F$1,0),0)</f>
        <v>94.17</v>
      </c>
      <c r="L240" s="40">
        <f>SUM('Data 1'!$J240*'Data 1'!$C240)</f>
        <v>584</v>
      </c>
      <c r="M240" s="40">
        <f>'Data 1'!$C240*'Data 1'!$K240</f>
        <v>753.36</v>
      </c>
      <c r="N240" s="40">
        <f>'Data 1'!$M240-'Data 1'!$L240</f>
        <v>169.36</v>
      </c>
      <c r="O240" s="37">
        <f>DAY('Data 1'!$A240)</f>
        <v>27</v>
      </c>
      <c r="P240" s="37" t="str">
        <f>TEXT('Data 1'!$A240,"mmm")</f>
        <v>Nov</v>
      </c>
      <c r="Q240" s="41">
        <f>YEAR('Data 1'!$A240)</f>
        <v>2021</v>
      </c>
    </row>
    <row r="241" spans="1:17" x14ac:dyDescent="0.3">
      <c r="A241" s="35">
        <v>44528</v>
      </c>
      <c r="B241" s="36" t="s">
        <v>36</v>
      </c>
      <c r="C241" s="37">
        <v>2</v>
      </c>
      <c r="D241" s="37" t="s">
        <v>21</v>
      </c>
      <c r="E241" s="37" t="s">
        <v>19</v>
      </c>
      <c r="F241" s="38">
        <v>0</v>
      </c>
      <c r="G241" s="42" t="str">
        <f>VLOOKUP('Data 1'!$B241,'Data 2'!$A$1:$F$46,MATCH('Data 1'!G$1,'Data 2'!$A$1:$F$1,0),0)</f>
        <v>Product40</v>
      </c>
      <c r="H241" s="42" t="str">
        <f>VLOOKUP('Data 1'!$B241,'Data 2'!$A$1:$F$46,MATCH('Data 1'!H$1,'Data 2'!$A$1:$F$1,0),0)</f>
        <v>Category05</v>
      </c>
      <c r="I241" s="42" t="str">
        <f>VLOOKUP('Data 1'!$B241,'Data 2'!$A$1:$F$46,MATCH('Data 1'!I$1,'Data 2'!$A$1:$F$1,0),0)</f>
        <v>Kg</v>
      </c>
      <c r="J241" s="42">
        <f>VLOOKUP('Data 1'!$B241,'Data 2'!$A$1:$F$46,MATCH('Data 1'!J$1,'Data 2'!$A$1:$F$1,0),0)</f>
        <v>90</v>
      </c>
      <c r="K241" s="42">
        <f>VLOOKUP('Data 1'!$B241,'Data 2'!$A$1:$F$46,MATCH('Data 1'!K$1,'Data 2'!$A$1:$F$1,0),0)</f>
        <v>115.2</v>
      </c>
      <c r="L241" s="40">
        <f>SUM('Data 1'!$J241*'Data 1'!$C241)</f>
        <v>180</v>
      </c>
      <c r="M241" s="40">
        <f>'Data 1'!$C241*'Data 1'!$K241</f>
        <v>230.4</v>
      </c>
      <c r="N241" s="40">
        <f>'Data 1'!$M241-'Data 1'!$L241</f>
        <v>50.400000000000006</v>
      </c>
      <c r="O241" s="37">
        <f>DAY('Data 1'!$A241)</f>
        <v>28</v>
      </c>
      <c r="P241" s="37" t="str">
        <f>TEXT('Data 1'!$A241,"mmm")</f>
        <v>Nov</v>
      </c>
      <c r="Q241" s="41">
        <f>YEAR('Data 1'!$A241)</f>
        <v>2021</v>
      </c>
    </row>
    <row r="242" spans="1:17" x14ac:dyDescent="0.3">
      <c r="A242" s="35">
        <v>44530</v>
      </c>
      <c r="B242" s="36" t="s">
        <v>53</v>
      </c>
      <c r="C242" s="37">
        <v>15</v>
      </c>
      <c r="D242" s="37" t="s">
        <v>21</v>
      </c>
      <c r="E242" s="37" t="s">
        <v>17</v>
      </c>
      <c r="F242" s="38">
        <v>0</v>
      </c>
      <c r="G242" s="39" t="str">
        <f>VLOOKUP('Data 1'!$B242,'Data 2'!$A$1:$F$46,MATCH('Data 1'!G$1,'Data 2'!$A$1:$F$1,0),0)</f>
        <v>Product39</v>
      </c>
      <c r="H242" s="39" t="str">
        <f>VLOOKUP('Data 1'!$B242,'Data 2'!$A$1:$F$46,MATCH('Data 1'!H$1,'Data 2'!$A$1:$F$1,0),0)</f>
        <v>Category05</v>
      </c>
      <c r="I242" s="39" t="str">
        <f>VLOOKUP('Data 1'!$B242,'Data 2'!$A$1:$F$46,MATCH('Data 1'!I$1,'Data 2'!$A$1:$F$1,0),0)</f>
        <v>No.</v>
      </c>
      <c r="J242" s="39">
        <f>VLOOKUP('Data 1'!$B242,'Data 2'!$A$1:$F$46,MATCH('Data 1'!J$1,'Data 2'!$A$1:$F$1,0),0)</f>
        <v>37</v>
      </c>
      <c r="K242" s="39">
        <f>VLOOKUP('Data 1'!$B242,'Data 2'!$A$1:$F$46,MATCH('Data 1'!K$1,'Data 2'!$A$1:$F$1,0),0)</f>
        <v>42.55</v>
      </c>
      <c r="L242" s="40">
        <f>SUM('Data 1'!$J242*'Data 1'!$C242)</f>
        <v>555</v>
      </c>
      <c r="M242" s="40">
        <f>'Data 1'!$C242*'Data 1'!$K242</f>
        <v>638.25</v>
      </c>
      <c r="N242" s="40">
        <f>'Data 1'!$M242-'Data 1'!$L242</f>
        <v>83.25</v>
      </c>
      <c r="O242" s="37">
        <f>DAY('Data 1'!$A242)</f>
        <v>30</v>
      </c>
      <c r="P242" s="37" t="str">
        <f>TEXT('Data 1'!$A242,"mmm")</f>
        <v>Nov</v>
      </c>
      <c r="Q242" s="41">
        <f>YEAR('Data 1'!$A242)</f>
        <v>2021</v>
      </c>
    </row>
    <row r="243" spans="1:17" x14ac:dyDescent="0.3">
      <c r="A243" s="35">
        <v>44532</v>
      </c>
      <c r="B243" s="36" t="s">
        <v>40</v>
      </c>
      <c r="C243" s="37">
        <v>10</v>
      </c>
      <c r="D243" s="37" t="s">
        <v>21</v>
      </c>
      <c r="E243" s="37" t="s">
        <v>19</v>
      </c>
      <c r="F243" s="38">
        <v>0</v>
      </c>
      <c r="G243" s="42" t="str">
        <f>VLOOKUP('Data 1'!$B243,'Data 2'!$A$1:$F$46,MATCH('Data 1'!G$1,'Data 2'!$A$1:$F$1,0),0)</f>
        <v>Product16</v>
      </c>
      <c r="H243" s="42" t="str">
        <f>VLOOKUP('Data 1'!$B243,'Data 2'!$A$1:$F$46,MATCH('Data 1'!H$1,'Data 2'!$A$1:$F$1,0),0)</f>
        <v>Category02</v>
      </c>
      <c r="I243" s="42" t="str">
        <f>VLOOKUP('Data 1'!$B243,'Data 2'!$A$1:$F$46,MATCH('Data 1'!I$1,'Data 2'!$A$1:$F$1,0),0)</f>
        <v>No.</v>
      </c>
      <c r="J243" s="42">
        <f>VLOOKUP('Data 1'!$B243,'Data 2'!$A$1:$F$46,MATCH('Data 1'!J$1,'Data 2'!$A$1:$F$1,0),0)</f>
        <v>13</v>
      </c>
      <c r="K243" s="42">
        <f>VLOOKUP('Data 1'!$B243,'Data 2'!$A$1:$F$46,MATCH('Data 1'!K$1,'Data 2'!$A$1:$F$1,0),0)</f>
        <v>16.64</v>
      </c>
      <c r="L243" s="40">
        <f>SUM('Data 1'!$J243*'Data 1'!$C243)</f>
        <v>130</v>
      </c>
      <c r="M243" s="40">
        <f>'Data 1'!$C243*'Data 1'!$K243</f>
        <v>166.4</v>
      </c>
      <c r="N243" s="40">
        <f>'Data 1'!$M243-'Data 1'!$L243</f>
        <v>36.400000000000006</v>
      </c>
      <c r="O243" s="37">
        <f>DAY('Data 1'!$A243)</f>
        <v>2</v>
      </c>
      <c r="P243" s="37" t="str">
        <f>TEXT('Data 1'!$A243,"mmm")</f>
        <v>Dec</v>
      </c>
      <c r="Q243" s="41">
        <f>YEAR('Data 1'!$A243)</f>
        <v>2021</v>
      </c>
    </row>
    <row r="244" spans="1:17" x14ac:dyDescent="0.3">
      <c r="A244" s="35">
        <v>44533</v>
      </c>
      <c r="B244" s="36" t="s">
        <v>32</v>
      </c>
      <c r="C244" s="37">
        <v>2</v>
      </c>
      <c r="D244" s="37" t="s">
        <v>17</v>
      </c>
      <c r="E244" s="37" t="s">
        <v>19</v>
      </c>
      <c r="F244" s="38">
        <v>0</v>
      </c>
      <c r="G244" s="39" t="str">
        <f>VLOOKUP('Data 1'!$B244,'Data 2'!$A$1:$F$46,MATCH('Data 1'!G$1,'Data 2'!$A$1:$F$1,0),0)</f>
        <v>Product34</v>
      </c>
      <c r="H244" s="39" t="str">
        <f>VLOOKUP('Data 1'!$B244,'Data 2'!$A$1:$F$46,MATCH('Data 1'!H$1,'Data 2'!$A$1:$F$1,0),0)</f>
        <v>Category04</v>
      </c>
      <c r="I244" s="39" t="str">
        <f>VLOOKUP('Data 1'!$B244,'Data 2'!$A$1:$F$46,MATCH('Data 1'!I$1,'Data 2'!$A$1:$F$1,0),0)</f>
        <v>Lt</v>
      </c>
      <c r="J244" s="39">
        <f>VLOOKUP('Data 1'!$B244,'Data 2'!$A$1:$F$46,MATCH('Data 1'!J$1,'Data 2'!$A$1:$F$1,0),0)</f>
        <v>55</v>
      </c>
      <c r="K244" s="39">
        <f>VLOOKUP('Data 1'!$B244,'Data 2'!$A$1:$F$46,MATCH('Data 1'!K$1,'Data 2'!$A$1:$F$1,0),0)</f>
        <v>58.3</v>
      </c>
      <c r="L244" s="40">
        <f>SUM('Data 1'!$J244*'Data 1'!$C244)</f>
        <v>110</v>
      </c>
      <c r="M244" s="40">
        <f>'Data 1'!$C244*'Data 1'!$K244</f>
        <v>116.6</v>
      </c>
      <c r="N244" s="40">
        <f>'Data 1'!$M244-'Data 1'!$L244</f>
        <v>6.5999999999999943</v>
      </c>
      <c r="O244" s="37">
        <f>DAY('Data 1'!$A244)</f>
        <v>3</v>
      </c>
      <c r="P244" s="37" t="str">
        <f>TEXT('Data 1'!$A244,"mmm")</f>
        <v>Dec</v>
      </c>
      <c r="Q244" s="41">
        <f>YEAR('Data 1'!$A244)</f>
        <v>2021</v>
      </c>
    </row>
    <row r="245" spans="1:17" x14ac:dyDescent="0.3">
      <c r="A245" s="35">
        <v>44533</v>
      </c>
      <c r="B245" s="36" t="s">
        <v>59</v>
      </c>
      <c r="C245" s="37">
        <v>8</v>
      </c>
      <c r="D245" s="37" t="s">
        <v>17</v>
      </c>
      <c r="E245" s="37" t="s">
        <v>17</v>
      </c>
      <c r="F245" s="38">
        <v>0</v>
      </c>
      <c r="G245" s="42" t="str">
        <f>VLOOKUP('Data 1'!$B245,'Data 2'!$A$1:$F$46,MATCH('Data 1'!G$1,'Data 2'!$A$1:$F$1,0),0)</f>
        <v>Product19</v>
      </c>
      <c r="H245" s="42" t="str">
        <f>VLOOKUP('Data 1'!$B245,'Data 2'!$A$1:$F$46,MATCH('Data 1'!H$1,'Data 2'!$A$1:$F$1,0),0)</f>
        <v>Category02</v>
      </c>
      <c r="I245" s="42" t="str">
        <f>VLOOKUP('Data 1'!$B245,'Data 2'!$A$1:$F$46,MATCH('Data 1'!I$1,'Data 2'!$A$1:$F$1,0),0)</f>
        <v>Ft</v>
      </c>
      <c r="J245" s="42">
        <f>VLOOKUP('Data 1'!$B245,'Data 2'!$A$1:$F$46,MATCH('Data 1'!J$1,'Data 2'!$A$1:$F$1,0),0)</f>
        <v>150</v>
      </c>
      <c r="K245" s="42">
        <f>VLOOKUP('Data 1'!$B245,'Data 2'!$A$1:$F$46,MATCH('Data 1'!K$1,'Data 2'!$A$1:$F$1,0),0)</f>
        <v>210</v>
      </c>
      <c r="L245" s="40">
        <f>SUM('Data 1'!$J245*'Data 1'!$C245)</f>
        <v>1200</v>
      </c>
      <c r="M245" s="40">
        <f>'Data 1'!$C245*'Data 1'!$K245</f>
        <v>1680</v>
      </c>
      <c r="N245" s="40">
        <f>'Data 1'!$M245-'Data 1'!$L245</f>
        <v>480</v>
      </c>
      <c r="O245" s="37">
        <f>DAY('Data 1'!$A245)</f>
        <v>3</v>
      </c>
      <c r="P245" s="37" t="str">
        <f>TEXT('Data 1'!$A245,"mmm")</f>
        <v>Dec</v>
      </c>
      <c r="Q245" s="41">
        <f>YEAR('Data 1'!$A245)</f>
        <v>2021</v>
      </c>
    </row>
    <row r="246" spans="1:17" x14ac:dyDescent="0.3">
      <c r="A246" s="35">
        <v>44535</v>
      </c>
      <c r="B246" s="36" t="s">
        <v>22</v>
      </c>
      <c r="C246" s="37">
        <v>15</v>
      </c>
      <c r="D246" s="37" t="s">
        <v>21</v>
      </c>
      <c r="E246" s="37" t="s">
        <v>19</v>
      </c>
      <c r="F246" s="38">
        <v>0</v>
      </c>
      <c r="G246" s="39" t="str">
        <f>VLOOKUP('Data 1'!$B246,'Data 2'!$A$1:$F$46,MATCH('Data 1'!G$1,'Data 2'!$A$1:$F$1,0),0)</f>
        <v>Product04</v>
      </c>
      <c r="H246" s="39" t="str">
        <f>VLOOKUP('Data 1'!$B246,'Data 2'!$A$1:$F$46,MATCH('Data 1'!H$1,'Data 2'!$A$1:$F$1,0),0)</f>
        <v>Category01</v>
      </c>
      <c r="I246" s="39" t="str">
        <f>VLOOKUP('Data 1'!$B246,'Data 2'!$A$1:$F$46,MATCH('Data 1'!I$1,'Data 2'!$A$1:$F$1,0),0)</f>
        <v>Lt</v>
      </c>
      <c r="J246" s="39">
        <f>VLOOKUP('Data 1'!$B246,'Data 2'!$A$1:$F$46,MATCH('Data 1'!J$1,'Data 2'!$A$1:$F$1,0),0)</f>
        <v>44</v>
      </c>
      <c r="K246" s="39">
        <f>VLOOKUP('Data 1'!$B246,'Data 2'!$A$1:$F$46,MATCH('Data 1'!K$1,'Data 2'!$A$1:$F$1,0),0)</f>
        <v>48.84</v>
      </c>
      <c r="L246" s="40">
        <f>SUM('Data 1'!$J246*'Data 1'!$C246)</f>
        <v>660</v>
      </c>
      <c r="M246" s="40">
        <f>'Data 1'!$C246*'Data 1'!$K246</f>
        <v>732.6</v>
      </c>
      <c r="N246" s="40">
        <f>'Data 1'!$M246-'Data 1'!$L246</f>
        <v>72.600000000000023</v>
      </c>
      <c r="O246" s="37">
        <f>DAY('Data 1'!$A246)</f>
        <v>5</v>
      </c>
      <c r="P246" s="37" t="str">
        <f>TEXT('Data 1'!$A246,"mmm")</f>
        <v>Dec</v>
      </c>
      <c r="Q246" s="41">
        <f>YEAR('Data 1'!$A246)</f>
        <v>2021</v>
      </c>
    </row>
    <row r="247" spans="1:17" x14ac:dyDescent="0.3">
      <c r="A247" s="35">
        <v>44535</v>
      </c>
      <c r="B247" s="36" t="s">
        <v>39</v>
      </c>
      <c r="C247" s="37">
        <v>1</v>
      </c>
      <c r="D247" s="37" t="s">
        <v>21</v>
      </c>
      <c r="E247" s="37" t="s">
        <v>17</v>
      </c>
      <c r="F247" s="38">
        <v>0</v>
      </c>
      <c r="G247" s="42" t="str">
        <f>VLOOKUP('Data 1'!$B247,'Data 2'!$A$1:$F$46,MATCH('Data 1'!G$1,'Data 2'!$A$1:$F$1,0),0)</f>
        <v>Product10</v>
      </c>
      <c r="H247" s="42" t="str">
        <f>VLOOKUP('Data 1'!$B247,'Data 2'!$A$1:$F$46,MATCH('Data 1'!H$1,'Data 2'!$A$1:$F$1,0),0)</f>
        <v>Category02</v>
      </c>
      <c r="I247" s="42" t="str">
        <f>VLOOKUP('Data 1'!$B247,'Data 2'!$A$1:$F$46,MATCH('Data 1'!I$1,'Data 2'!$A$1:$F$1,0),0)</f>
        <v>Ft</v>
      </c>
      <c r="J247" s="42">
        <f>VLOOKUP('Data 1'!$B247,'Data 2'!$A$1:$F$46,MATCH('Data 1'!J$1,'Data 2'!$A$1:$F$1,0),0)</f>
        <v>148</v>
      </c>
      <c r="K247" s="42">
        <f>VLOOKUP('Data 1'!$B247,'Data 2'!$A$1:$F$46,MATCH('Data 1'!K$1,'Data 2'!$A$1:$F$1,0),0)</f>
        <v>164.28</v>
      </c>
      <c r="L247" s="40">
        <f>SUM('Data 1'!$J247*'Data 1'!$C247)</f>
        <v>148</v>
      </c>
      <c r="M247" s="40">
        <f>'Data 1'!$C247*'Data 1'!$K247</f>
        <v>164.28</v>
      </c>
      <c r="N247" s="40">
        <f>'Data 1'!$M247-'Data 1'!$L247</f>
        <v>16.28</v>
      </c>
      <c r="O247" s="37">
        <f>DAY('Data 1'!$A247)</f>
        <v>5</v>
      </c>
      <c r="P247" s="37" t="str">
        <f>TEXT('Data 1'!$A247,"mmm")</f>
        <v>Dec</v>
      </c>
      <c r="Q247" s="41">
        <f>YEAR('Data 1'!$A247)</f>
        <v>2021</v>
      </c>
    </row>
    <row r="248" spans="1:17" x14ac:dyDescent="0.3">
      <c r="A248" s="35">
        <v>44537</v>
      </c>
      <c r="B248" s="36" t="s">
        <v>20</v>
      </c>
      <c r="C248" s="37">
        <v>8</v>
      </c>
      <c r="D248" s="37" t="s">
        <v>21</v>
      </c>
      <c r="E248" s="37" t="s">
        <v>17</v>
      </c>
      <c r="F248" s="38">
        <v>0</v>
      </c>
      <c r="G248" s="39" t="str">
        <f>VLOOKUP('Data 1'!$B248,'Data 2'!$A$1:$F$46,MATCH('Data 1'!G$1,'Data 2'!$A$1:$F$1,0),0)</f>
        <v>Product13</v>
      </c>
      <c r="H248" s="39" t="str">
        <f>VLOOKUP('Data 1'!$B248,'Data 2'!$A$1:$F$46,MATCH('Data 1'!H$1,'Data 2'!$A$1:$F$1,0),0)</f>
        <v>Category02</v>
      </c>
      <c r="I248" s="39" t="str">
        <f>VLOOKUP('Data 1'!$B248,'Data 2'!$A$1:$F$46,MATCH('Data 1'!I$1,'Data 2'!$A$1:$F$1,0),0)</f>
        <v>Kg</v>
      </c>
      <c r="J248" s="39">
        <f>VLOOKUP('Data 1'!$B248,'Data 2'!$A$1:$F$46,MATCH('Data 1'!J$1,'Data 2'!$A$1:$F$1,0),0)</f>
        <v>112</v>
      </c>
      <c r="K248" s="39">
        <f>VLOOKUP('Data 1'!$B248,'Data 2'!$A$1:$F$46,MATCH('Data 1'!K$1,'Data 2'!$A$1:$F$1,0),0)</f>
        <v>122.08</v>
      </c>
      <c r="L248" s="40">
        <f>SUM('Data 1'!$J248*'Data 1'!$C248)</f>
        <v>896</v>
      </c>
      <c r="M248" s="40">
        <f>'Data 1'!$C248*'Data 1'!$K248</f>
        <v>976.64</v>
      </c>
      <c r="N248" s="40">
        <f>'Data 1'!$M248-'Data 1'!$L248</f>
        <v>80.639999999999986</v>
      </c>
      <c r="O248" s="37">
        <f>DAY('Data 1'!$A248)</f>
        <v>7</v>
      </c>
      <c r="P248" s="37" t="str">
        <f>TEXT('Data 1'!$A248,"mmm")</f>
        <v>Dec</v>
      </c>
      <c r="Q248" s="41">
        <f>YEAR('Data 1'!$A248)</f>
        <v>2021</v>
      </c>
    </row>
    <row r="249" spans="1:17" x14ac:dyDescent="0.3">
      <c r="A249" s="35">
        <v>44538</v>
      </c>
      <c r="B249" s="36" t="s">
        <v>30</v>
      </c>
      <c r="C249" s="37">
        <v>14</v>
      </c>
      <c r="D249" s="37" t="s">
        <v>21</v>
      </c>
      <c r="E249" s="37" t="s">
        <v>17</v>
      </c>
      <c r="F249" s="38">
        <v>0</v>
      </c>
      <c r="G249" s="42" t="str">
        <f>VLOOKUP('Data 1'!$B249,'Data 2'!$A$1:$F$46,MATCH('Data 1'!G$1,'Data 2'!$A$1:$F$1,0),0)</f>
        <v>Product44</v>
      </c>
      <c r="H249" s="42" t="str">
        <f>VLOOKUP('Data 1'!$B249,'Data 2'!$A$1:$F$46,MATCH('Data 1'!H$1,'Data 2'!$A$1:$F$1,0),0)</f>
        <v>Category05</v>
      </c>
      <c r="I249" s="42" t="str">
        <f>VLOOKUP('Data 1'!$B249,'Data 2'!$A$1:$F$46,MATCH('Data 1'!I$1,'Data 2'!$A$1:$F$1,0),0)</f>
        <v>Kg</v>
      </c>
      <c r="J249" s="42">
        <f>VLOOKUP('Data 1'!$B249,'Data 2'!$A$1:$F$46,MATCH('Data 1'!J$1,'Data 2'!$A$1:$F$1,0),0)</f>
        <v>76</v>
      </c>
      <c r="K249" s="42">
        <f>VLOOKUP('Data 1'!$B249,'Data 2'!$A$1:$F$46,MATCH('Data 1'!K$1,'Data 2'!$A$1:$F$1,0),0)</f>
        <v>82.08</v>
      </c>
      <c r="L249" s="40">
        <f>SUM('Data 1'!$J249*'Data 1'!$C249)</f>
        <v>1064</v>
      </c>
      <c r="M249" s="40">
        <f>'Data 1'!$C249*'Data 1'!$K249</f>
        <v>1149.1199999999999</v>
      </c>
      <c r="N249" s="40">
        <f>'Data 1'!$M249-'Data 1'!$L249</f>
        <v>85.119999999999891</v>
      </c>
      <c r="O249" s="37">
        <f>DAY('Data 1'!$A249)</f>
        <v>8</v>
      </c>
      <c r="P249" s="37" t="str">
        <f>TEXT('Data 1'!$A249,"mmm")</f>
        <v>Dec</v>
      </c>
      <c r="Q249" s="41">
        <f>YEAR('Data 1'!$A249)</f>
        <v>2021</v>
      </c>
    </row>
    <row r="250" spans="1:17" x14ac:dyDescent="0.3">
      <c r="A250" s="35">
        <v>44544</v>
      </c>
      <c r="B250" s="36" t="s">
        <v>29</v>
      </c>
      <c r="C250" s="37">
        <v>4</v>
      </c>
      <c r="D250" s="37" t="s">
        <v>21</v>
      </c>
      <c r="E250" s="37" t="s">
        <v>17</v>
      </c>
      <c r="F250" s="38">
        <v>0</v>
      </c>
      <c r="G250" s="39" t="str">
        <f>VLOOKUP('Data 1'!$B250,'Data 2'!$A$1:$F$46,MATCH('Data 1'!G$1,'Data 2'!$A$1:$F$1,0),0)</f>
        <v>Product42</v>
      </c>
      <c r="H250" s="39" t="str">
        <f>VLOOKUP('Data 1'!$B250,'Data 2'!$A$1:$F$46,MATCH('Data 1'!H$1,'Data 2'!$A$1:$F$1,0),0)</f>
        <v>Category05</v>
      </c>
      <c r="I250" s="39" t="str">
        <f>VLOOKUP('Data 1'!$B250,'Data 2'!$A$1:$F$46,MATCH('Data 1'!I$1,'Data 2'!$A$1:$F$1,0),0)</f>
        <v>Ft</v>
      </c>
      <c r="J250" s="39">
        <f>VLOOKUP('Data 1'!$B250,'Data 2'!$A$1:$F$46,MATCH('Data 1'!J$1,'Data 2'!$A$1:$F$1,0),0)</f>
        <v>120</v>
      </c>
      <c r="K250" s="39">
        <f>VLOOKUP('Data 1'!$B250,'Data 2'!$A$1:$F$46,MATCH('Data 1'!K$1,'Data 2'!$A$1:$F$1,0),0)</f>
        <v>162</v>
      </c>
      <c r="L250" s="40">
        <f>SUM('Data 1'!$J250*'Data 1'!$C250)</f>
        <v>480</v>
      </c>
      <c r="M250" s="40">
        <f>'Data 1'!$C250*'Data 1'!$K250</f>
        <v>648</v>
      </c>
      <c r="N250" s="40">
        <f>'Data 1'!$M250-'Data 1'!$L250</f>
        <v>168</v>
      </c>
      <c r="O250" s="37">
        <f>DAY('Data 1'!$A250)</f>
        <v>14</v>
      </c>
      <c r="P250" s="37" t="str">
        <f>TEXT('Data 1'!$A250,"mmm")</f>
        <v>Dec</v>
      </c>
      <c r="Q250" s="41">
        <f>YEAR('Data 1'!$A250)</f>
        <v>2021</v>
      </c>
    </row>
    <row r="251" spans="1:17" x14ac:dyDescent="0.3">
      <c r="A251" s="35">
        <v>44548</v>
      </c>
      <c r="B251" s="36" t="s">
        <v>25</v>
      </c>
      <c r="C251" s="37">
        <v>2</v>
      </c>
      <c r="D251" s="37" t="s">
        <v>21</v>
      </c>
      <c r="E251" s="37" t="s">
        <v>19</v>
      </c>
      <c r="F251" s="38">
        <v>0</v>
      </c>
      <c r="G251" s="42" t="str">
        <f>VLOOKUP('Data 1'!$B251,'Data 2'!$A$1:$F$46,MATCH('Data 1'!G$1,'Data 2'!$A$1:$F$1,0),0)</f>
        <v>Product03</v>
      </c>
      <c r="H251" s="42" t="str">
        <f>VLOOKUP('Data 1'!$B251,'Data 2'!$A$1:$F$46,MATCH('Data 1'!H$1,'Data 2'!$A$1:$F$1,0),0)</f>
        <v>Category01</v>
      </c>
      <c r="I251" s="42" t="str">
        <f>VLOOKUP('Data 1'!$B251,'Data 2'!$A$1:$F$46,MATCH('Data 1'!I$1,'Data 2'!$A$1:$F$1,0),0)</f>
        <v>Kg</v>
      </c>
      <c r="J251" s="42">
        <f>VLOOKUP('Data 1'!$B251,'Data 2'!$A$1:$F$46,MATCH('Data 1'!J$1,'Data 2'!$A$1:$F$1,0),0)</f>
        <v>71</v>
      </c>
      <c r="K251" s="42">
        <f>VLOOKUP('Data 1'!$B251,'Data 2'!$A$1:$F$46,MATCH('Data 1'!K$1,'Data 2'!$A$1:$F$1,0),0)</f>
        <v>80.94</v>
      </c>
      <c r="L251" s="40">
        <f>SUM('Data 1'!$J251*'Data 1'!$C251)</f>
        <v>142</v>
      </c>
      <c r="M251" s="40">
        <f>'Data 1'!$C251*'Data 1'!$K251</f>
        <v>161.88</v>
      </c>
      <c r="N251" s="40">
        <f>'Data 1'!$M251-'Data 1'!$L251</f>
        <v>19.879999999999995</v>
      </c>
      <c r="O251" s="37">
        <f>DAY('Data 1'!$A251)</f>
        <v>18</v>
      </c>
      <c r="P251" s="37" t="str">
        <f>TEXT('Data 1'!$A251,"mmm")</f>
        <v>Dec</v>
      </c>
      <c r="Q251" s="41">
        <f>YEAR('Data 1'!$A251)</f>
        <v>2021</v>
      </c>
    </row>
    <row r="252" spans="1:17" x14ac:dyDescent="0.3">
      <c r="A252" s="35">
        <v>44548</v>
      </c>
      <c r="B252" s="36" t="s">
        <v>41</v>
      </c>
      <c r="C252" s="37">
        <v>8</v>
      </c>
      <c r="D252" s="37" t="s">
        <v>17</v>
      </c>
      <c r="E252" s="37" t="s">
        <v>19</v>
      </c>
      <c r="F252" s="38">
        <v>0</v>
      </c>
      <c r="G252" s="39" t="str">
        <f>VLOOKUP('Data 1'!$B252,'Data 2'!$A$1:$F$46,MATCH('Data 1'!G$1,'Data 2'!$A$1:$F$1,0),0)</f>
        <v>Product22</v>
      </c>
      <c r="H252" s="39" t="str">
        <f>VLOOKUP('Data 1'!$B252,'Data 2'!$A$1:$F$46,MATCH('Data 1'!H$1,'Data 2'!$A$1:$F$1,0),0)</f>
        <v>Category03</v>
      </c>
      <c r="I252" s="39" t="str">
        <f>VLOOKUP('Data 1'!$B252,'Data 2'!$A$1:$F$46,MATCH('Data 1'!I$1,'Data 2'!$A$1:$F$1,0),0)</f>
        <v>Ft</v>
      </c>
      <c r="J252" s="39">
        <f>VLOOKUP('Data 1'!$B252,'Data 2'!$A$1:$F$46,MATCH('Data 1'!J$1,'Data 2'!$A$1:$F$1,0),0)</f>
        <v>121</v>
      </c>
      <c r="K252" s="39">
        <f>VLOOKUP('Data 1'!$B252,'Data 2'!$A$1:$F$46,MATCH('Data 1'!K$1,'Data 2'!$A$1:$F$1,0),0)</f>
        <v>141.57</v>
      </c>
      <c r="L252" s="40">
        <f>SUM('Data 1'!$J252*'Data 1'!$C252)</f>
        <v>968</v>
      </c>
      <c r="M252" s="40">
        <f>'Data 1'!$C252*'Data 1'!$K252</f>
        <v>1132.56</v>
      </c>
      <c r="N252" s="40">
        <f>'Data 1'!$M252-'Data 1'!$L252</f>
        <v>164.55999999999995</v>
      </c>
      <c r="O252" s="37">
        <f>DAY('Data 1'!$A252)</f>
        <v>18</v>
      </c>
      <c r="P252" s="37" t="str">
        <f>TEXT('Data 1'!$A252,"mmm")</f>
        <v>Dec</v>
      </c>
      <c r="Q252" s="41">
        <f>YEAR('Data 1'!$A252)</f>
        <v>2021</v>
      </c>
    </row>
    <row r="253" spans="1:17" x14ac:dyDescent="0.3">
      <c r="A253" s="35">
        <v>44549</v>
      </c>
      <c r="B253" s="36" t="s">
        <v>31</v>
      </c>
      <c r="C253" s="37">
        <v>12</v>
      </c>
      <c r="D253" s="37" t="s">
        <v>21</v>
      </c>
      <c r="E253" s="37" t="s">
        <v>17</v>
      </c>
      <c r="F253" s="38">
        <v>0</v>
      </c>
      <c r="G253" s="42" t="str">
        <f>VLOOKUP('Data 1'!$B253,'Data 2'!$A$1:$F$46,MATCH('Data 1'!G$1,'Data 2'!$A$1:$F$1,0),0)</f>
        <v>Product23</v>
      </c>
      <c r="H253" s="42" t="str">
        <f>VLOOKUP('Data 1'!$B253,'Data 2'!$A$1:$F$46,MATCH('Data 1'!H$1,'Data 2'!$A$1:$F$1,0),0)</f>
        <v>Category03</v>
      </c>
      <c r="I253" s="42" t="str">
        <f>VLOOKUP('Data 1'!$B253,'Data 2'!$A$1:$F$46,MATCH('Data 1'!I$1,'Data 2'!$A$1:$F$1,0),0)</f>
        <v>Ft</v>
      </c>
      <c r="J253" s="42">
        <f>VLOOKUP('Data 1'!$B253,'Data 2'!$A$1:$F$46,MATCH('Data 1'!J$1,'Data 2'!$A$1:$F$1,0),0)</f>
        <v>141</v>
      </c>
      <c r="K253" s="42">
        <f>VLOOKUP('Data 1'!$B253,'Data 2'!$A$1:$F$46,MATCH('Data 1'!K$1,'Data 2'!$A$1:$F$1,0),0)</f>
        <v>149.46</v>
      </c>
      <c r="L253" s="40">
        <f>SUM('Data 1'!$J253*'Data 1'!$C253)</f>
        <v>1692</v>
      </c>
      <c r="M253" s="40">
        <f>'Data 1'!$C253*'Data 1'!$K253</f>
        <v>1793.52</v>
      </c>
      <c r="N253" s="40">
        <f>'Data 1'!$M253-'Data 1'!$L253</f>
        <v>101.51999999999998</v>
      </c>
      <c r="O253" s="37">
        <f>DAY('Data 1'!$A253)</f>
        <v>19</v>
      </c>
      <c r="P253" s="37" t="str">
        <f>TEXT('Data 1'!$A253,"mmm")</f>
        <v>Dec</v>
      </c>
      <c r="Q253" s="41">
        <f>YEAR('Data 1'!$A253)</f>
        <v>2021</v>
      </c>
    </row>
    <row r="254" spans="1:17" x14ac:dyDescent="0.3">
      <c r="A254" s="35">
        <v>44549</v>
      </c>
      <c r="B254" s="36" t="s">
        <v>38</v>
      </c>
      <c r="C254" s="37">
        <v>3</v>
      </c>
      <c r="D254" s="37" t="s">
        <v>16</v>
      </c>
      <c r="E254" s="37" t="s">
        <v>17</v>
      </c>
      <c r="F254" s="38">
        <v>0</v>
      </c>
      <c r="G254" s="39" t="str">
        <f>VLOOKUP('Data 1'!$B254,'Data 2'!$A$1:$F$46,MATCH('Data 1'!G$1,'Data 2'!$A$1:$F$1,0),0)</f>
        <v>Product29</v>
      </c>
      <c r="H254" s="39" t="str">
        <f>VLOOKUP('Data 1'!$B254,'Data 2'!$A$1:$F$46,MATCH('Data 1'!H$1,'Data 2'!$A$1:$F$1,0),0)</f>
        <v>Category04</v>
      </c>
      <c r="I254" s="39" t="str">
        <f>VLOOKUP('Data 1'!$B254,'Data 2'!$A$1:$F$46,MATCH('Data 1'!I$1,'Data 2'!$A$1:$F$1,0),0)</f>
        <v>Lt</v>
      </c>
      <c r="J254" s="39">
        <f>VLOOKUP('Data 1'!$B254,'Data 2'!$A$1:$F$46,MATCH('Data 1'!J$1,'Data 2'!$A$1:$F$1,0),0)</f>
        <v>47</v>
      </c>
      <c r="K254" s="39">
        <f>VLOOKUP('Data 1'!$B254,'Data 2'!$A$1:$F$46,MATCH('Data 1'!K$1,'Data 2'!$A$1:$F$1,0),0)</f>
        <v>53.11</v>
      </c>
      <c r="L254" s="40">
        <f>SUM('Data 1'!$J254*'Data 1'!$C254)</f>
        <v>141</v>
      </c>
      <c r="M254" s="40">
        <f>'Data 1'!$C254*'Data 1'!$K254</f>
        <v>159.32999999999998</v>
      </c>
      <c r="N254" s="40">
        <f>'Data 1'!$M254-'Data 1'!$L254</f>
        <v>18.329999999999984</v>
      </c>
      <c r="O254" s="37">
        <f>DAY('Data 1'!$A254)</f>
        <v>19</v>
      </c>
      <c r="P254" s="37" t="str">
        <f>TEXT('Data 1'!$A254,"mmm")</f>
        <v>Dec</v>
      </c>
      <c r="Q254" s="41">
        <f>YEAR('Data 1'!$A254)</f>
        <v>2021</v>
      </c>
    </row>
    <row r="255" spans="1:17" x14ac:dyDescent="0.3">
      <c r="A255" s="35">
        <v>44549</v>
      </c>
      <c r="B255" s="36" t="s">
        <v>50</v>
      </c>
      <c r="C255" s="37">
        <v>10</v>
      </c>
      <c r="D255" s="37" t="s">
        <v>17</v>
      </c>
      <c r="E255" s="37" t="s">
        <v>17</v>
      </c>
      <c r="F255" s="38">
        <v>0</v>
      </c>
      <c r="G255" s="42" t="str">
        <f>VLOOKUP('Data 1'!$B255,'Data 2'!$A$1:$F$46,MATCH('Data 1'!G$1,'Data 2'!$A$1:$F$1,0),0)</f>
        <v>Product11</v>
      </c>
      <c r="H255" s="42" t="str">
        <f>VLOOKUP('Data 1'!$B255,'Data 2'!$A$1:$F$46,MATCH('Data 1'!H$1,'Data 2'!$A$1:$F$1,0),0)</f>
        <v>Category02</v>
      </c>
      <c r="I255" s="42" t="str">
        <f>VLOOKUP('Data 1'!$B255,'Data 2'!$A$1:$F$46,MATCH('Data 1'!I$1,'Data 2'!$A$1:$F$1,0),0)</f>
        <v>Lt</v>
      </c>
      <c r="J255" s="42">
        <f>VLOOKUP('Data 1'!$B255,'Data 2'!$A$1:$F$46,MATCH('Data 1'!J$1,'Data 2'!$A$1:$F$1,0),0)</f>
        <v>44</v>
      </c>
      <c r="K255" s="42">
        <f>VLOOKUP('Data 1'!$B255,'Data 2'!$A$1:$F$46,MATCH('Data 1'!K$1,'Data 2'!$A$1:$F$1,0),0)</f>
        <v>48.4</v>
      </c>
      <c r="L255" s="40">
        <f>SUM('Data 1'!$J255*'Data 1'!$C255)</f>
        <v>440</v>
      </c>
      <c r="M255" s="40">
        <f>'Data 1'!$C255*'Data 1'!$K255</f>
        <v>484</v>
      </c>
      <c r="N255" s="40">
        <f>'Data 1'!$M255-'Data 1'!$L255</f>
        <v>44</v>
      </c>
      <c r="O255" s="37">
        <f>DAY('Data 1'!$A255)</f>
        <v>19</v>
      </c>
      <c r="P255" s="37" t="str">
        <f>TEXT('Data 1'!$A255,"mmm")</f>
        <v>Dec</v>
      </c>
      <c r="Q255" s="41">
        <f>YEAR('Data 1'!$A255)</f>
        <v>2021</v>
      </c>
    </row>
    <row r="256" spans="1:17" x14ac:dyDescent="0.3">
      <c r="A256" s="35">
        <v>44550</v>
      </c>
      <c r="B256" s="36" t="s">
        <v>54</v>
      </c>
      <c r="C256" s="37">
        <v>14</v>
      </c>
      <c r="D256" s="37" t="s">
        <v>21</v>
      </c>
      <c r="E256" s="37" t="s">
        <v>17</v>
      </c>
      <c r="F256" s="38">
        <v>0</v>
      </c>
      <c r="G256" s="39" t="str">
        <f>VLOOKUP('Data 1'!$B256,'Data 2'!$A$1:$F$46,MATCH('Data 1'!G$1,'Data 2'!$A$1:$F$1,0),0)</f>
        <v>Product12</v>
      </c>
      <c r="H256" s="39" t="str">
        <f>VLOOKUP('Data 1'!$B256,'Data 2'!$A$1:$F$46,MATCH('Data 1'!H$1,'Data 2'!$A$1:$F$1,0),0)</f>
        <v>Category02</v>
      </c>
      <c r="I256" s="39" t="str">
        <f>VLOOKUP('Data 1'!$B256,'Data 2'!$A$1:$F$46,MATCH('Data 1'!I$1,'Data 2'!$A$1:$F$1,0),0)</f>
        <v>Kg</v>
      </c>
      <c r="J256" s="39">
        <f>VLOOKUP('Data 1'!$B256,'Data 2'!$A$1:$F$46,MATCH('Data 1'!J$1,'Data 2'!$A$1:$F$1,0),0)</f>
        <v>73</v>
      </c>
      <c r="K256" s="39">
        <f>VLOOKUP('Data 1'!$B256,'Data 2'!$A$1:$F$46,MATCH('Data 1'!K$1,'Data 2'!$A$1:$F$1,0),0)</f>
        <v>94.17</v>
      </c>
      <c r="L256" s="40">
        <f>SUM('Data 1'!$J256*'Data 1'!$C256)</f>
        <v>1022</v>
      </c>
      <c r="M256" s="40">
        <f>'Data 1'!$C256*'Data 1'!$K256</f>
        <v>1318.38</v>
      </c>
      <c r="N256" s="40">
        <f>'Data 1'!$M256-'Data 1'!$L256</f>
        <v>296.38000000000011</v>
      </c>
      <c r="O256" s="37">
        <f>DAY('Data 1'!$A256)</f>
        <v>20</v>
      </c>
      <c r="P256" s="37" t="str">
        <f>TEXT('Data 1'!$A256,"mmm")</f>
        <v>Dec</v>
      </c>
      <c r="Q256" s="41">
        <f>YEAR('Data 1'!$A256)</f>
        <v>2021</v>
      </c>
    </row>
    <row r="257" spans="1:17" x14ac:dyDescent="0.3">
      <c r="A257" s="35">
        <v>44551</v>
      </c>
      <c r="B257" s="36" t="s">
        <v>61</v>
      </c>
      <c r="C257" s="37">
        <v>10</v>
      </c>
      <c r="D257" s="37" t="s">
        <v>17</v>
      </c>
      <c r="E257" s="37" t="s">
        <v>19</v>
      </c>
      <c r="F257" s="38">
        <v>0</v>
      </c>
      <c r="G257" s="42" t="str">
        <f>VLOOKUP('Data 1'!$B257,'Data 2'!$A$1:$F$46,MATCH('Data 1'!G$1,'Data 2'!$A$1:$F$1,0),0)</f>
        <v>Product26</v>
      </c>
      <c r="H257" s="42" t="str">
        <f>VLOOKUP('Data 1'!$B257,'Data 2'!$A$1:$F$46,MATCH('Data 1'!H$1,'Data 2'!$A$1:$F$1,0),0)</f>
        <v>Category04</v>
      </c>
      <c r="I257" s="42" t="str">
        <f>VLOOKUP('Data 1'!$B257,'Data 2'!$A$1:$F$46,MATCH('Data 1'!I$1,'Data 2'!$A$1:$F$1,0),0)</f>
        <v>No.</v>
      </c>
      <c r="J257" s="42">
        <f>VLOOKUP('Data 1'!$B257,'Data 2'!$A$1:$F$46,MATCH('Data 1'!J$1,'Data 2'!$A$1:$F$1,0),0)</f>
        <v>18</v>
      </c>
      <c r="K257" s="42">
        <f>VLOOKUP('Data 1'!$B257,'Data 2'!$A$1:$F$46,MATCH('Data 1'!K$1,'Data 2'!$A$1:$F$1,0),0)</f>
        <v>24.66</v>
      </c>
      <c r="L257" s="40">
        <f>SUM('Data 1'!$J257*'Data 1'!$C257)</f>
        <v>180</v>
      </c>
      <c r="M257" s="40">
        <f>'Data 1'!$C257*'Data 1'!$K257</f>
        <v>246.6</v>
      </c>
      <c r="N257" s="40">
        <f>'Data 1'!$M257-'Data 1'!$L257</f>
        <v>66.599999999999994</v>
      </c>
      <c r="O257" s="37">
        <f>DAY('Data 1'!$A257)</f>
        <v>21</v>
      </c>
      <c r="P257" s="37" t="str">
        <f>TEXT('Data 1'!$A257,"mmm")</f>
        <v>Dec</v>
      </c>
      <c r="Q257" s="41">
        <f>YEAR('Data 1'!$A257)</f>
        <v>2021</v>
      </c>
    </row>
    <row r="258" spans="1:17" x14ac:dyDescent="0.3">
      <c r="A258" s="35">
        <v>44554</v>
      </c>
      <c r="B258" s="36" t="s">
        <v>29</v>
      </c>
      <c r="C258" s="37">
        <v>8</v>
      </c>
      <c r="D258" s="37" t="s">
        <v>16</v>
      </c>
      <c r="E258" s="37" t="s">
        <v>19</v>
      </c>
      <c r="F258" s="38">
        <v>0</v>
      </c>
      <c r="G258" s="39" t="str">
        <f>VLOOKUP('Data 1'!$B258,'Data 2'!$A$1:$F$46,MATCH('Data 1'!G$1,'Data 2'!$A$1:$F$1,0),0)</f>
        <v>Product42</v>
      </c>
      <c r="H258" s="39" t="str">
        <f>VLOOKUP('Data 1'!$B258,'Data 2'!$A$1:$F$46,MATCH('Data 1'!H$1,'Data 2'!$A$1:$F$1,0),0)</f>
        <v>Category05</v>
      </c>
      <c r="I258" s="39" t="str">
        <f>VLOOKUP('Data 1'!$B258,'Data 2'!$A$1:$F$46,MATCH('Data 1'!I$1,'Data 2'!$A$1:$F$1,0),0)</f>
        <v>Ft</v>
      </c>
      <c r="J258" s="39">
        <f>VLOOKUP('Data 1'!$B258,'Data 2'!$A$1:$F$46,MATCH('Data 1'!J$1,'Data 2'!$A$1:$F$1,0),0)</f>
        <v>120</v>
      </c>
      <c r="K258" s="39">
        <f>VLOOKUP('Data 1'!$B258,'Data 2'!$A$1:$F$46,MATCH('Data 1'!K$1,'Data 2'!$A$1:$F$1,0),0)</f>
        <v>162</v>
      </c>
      <c r="L258" s="40">
        <f>SUM('Data 1'!$J258*'Data 1'!$C258)</f>
        <v>960</v>
      </c>
      <c r="M258" s="40">
        <f>'Data 1'!$C258*'Data 1'!$K258</f>
        <v>1296</v>
      </c>
      <c r="N258" s="40">
        <f>'Data 1'!$M258-'Data 1'!$L258</f>
        <v>336</v>
      </c>
      <c r="O258" s="37">
        <f>DAY('Data 1'!$A258)</f>
        <v>24</v>
      </c>
      <c r="P258" s="37" t="str">
        <f>TEXT('Data 1'!$A258,"mmm")</f>
        <v>Dec</v>
      </c>
      <c r="Q258" s="41">
        <f>YEAR('Data 1'!$A258)</f>
        <v>2021</v>
      </c>
    </row>
    <row r="259" spans="1:17" x14ac:dyDescent="0.3">
      <c r="A259" s="35">
        <v>44554</v>
      </c>
      <c r="B259" s="36" t="s">
        <v>62</v>
      </c>
      <c r="C259" s="37">
        <v>8</v>
      </c>
      <c r="D259" s="37" t="s">
        <v>16</v>
      </c>
      <c r="E259" s="37" t="s">
        <v>17</v>
      </c>
      <c r="F259" s="38">
        <v>0</v>
      </c>
      <c r="G259" s="42" t="str">
        <f>VLOOKUP('Data 1'!$B259,'Data 2'!$A$1:$F$46,MATCH('Data 1'!G$1,'Data 2'!$A$1:$F$1,0),0)</f>
        <v>Product36</v>
      </c>
      <c r="H259" s="42" t="str">
        <f>VLOOKUP('Data 1'!$B259,'Data 2'!$A$1:$F$46,MATCH('Data 1'!H$1,'Data 2'!$A$1:$F$1,0),0)</f>
        <v>Category04</v>
      </c>
      <c r="I259" s="42" t="str">
        <f>VLOOKUP('Data 1'!$B259,'Data 2'!$A$1:$F$46,MATCH('Data 1'!I$1,'Data 2'!$A$1:$F$1,0),0)</f>
        <v>Kg</v>
      </c>
      <c r="J259" s="42">
        <f>VLOOKUP('Data 1'!$B259,'Data 2'!$A$1:$F$46,MATCH('Data 1'!J$1,'Data 2'!$A$1:$F$1,0),0)</f>
        <v>90</v>
      </c>
      <c r="K259" s="42">
        <f>VLOOKUP('Data 1'!$B259,'Data 2'!$A$1:$F$46,MATCH('Data 1'!K$1,'Data 2'!$A$1:$F$1,0),0)</f>
        <v>96.3</v>
      </c>
      <c r="L259" s="40">
        <f>SUM('Data 1'!$J259*'Data 1'!$C259)</f>
        <v>720</v>
      </c>
      <c r="M259" s="40">
        <f>'Data 1'!$C259*'Data 1'!$K259</f>
        <v>770.4</v>
      </c>
      <c r="N259" s="40">
        <f>'Data 1'!$M259-'Data 1'!$L259</f>
        <v>50.399999999999977</v>
      </c>
      <c r="O259" s="37">
        <f>DAY('Data 1'!$A259)</f>
        <v>24</v>
      </c>
      <c r="P259" s="37" t="str">
        <f>TEXT('Data 1'!$A259,"mmm")</f>
        <v>Dec</v>
      </c>
      <c r="Q259" s="41">
        <f>YEAR('Data 1'!$A259)</f>
        <v>2021</v>
      </c>
    </row>
    <row r="260" spans="1:17" x14ac:dyDescent="0.3">
      <c r="A260" s="35">
        <v>44556</v>
      </c>
      <c r="B260" s="36" t="s">
        <v>60</v>
      </c>
      <c r="C260" s="37">
        <v>14</v>
      </c>
      <c r="D260" s="37" t="s">
        <v>17</v>
      </c>
      <c r="E260" s="37" t="s">
        <v>19</v>
      </c>
      <c r="F260" s="38">
        <v>0</v>
      </c>
      <c r="G260" s="39" t="str">
        <f>VLOOKUP('Data 1'!$B260,'Data 2'!$A$1:$F$46,MATCH('Data 1'!G$1,'Data 2'!$A$1:$F$1,0),0)</f>
        <v>Product41</v>
      </c>
      <c r="H260" s="39" t="str">
        <f>VLOOKUP('Data 1'!$B260,'Data 2'!$A$1:$F$46,MATCH('Data 1'!H$1,'Data 2'!$A$1:$F$1,0),0)</f>
        <v>Category05</v>
      </c>
      <c r="I260" s="39" t="str">
        <f>VLOOKUP('Data 1'!$B260,'Data 2'!$A$1:$F$46,MATCH('Data 1'!I$1,'Data 2'!$A$1:$F$1,0),0)</f>
        <v>Ft</v>
      </c>
      <c r="J260" s="39">
        <f>VLOOKUP('Data 1'!$B260,'Data 2'!$A$1:$F$46,MATCH('Data 1'!J$1,'Data 2'!$A$1:$F$1,0),0)</f>
        <v>138</v>
      </c>
      <c r="K260" s="39">
        <f>VLOOKUP('Data 1'!$B260,'Data 2'!$A$1:$F$46,MATCH('Data 1'!K$1,'Data 2'!$A$1:$F$1,0),0)</f>
        <v>173.88</v>
      </c>
      <c r="L260" s="40">
        <f>SUM('Data 1'!$J260*'Data 1'!$C260)</f>
        <v>1932</v>
      </c>
      <c r="M260" s="40">
        <f>'Data 1'!$C260*'Data 1'!$K260</f>
        <v>2434.3199999999997</v>
      </c>
      <c r="N260" s="40">
        <f>'Data 1'!$M260-'Data 1'!$L260</f>
        <v>502.31999999999971</v>
      </c>
      <c r="O260" s="37">
        <f>DAY('Data 1'!$A260)</f>
        <v>26</v>
      </c>
      <c r="P260" s="37" t="str">
        <f>TEXT('Data 1'!$A260,"mmm")</f>
        <v>Dec</v>
      </c>
      <c r="Q260" s="41">
        <f>YEAR('Data 1'!$A260)</f>
        <v>2021</v>
      </c>
    </row>
    <row r="261" spans="1:17" x14ac:dyDescent="0.3">
      <c r="A261" s="35">
        <v>44557</v>
      </c>
      <c r="B261" s="36" t="s">
        <v>38</v>
      </c>
      <c r="C261" s="37">
        <v>14</v>
      </c>
      <c r="D261" s="37" t="s">
        <v>21</v>
      </c>
      <c r="E261" s="37" t="s">
        <v>19</v>
      </c>
      <c r="F261" s="38">
        <v>0</v>
      </c>
      <c r="G261" s="42" t="str">
        <f>VLOOKUP('Data 1'!$B261,'Data 2'!$A$1:$F$46,MATCH('Data 1'!G$1,'Data 2'!$A$1:$F$1,0),0)</f>
        <v>Product29</v>
      </c>
      <c r="H261" s="42" t="str">
        <f>VLOOKUP('Data 1'!$B261,'Data 2'!$A$1:$F$46,MATCH('Data 1'!H$1,'Data 2'!$A$1:$F$1,0),0)</f>
        <v>Category04</v>
      </c>
      <c r="I261" s="42" t="str">
        <f>VLOOKUP('Data 1'!$B261,'Data 2'!$A$1:$F$46,MATCH('Data 1'!I$1,'Data 2'!$A$1:$F$1,0),0)</f>
        <v>Lt</v>
      </c>
      <c r="J261" s="42">
        <f>VLOOKUP('Data 1'!$B261,'Data 2'!$A$1:$F$46,MATCH('Data 1'!J$1,'Data 2'!$A$1:$F$1,0),0)</f>
        <v>47</v>
      </c>
      <c r="K261" s="42">
        <f>VLOOKUP('Data 1'!$B261,'Data 2'!$A$1:$F$46,MATCH('Data 1'!K$1,'Data 2'!$A$1:$F$1,0),0)</f>
        <v>53.11</v>
      </c>
      <c r="L261" s="40">
        <f>SUM('Data 1'!$J261*'Data 1'!$C261)</f>
        <v>658</v>
      </c>
      <c r="M261" s="40">
        <f>'Data 1'!$C261*'Data 1'!$K261</f>
        <v>743.54</v>
      </c>
      <c r="N261" s="40">
        <f>'Data 1'!$M261-'Data 1'!$L261</f>
        <v>85.539999999999964</v>
      </c>
      <c r="O261" s="37">
        <f>DAY('Data 1'!$A261)</f>
        <v>27</v>
      </c>
      <c r="P261" s="37" t="str">
        <f>TEXT('Data 1'!$A261,"mmm")</f>
        <v>Dec</v>
      </c>
      <c r="Q261" s="41">
        <f>YEAR('Data 1'!$A261)</f>
        <v>2021</v>
      </c>
    </row>
    <row r="262" spans="1:17" x14ac:dyDescent="0.3">
      <c r="A262" s="35">
        <v>44558</v>
      </c>
      <c r="B262" s="36" t="s">
        <v>38</v>
      </c>
      <c r="C262" s="37">
        <v>6</v>
      </c>
      <c r="D262" s="37" t="s">
        <v>21</v>
      </c>
      <c r="E262" s="37" t="s">
        <v>19</v>
      </c>
      <c r="F262" s="38">
        <v>0</v>
      </c>
      <c r="G262" s="39" t="str">
        <f>VLOOKUP('Data 1'!$B262,'Data 2'!$A$1:$F$46,MATCH('Data 1'!G$1,'Data 2'!$A$1:$F$1,0),0)</f>
        <v>Product29</v>
      </c>
      <c r="H262" s="39" t="str">
        <f>VLOOKUP('Data 1'!$B262,'Data 2'!$A$1:$F$46,MATCH('Data 1'!H$1,'Data 2'!$A$1:$F$1,0),0)</f>
        <v>Category04</v>
      </c>
      <c r="I262" s="39" t="str">
        <f>VLOOKUP('Data 1'!$B262,'Data 2'!$A$1:$F$46,MATCH('Data 1'!I$1,'Data 2'!$A$1:$F$1,0),0)</f>
        <v>Lt</v>
      </c>
      <c r="J262" s="39">
        <f>VLOOKUP('Data 1'!$B262,'Data 2'!$A$1:$F$46,MATCH('Data 1'!J$1,'Data 2'!$A$1:$F$1,0),0)</f>
        <v>47</v>
      </c>
      <c r="K262" s="39">
        <f>VLOOKUP('Data 1'!$B262,'Data 2'!$A$1:$F$46,MATCH('Data 1'!K$1,'Data 2'!$A$1:$F$1,0),0)</f>
        <v>53.11</v>
      </c>
      <c r="L262" s="40">
        <f>SUM('Data 1'!$J262*'Data 1'!$C262)</f>
        <v>282</v>
      </c>
      <c r="M262" s="40">
        <f>'Data 1'!$C262*'Data 1'!$K262</f>
        <v>318.65999999999997</v>
      </c>
      <c r="N262" s="40">
        <f>'Data 1'!$M262-'Data 1'!$L262</f>
        <v>36.659999999999968</v>
      </c>
      <c r="O262" s="37">
        <f>DAY('Data 1'!$A262)</f>
        <v>28</v>
      </c>
      <c r="P262" s="37" t="str">
        <f>TEXT('Data 1'!$A262,"mmm")</f>
        <v>Dec</v>
      </c>
      <c r="Q262" s="41">
        <f>YEAR('Data 1'!$A262)</f>
        <v>2021</v>
      </c>
    </row>
    <row r="263" spans="1:17" x14ac:dyDescent="0.3">
      <c r="A263" s="35">
        <v>44560</v>
      </c>
      <c r="B263" s="36" t="s">
        <v>39</v>
      </c>
      <c r="C263" s="37">
        <v>13</v>
      </c>
      <c r="D263" s="37" t="s">
        <v>17</v>
      </c>
      <c r="E263" s="37" t="s">
        <v>17</v>
      </c>
      <c r="F263" s="38">
        <v>0</v>
      </c>
      <c r="G263" s="42" t="str">
        <f>VLOOKUP('Data 1'!$B263,'Data 2'!$A$1:$F$46,MATCH('Data 1'!G$1,'Data 2'!$A$1:$F$1,0),0)</f>
        <v>Product10</v>
      </c>
      <c r="H263" s="42" t="str">
        <f>VLOOKUP('Data 1'!$B263,'Data 2'!$A$1:$F$46,MATCH('Data 1'!H$1,'Data 2'!$A$1:$F$1,0),0)</f>
        <v>Category02</v>
      </c>
      <c r="I263" s="42" t="str">
        <f>VLOOKUP('Data 1'!$B263,'Data 2'!$A$1:$F$46,MATCH('Data 1'!I$1,'Data 2'!$A$1:$F$1,0),0)</f>
        <v>Ft</v>
      </c>
      <c r="J263" s="42">
        <f>VLOOKUP('Data 1'!$B263,'Data 2'!$A$1:$F$46,MATCH('Data 1'!J$1,'Data 2'!$A$1:$F$1,0),0)</f>
        <v>148</v>
      </c>
      <c r="K263" s="42">
        <f>VLOOKUP('Data 1'!$B263,'Data 2'!$A$1:$F$46,MATCH('Data 1'!K$1,'Data 2'!$A$1:$F$1,0),0)</f>
        <v>164.28</v>
      </c>
      <c r="L263" s="40">
        <f>SUM('Data 1'!$J263*'Data 1'!$C263)</f>
        <v>1924</v>
      </c>
      <c r="M263" s="40">
        <f>'Data 1'!$C263*'Data 1'!$K263</f>
        <v>2135.64</v>
      </c>
      <c r="N263" s="40">
        <f>'Data 1'!$M263-'Data 1'!$L263</f>
        <v>211.63999999999987</v>
      </c>
      <c r="O263" s="37">
        <f>DAY('Data 1'!$A263)</f>
        <v>30</v>
      </c>
      <c r="P263" s="37" t="str">
        <f>TEXT('Data 1'!$A263,"mmm")</f>
        <v>Dec</v>
      </c>
      <c r="Q263" s="41">
        <f>YEAR('Data 1'!$A263)</f>
        <v>2021</v>
      </c>
    </row>
    <row r="264" spans="1:17" x14ac:dyDescent="0.3">
      <c r="A264" s="35">
        <v>44562</v>
      </c>
      <c r="B264" s="36" t="s">
        <v>41</v>
      </c>
      <c r="C264" s="37">
        <v>1</v>
      </c>
      <c r="D264" s="37" t="s">
        <v>16</v>
      </c>
      <c r="E264" s="37" t="s">
        <v>19</v>
      </c>
      <c r="F264" s="38">
        <v>0</v>
      </c>
      <c r="G264" s="39" t="str">
        <f>VLOOKUP('Data 1'!$B264,'Data 2'!$A$1:$F$46,MATCH('Data 1'!G$1,'Data 2'!$A$1:$F$1,0),0)</f>
        <v>Product22</v>
      </c>
      <c r="H264" s="39" t="str">
        <f>VLOOKUP('Data 1'!$B264,'Data 2'!$A$1:$F$46,MATCH('Data 1'!H$1,'Data 2'!$A$1:$F$1,0),0)</f>
        <v>Category03</v>
      </c>
      <c r="I264" s="39" t="str">
        <f>VLOOKUP('Data 1'!$B264,'Data 2'!$A$1:$F$46,MATCH('Data 1'!I$1,'Data 2'!$A$1:$F$1,0),0)</f>
        <v>Ft</v>
      </c>
      <c r="J264" s="39">
        <f>VLOOKUP('Data 1'!$B264,'Data 2'!$A$1:$F$46,MATCH('Data 1'!J$1,'Data 2'!$A$1:$F$1,0),0)</f>
        <v>121</v>
      </c>
      <c r="K264" s="39">
        <f>VLOOKUP('Data 1'!$B264,'Data 2'!$A$1:$F$46,MATCH('Data 1'!K$1,'Data 2'!$A$1:$F$1,0),0)</f>
        <v>141.57</v>
      </c>
      <c r="L264" s="40">
        <f>SUM('Data 1'!$J264*'Data 1'!$C264)</f>
        <v>121</v>
      </c>
      <c r="M264" s="40">
        <f>'Data 1'!$C264*'Data 1'!$K264</f>
        <v>141.57</v>
      </c>
      <c r="N264" s="40">
        <f>'Data 1'!$M264-'Data 1'!$L264</f>
        <v>20.569999999999993</v>
      </c>
      <c r="O264" s="37">
        <f>DAY('Data 1'!$A264)</f>
        <v>1</v>
      </c>
      <c r="P264" s="37" t="str">
        <f>TEXT('Data 1'!$A264,"mmm")</f>
        <v>Jan</v>
      </c>
      <c r="Q264" s="41">
        <f>YEAR('Data 1'!$A264)</f>
        <v>2022</v>
      </c>
    </row>
    <row r="265" spans="1:17" x14ac:dyDescent="0.3">
      <c r="A265" s="35">
        <v>44563</v>
      </c>
      <c r="B265" s="36" t="s">
        <v>39</v>
      </c>
      <c r="C265" s="37">
        <v>7</v>
      </c>
      <c r="D265" s="37" t="s">
        <v>21</v>
      </c>
      <c r="E265" s="37" t="s">
        <v>19</v>
      </c>
      <c r="F265" s="38">
        <v>0</v>
      </c>
      <c r="G265" s="42" t="str">
        <f>VLOOKUP('Data 1'!$B265,'Data 2'!$A$1:$F$46,MATCH('Data 1'!G$1,'Data 2'!$A$1:$F$1,0),0)</f>
        <v>Product10</v>
      </c>
      <c r="H265" s="42" t="str">
        <f>VLOOKUP('Data 1'!$B265,'Data 2'!$A$1:$F$46,MATCH('Data 1'!H$1,'Data 2'!$A$1:$F$1,0),0)</f>
        <v>Category02</v>
      </c>
      <c r="I265" s="42" t="str">
        <f>VLOOKUP('Data 1'!$B265,'Data 2'!$A$1:$F$46,MATCH('Data 1'!I$1,'Data 2'!$A$1:$F$1,0),0)</f>
        <v>Ft</v>
      </c>
      <c r="J265" s="42">
        <f>VLOOKUP('Data 1'!$B265,'Data 2'!$A$1:$F$46,MATCH('Data 1'!J$1,'Data 2'!$A$1:$F$1,0),0)</f>
        <v>148</v>
      </c>
      <c r="K265" s="42">
        <f>VLOOKUP('Data 1'!$B265,'Data 2'!$A$1:$F$46,MATCH('Data 1'!K$1,'Data 2'!$A$1:$F$1,0),0)</f>
        <v>164.28</v>
      </c>
      <c r="L265" s="40">
        <f>SUM('Data 1'!$J265*'Data 1'!$C265)</f>
        <v>1036</v>
      </c>
      <c r="M265" s="40">
        <f>'Data 1'!$C265*'Data 1'!$K265</f>
        <v>1149.96</v>
      </c>
      <c r="N265" s="40">
        <f>'Data 1'!$M265-'Data 1'!$L265</f>
        <v>113.96000000000004</v>
      </c>
      <c r="O265" s="37">
        <f>DAY('Data 1'!$A265)</f>
        <v>2</v>
      </c>
      <c r="P265" s="37" t="str">
        <f>TEXT('Data 1'!$A265,"mmm")</f>
        <v>Jan</v>
      </c>
      <c r="Q265" s="41">
        <f>YEAR('Data 1'!$A265)</f>
        <v>2022</v>
      </c>
    </row>
    <row r="266" spans="1:17" x14ac:dyDescent="0.3">
      <c r="A266" s="35">
        <v>44563</v>
      </c>
      <c r="B266" s="36" t="s">
        <v>46</v>
      </c>
      <c r="C266" s="37">
        <v>2</v>
      </c>
      <c r="D266" s="37" t="s">
        <v>17</v>
      </c>
      <c r="E266" s="37" t="s">
        <v>19</v>
      </c>
      <c r="F266" s="38">
        <v>0</v>
      </c>
      <c r="G266" s="39" t="str">
        <f>VLOOKUP('Data 1'!$B266,'Data 2'!$A$1:$F$46,MATCH('Data 1'!G$1,'Data 2'!$A$1:$F$1,0),0)</f>
        <v>Product15</v>
      </c>
      <c r="H266" s="39" t="str">
        <f>VLOOKUP('Data 1'!$B266,'Data 2'!$A$1:$F$46,MATCH('Data 1'!H$1,'Data 2'!$A$1:$F$1,0),0)</f>
        <v>Category02</v>
      </c>
      <c r="I266" s="39" t="str">
        <f>VLOOKUP('Data 1'!$B266,'Data 2'!$A$1:$F$46,MATCH('Data 1'!I$1,'Data 2'!$A$1:$F$1,0),0)</f>
        <v>No.</v>
      </c>
      <c r="J266" s="39">
        <f>VLOOKUP('Data 1'!$B266,'Data 2'!$A$1:$F$46,MATCH('Data 1'!J$1,'Data 2'!$A$1:$F$1,0),0)</f>
        <v>12</v>
      </c>
      <c r="K266" s="39">
        <f>VLOOKUP('Data 1'!$B266,'Data 2'!$A$1:$F$46,MATCH('Data 1'!K$1,'Data 2'!$A$1:$F$1,0),0)</f>
        <v>15.719999999999999</v>
      </c>
      <c r="L266" s="40">
        <f>SUM('Data 1'!$J266*'Data 1'!$C266)</f>
        <v>24</v>
      </c>
      <c r="M266" s="40">
        <f>'Data 1'!$C266*'Data 1'!$K266</f>
        <v>31.439999999999998</v>
      </c>
      <c r="N266" s="40">
        <f>'Data 1'!$M266-'Data 1'!$L266</f>
        <v>7.4399999999999977</v>
      </c>
      <c r="O266" s="37">
        <f>DAY('Data 1'!$A266)</f>
        <v>2</v>
      </c>
      <c r="P266" s="37" t="str">
        <f>TEXT('Data 1'!$A266,"mmm")</f>
        <v>Jan</v>
      </c>
      <c r="Q266" s="41">
        <f>YEAR('Data 1'!$A266)</f>
        <v>2022</v>
      </c>
    </row>
    <row r="267" spans="1:17" x14ac:dyDescent="0.3">
      <c r="A267" s="35">
        <v>44563</v>
      </c>
      <c r="B267" s="36" t="s">
        <v>57</v>
      </c>
      <c r="C267" s="37">
        <v>1</v>
      </c>
      <c r="D267" s="37" t="s">
        <v>21</v>
      </c>
      <c r="E267" s="37" t="s">
        <v>19</v>
      </c>
      <c r="F267" s="38">
        <v>0</v>
      </c>
      <c r="G267" s="42" t="str">
        <f>VLOOKUP('Data 1'!$B267,'Data 2'!$A$1:$F$46,MATCH('Data 1'!G$1,'Data 2'!$A$1:$F$1,0),0)</f>
        <v>Product33</v>
      </c>
      <c r="H267" s="42" t="str">
        <f>VLOOKUP('Data 1'!$B267,'Data 2'!$A$1:$F$46,MATCH('Data 1'!H$1,'Data 2'!$A$1:$F$1,0),0)</f>
        <v>Category04</v>
      </c>
      <c r="I267" s="42" t="str">
        <f>VLOOKUP('Data 1'!$B267,'Data 2'!$A$1:$F$46,MATCH('Data 1'!I$1,'Data 2'!$A$1:$F$1,0),0)</f>
        <v>Kg</v>
      </c>
      <c r="J267" s="42">
        <f>VLOOKUP('Data 1'!$B267,'Data 2'!$A$1:$F$46,MATCH('Data 1'!J$1,'Data 2'!$A$1:$F$1,0),0)</f>
        <v>95</v>
      </c>
      <c r="K267" s="42">
        <f>VLOOKUP('Data 1'!$B267,'Data 2'!$A$1:$F$46,MATCH('Data 1'!K$1,'Data 2'!$A$1:$F$1,0),0)</f>
        <v>119.7</v>
      </c>
      <c r="L267" s="40">
        <f>SUM('Data 1'!$J267*'Data 1'!$C267)</f>
        <v>95</v>
      </c>
      <c r="M267" s="40">
        <f>'Data 1'!$C267*'Data 1'!$K267</f>
        <v>119.7</v>
      </c>
      <c r="N267" s="40">
        <f>'Data 1'!$M267-'Data 1'!$L267</f>
        <v>24.700000000000003</v>
      </c>
      <c r="O267" s="37">
        <f>DAY('Data 1'!$A267)</f>
        <v>2</v>
      </c>
      <c r="P267" s="37" t="str">
        <f>TEXT('Data 1'!$A267,"mmm")</f>
        <v>Jan</v>
      </c>
      <c r="Q267" s="41">
        <f>YEAR('Data 1'!$A267)</f>
        <v>2022</v>
      </c>
    </row>
    <row r="268" spans="1:17" x14ac:dyDescent="0.3">
      <c r="A268" s="35">
        <v>44564</v>
      </c>
      <c r="B268" s="36" t="s">
        <v>42</v>
      </c>
      <c r="C268" s="37">
        <v>9</v>
      </c>
      <c r="D268" s="37" t="s">
        <v>21</v>
      </c>
      <c r="E268" s="37" t="s">
        <v>19</v>
      </c>
      <c r="F268" s="38">
        <v>0</v>
      </c>
      <c r="G268" s="39" t="str">
        <f>VLOOKUP('Data 1'!$B268,'Data 2'!$A$1:$F$46,MATCH('Data 1'!G$1,'Data 2'!$A$1:$F$1,0),0)</f>
        <v>Product43</v>
      </c>
      <c r="H268" s="39" t="str">
        <f>VLOOKUP('Data 1'!$B268,'Data 2'!$A$1:$F$46,MATCH('Data 1'!H$1,'Data 2'!$A$1:$F$1,0),0)</f>
        <v>Category05</v>
      </c>
      <c r="I268" s="39" t="str">
        <f>VLOOKUP('Data 1'!$B268,'Data 2'!$A$1:$F$46,MATCH('Data 1'!I$1,'Data 2'!$A$1:$F$1,0),0)</f>
        <v>Kg</v>
      </c>
      <c r="J268" s="39">
        <f>VLOOKUP('Data 1'!$B268,'Data 2'!$A$1:$F$46,MATCH('Data 1'!J$1,'Data 2'!$A$1:$F$1,0),0)</f>
        <v>67</v>
      </c>
      <c r="K268" s="39">
        <f>VLOOKUP('Data 1'!$B268,'Data 2'!$A$1:$F$46,MATCH('Data 1'!K$1,'Data 2'!$A$1:$F$1,0),0)</f>
        <v>83.08</v>
      </c>
      <c r="L268" s="40">
        <f>SUM('Data 1'!$J268*'Data 1'!$C268)</f>
        <v>603</v>
      </c>
      <c r="M268" s="40">
        <f>'Data 1'!$C268*'Data 1'!$K268</f>
        <v>747.72</v>
      </c>
      <c r="N268" s="40">
        <f>'Data 1'!$M268-'Data 1'!$L268</f>
        <v>144.72000000000003</v>
      </c>
      <c r="O268" s="37">
        <f>DAY('Data 1'!$A268)</f>
        <v>3</v>
      </c>
      <c r="P268" s="37" t="str">
        <f>TEXT('Data 1'!$A268,"mmm")</f>
        <v>Jan</v>
      </c>
      <c r="Q268" s="41">
        <f>YEAR('Data 1'!$A268)</f>
        <v>2022</v>
      </c>
    </row>
    <row r="269" spans="1:17" x14ac:dyDescent="0.3">
      <c r="A269" s="35">
        <v>44565</v>
      </c>
      <c r="B269" s="36" t="s">
        <v>54</v>
      </c>
      <c r="C269" s="37">
        <v>8</v>
      </c>
      <c r="D269" s="37" t="s">
        <v>21</v>
      </c>
      <c r="E269" s="37" t="s">
        <v>17</v>
      </c>
      <c r="F269" s="38">
        <v>0</v>
      </c>
      <c r="G269" s="42" t="str">
        <f>VLOOKUP('Data 1'!$B269,'Data 2'!$A$1:$F$46,MATCH('Data 1'!G$1,'Data 2'!$A$1:$F$1,0),0)</f>
        <v>Product12</v>
      </c>
      <c r="H269" s="42" t="str">
        <f>VLOOKUP('Data 1'!$B269,'Data 2'!$A$1:$F$46,MATCH('Data 1'!H$1,'Data 2'!$A$1:$F$1,0),0)</f>
        <v>Category02</v>
      </c>
      <c r="I269" s="42" t="str">
        <f>VLOOKUP('Data 1'!$B269,'Data 2'!$A$1:$F$46,MATCH('Data 1'!I$1,'Data 2'!$A$1:$F$1,0),0)</f>
        <v>Kg</v>
      </c>
      <c r="J269" s="42">
        <f>VLOOKUP('Data 1'!$B269,'Data 2'!$A$1:$F$46,MATCH('Data 1'!J$1,'Data 2'!$A$1:$F$1,0),0)</f>
        <v>73</v>
      </c>
      <c r="K269" s="42">
        <f>VLOOKUP('Data 1'!$B269,'Data 2'!$A$1:$F$46,MATCH('Data 1'!K$1,'Data 2'!$A$1:$F$1,0),0)</f>
        <v>94.17</v>
      </c>
      <c r="L269" s="40">
        <f>SUM('Data 1'!$J269*'Data 1'!$C269)</f>
        <v>584</v>
      </c>
      <c r="M269" s="40">
        <f>'Data 1'!$C269*'Data 1'!$K269</f>
        <v>753.36</v>
      </c>
      <c r="N269" s="40">
        <f>'Data 1'!$M269-'Data 1'!$L269</f>
        <v>169.36</v>
      </c>
      <c r="O269" s="37">
        <f>DAY('Data 1'!$A269)</f>
        <v>4</v>
      </c>
      <c r="P269" s="37" t="str">
        <f>TEXT('Data 1'!$A269,"mmm")</f>
        <v>Jan</v>
      </c>
      <c r="Q269" s="41">
        <f>YEAR('Data 1'!$A269)</f>
        <v>2022</v>
      </c>
    </row>
    <row r="270" spans="1:17" x14ac:dyDescent="0.3">
      <c r="A270" s="35">
        <v>44565</v>
      </c>
      <c r="B270" s="36" t="s">
        <v>38</v>
      </c>
      <c r="C270" s="37">
        <v>1</v>
      </c>
      <c r="D270" s="37" t="s">
        <v>17</v>
      </c>
      <c r="E270" s="37" t="s">
        <v>17</v>
      </c>
      <c r="F270" s="38">
        <v>0</v>
      </c>
      <c r="G270" s="39" t="str">
        <f>VLOOKUP('Data 1'!$B270,'Data 2'!$A$1:$F$46,MATCH('Data 1'!G$1,'Data 2'!$A$1:$F$1,0),0)</f>
        <v>Product29</v>
      </c>
      <c r="H270" s="39" t="str">
        <f>VLOOKUP('Data 1'!$B270,'Data 2'!$A$1:$F$46,MATCH('Data 1'!H$1,'Data 2'!$A$1:$F$1,0),0)</f>
        <v>Category04</v>
      </c>
      <c r="I270" s="39" t="str">
        <f>VLOOKUP('Data 1'!$B270,'Data 2'!$A$1:$F$46,MATCH('Data 1'!I$1,'Data 2'!$A$1:$F$1,0),0)</f>
        <v>Lt</v>
      </c>
      <c r="J270" s="39">
        <f>VLOOKUP('Data 1'!$B270,'Data 2'!$A$1:$F$46,MATCH('Data 1'!J$1,'Data 2'!$A$1:$F$1,0),0)</f>
        <v>47</v>
      </c>
      <c r="K270" s="39">
        <f>VLOOKUP('Data 1'!$B270,'Data 2'!$A$1:$F$46,MATCH('Data 1'!K$1,'Data 2'!$A$1:$F$1,0),0)</f>
        <v>53.11</v>
      </c>
      <c r="L270" s="40">
        <f>SUM('Data 1'!$J270*'Data 1'!$C270)</f>
        <v>47</v>
      </c>
      <c r="M270" s="40">
        <f>'Data 1'!$C270*'Data 1'!$K270</f>
        <v>53.11</v>
      </c>
      <c r="N270" s="40">
        <f>'Data 1'!$M270-'Data 1'!$L270</f>
        <v>6.1099999999999994</v>
      </c>
      <c r="O270" s="37">
        <f>DAY('Data 1'!$A270)</f>
        <v>4</v>
      </c>
      <c r="P270" s="37" t="str">
        <f>TEXT('Data 1'!$A270,"mmm")</f>
        <v>Jan</v>
      </c>
      <c r="Q270" s="41">
        <f>YEAR('Data 1'!$A270)</f>
        <v>2022</v>
      </c>
    </row>
    <row r="271" spans="1:17" x14ac:dyDescent="0.3">
      <c r="A271" s="35">
        <v>44570</v>
      </c>
      <c r="B271" s="36" t="s">
        <v>37</v>
      </c>
      <c r="C271" s="37">
        <v>12</v>
      </c>
      <c r="D271" s="37" t="s">
        <v>21</v>
      </c>
      <c r="E271" s="37" t="s">
        <v>17</v>
      </c>
      <c r="F271" s="38">
        <v>0</v>
      </c>
      <c r="G271" s="42" t="str">
        <f>VLOOKUP('Data 1'!$B271,'Data 2'!$A$1:$F$46,MATCH('Data 1'!G$1,'Data 2'!$A$1:$F$1,0),0)</f>
        <v>Product32</v>
      </c>
      <c r="H271" s="42" t="str">
        <f>VLOOKUP('Data 1'!$B271,'Data 2'!$A$1:$F$46,MATCH('Data 1'!H$1,'Data 2'!$A$1:$F$1,0),0)</f>
        <v>Category04</v>
      </c>
      <c r="I271" s="42" t="str">
        <f>VLOOKUP('Data 1'!$B271,'Data 2'!$A$1:$F$46,MATCH('Data 1'!I$1,'Data 2'!$A$1:$F$1,0),0)</f>
        <v>Kg</v>
      </c>
      <c r="J271" s="42">
        <f>VLOOKUP('Data 1'!$B271,'Data 2'!$A$1:$F$46,MATCH('Data 1'!J$1,'Data 2'!$A$1:$F$1,0),0)</f>
        <v>89</v>
      </c>
      <c r="K271" s="42">
        <f>VLOOKUP('Data 1'!$B271,'Data 2'!$A$1:$F$46,MATCH('Data 1'!K$1,'Data 2'!$A$1:$F$1,0),0)</f>
        <v>117.48</v>
      </c>
      <c r="L271" s="40">
        <f>SUM('Data 1'!$J271*'Data 1'!$C271)</f>
        <v>1068</v>
      </c>
      <c r="M271" s="40">
        <f>'Data 1'!$C271*'Data 1'!$K271</f>
        <v>1409.76</v>
      </c>
      <c r="N271" s="40">
        <f>'Data 1'!$M271-'Data 1'!$L271</f>
        <v>341.76</v>
      </c>
      <c r="O271" s="37">
        <f>DAY('Data 1'!$A271)</f>
        <v>9</v>
      </c>
      <c r="P271" s="37" t="str">
        <f>TEXT('Data 1'!$A271,"mmm")</f>
        <v>Jan</v>
      </c>
      <c r="Q271" s="41">
        <f>YEAR('Data 1'!$A271)</f>
        <v>2022</v>
      </c>
    </row>
    <row r="272" spans="1:17" x14ac:dyDescent="0.3">
      <c r="A272" s="35">
        <v>44571</v>
      </c>
      <c r="B272" s="36" t="s">
        <v>32</v>
      </c>
      <c r="C272" s="37">
        <v>14</v>
      </c>
      <c r="D272" s="37" t="s">
        <v>17</v>
      </c>
      <c r="E272" s="37" t="s">
        <v>17</v>
      </c>
      <c r="F272" s="38">
        <v>0</v>
      </c>
      <c r="G272" s="39" t="str">
        <f>VLOOKUP('Data 1'!$B272,'Data 2'!$A$1:$F$46,MATCH('Data 1'!G$1,'Data 2'!$A$1:$F$1,0),0)</f>
        <v>Product34</v>
      </c>
      <c r="H272" s="39" t="str">
        <f>VLOOKUP('Data 1'!$B272,'Data 2'!$A$1:$F$46,MATCH('Data 1'!H$1,'Data 2'!$A$1:$F$1,0),0)</f>
        <v>Category04</v>
      </c>
      <c r="I272" s="39" t="str">
        <f>VLOOKUP('Data 1'!$B272,'Data 2'!$A$1:$F$46,MATCH('Data 1'!I$1,'Data 2'!$A$1:$F$1,0),0)</f>
        <v>Lt</v>
      </c>
      <c r="J272" s="39">
        <f>VLOOKUP('Data 1'!$B272,'Data 2'!$A$1:$F$46,MATCH('Data 1'!J$1,'Data 2'!$A$1:$F$1,0),0)</f>
        <v>55</v>
      </c>
      <c r="K272" s="39">
        <f>VLOOKUP('Data 1'!$B272,'Data 2'!$A$1:$F$46,MATCH('Data 1'!K$1,'Data 2'!$A$1:$F$1,0),0)</f>
        <v>58.3</v>
      </c>
      <c r="L272" s="40">
        <f>SUM('Data 1'!$J272*'Data 1'!$C272)</f>
        <v>770</v>
      </c>
      <c r="M272" s="40">
        <f>'Data 1'!$C272*'Data 1'!$K272</f>
        <v>816.19999999999993</v>
      </c>
      <c r="N272" s="40">
        <f>'Data 1'!$M272-'Data 1'!$L272</f>
        <v>46.199999999999932</v>
      </c>
      <c r="O272" s="37">
        <f>DAY('Data 1'!$A272)</f>
        <v>10</v>
      </c>
      <c r="P272" s="37" t="str">
        <f>TEXT('Data 1'!$A272,"mmm")</f>
        <v>Jan</v>
      </c>
      <c r="Q272" s="41">
        <f>YEAR('Data 1'!$A272)</f>
        <v>2022</v>
      </c>
    </row>
    <row r="273" spans="1:17" x14ac:dyDescent="0.3">
      <c r="A273" s="35">
        <v>44572</v>
      </c>
      <c r="B273" s="36" t="s">
        <v>37</v>
      </c>
      <c r="C273" s="37">
        <v>2</v>
      </c>
      <c r="D273" s="37" t="s">
        <v>21</v>
      </c>
      <c r="E273" s="37" t="s">
        <v>17</v>
      </c>
      <c r="F273" s="38">
        <v>0</v>
      </c>
      <c r="G273" s="42" t="str">
        <f>VLOOKUP('Data 1'!$B273,'Data 2'!$A$1:$F$46,MATCH('Data 1'!G$1,'Data 2'!$A$1:$F$1,0),0)</f>
        <v>Product32</v>
      </c>
      <c r="H273" s="42" t="str">
        <f>VLOOKUP('Data 1'!$B273,'Data 2'!$A$1:$F$46,MATCH('Data 1'!H$1,'Data 2'!$A$1:$F$1,0),0)</f>
        <v>Category04</v>
      </c>
      <c r="I273" s="42" t="str">
        <f>VLOOKUP('Data 1'!$B273,'Data 2'!$A$1:$F$46,MATCH('Data 1'!I$1,'Data 2'!$A$1:$F$1,0),0)</f>
        <v>Kg</v>
      </c>
      <c r="J273" s="42">
        <f>VLOOKUP('Data 1'!$B273,'Data 2'!$A$1:$F$46,MATCH('Data 1'!J$1,'Data 2'!$A$1:$F$1,0),0)</f>
        <v>89</v>
      </c>
      <c r="K273" s="42">
        <f>VLOOKUP('Data 1'!$B273,'Data 2'!$A$1:$F$46,MATCH('Data 1'!K$1,'Data 2'!$A$1:$F$1,0),0)</f>
        <v>117.48</v>
      </c>
      <c r="L273" s="40">
        <f>SUM('Data 1'!$J273*'Data 1'!$C273)</f>
        <v>178</v>
      </c>
      <c r="M273" s="40">
        <f>'Data 1'!$C273*'Data 1'!$K273</f>
        <v>234.96</v>
      </c>
      <c r="N273" s="40">
        <f>'Data 1'!$M273-'Data 1'!$L273</f>
        <v>56.960000000000008</v>
      </c>
      <c r="O273" s="37">
        <f>DAY('Data 1'!$A273)</f>
        <v>11</v>
      </c>
      <c r="P273" s="37" t="str">
        <f>TEXT('Data 1'!$A273,"mmm")</f>
        <v>Jan</v>
      </c>
      <c r="Q273" s="41">
        <f>YEAR('Data 1'!$A273)</f>
        <v>2022</v>
      </c>
    </row>
    <row r="274" spans="1:17" x14ac:dyDescent="0.3">
      <c r="A274" s="35">
        <v>44574</v>
      </c>
      <c r="B274" s="36" t="s">
        <v>59</v>
      </c>
      <c r="C274" s="37">
        <v>6</v>
      </c>
      <c r="D274" s="37" t="s">
        <v>17</v>
      </c>
      <c r="E274" s="37" t="s">
        <v>17</v>
      </c>
      <c r="F274" s="38">
        <v>0</v>
      </c>
      <c r="G274" s="39" t="str">
        <f>VLOOKUP('Data 1'!$B274,'Data 2'!$A$1:$F$46,MATCH('Data 1'!G$1,'Data 2'!$A$1:$F$1,0),0)</f>
        <v>Product19</v>
      </c>
      <c r="H274" s="39" t="str">
        <f>VLOOKUP('Data 1'!$B274,'Data 2'!$A$1:$F$46,MATCH('Data 1'!H$1,'Data 2'!$A$1:$F$1,0),0)</f>
        <v>Category02</v>
      </c>
      <c r="I274" s="39" t="str">
        <f>VLOOKUP('Data 1'!$B274,'Data 2'!$A$1:$F$46,MATCH('Data 1'!I$1,'Data 2'!$A$1:$F$1,0),0)</f>
        <v>Ft</v>
      </c>
      <c r="J274" s="39">
        <f>VLOOKUP('Data 1'!$B274,'Data 2'!$A$1:$F$46,MATCH('Data 1'!J$1,'Data 2'!$A$1:$F$1,0),0)</f>
        <v>150</v>
      </c>
      <c r="K274" s="39">
        <f>VLOOKUP('Data 1'!$B274,'Data 2'!$A$1:$F$46,MATCH('Data 1'!K$1,'Data 2'!$A$1:$F$1,0),0)</f>
        <v>210</v>
      </c>
      <c r="L274" s="40">
        <f>SUM('Data 1'!$J274*'Data 1'!$C274)</f>
        <v>900</v>
      </c>
      <c r="M274" s="40">
        <f>'Data 1'!$C274*'Data 1'!$K274</f>
        <v>1260</v>
      </c>
      <c r="N274" s="40">
        <f>'Data 1'!$M274-'Data 1'!$L274</f>
        <v>360</v>
      </c>
      <c r="O274" s="37">
        <f>DAY('Data 1'!$A274)</f>
        <v>13</v>
      </c>
      <c r="P274" s="37" t="str">
        <f>TEXT('Data 1'!$A274,"mmm")</f>
        <v>Jan</v>
      </c>
      <c r="Q274" s="41">
        <f>YEAR('Data 1'!$A274)</f>
        <v>2022</v>
      </c>
    </row>
    <row r="275" spans="1:17" x14ac:dyDescent="0.3">
      <c r="A275" s="35">
        <v>44575</v>
      </c>
      <c r="B275" s="36" t="s">
        <v>50</v>
      </c>
      <c r="C275" s="37">
        <v>14</v>
      </c>
      <c r="D275" s="37" t="s">
        <v>21</v>
      </c>
      <c r="E275" s="37" t="s">
        <v>17</v>
      </c>
      <c r="F275" s="38">
        <v>0</v>
      </c>
      <c r="G275" s="42" t="str">
        <f>VLOOKUP('Data 1'!$B275,'Data 2'!$A$1:$F$46,MATCH('Data 1'!G$1,'Data 2'!$A$1:$F$1,0),0)</f>
        <v>Product11</v>
      </c>
      <c r="H275" s="42" t="str">
        <f>VLOOKUP('Data 1'!$B275,'Data 2'!$A$1:$F$46,MATCH('Data 1'!H$1,'Data 2'!$A$1:$F$1,0),0)</f>
        <v>Category02</v>
      </c>
      <c r="I275" s="42" t="str">
        <f>VLOOKUP('Data 1'!$B275,'Data 2'!$A$1:$F$46,MATCH('Data 1'!I$1,'Data 2'!$A$1:$F$1,0),0)</f>
        <v>Lt</v>
      </c>
      <c r="J275" s="42">
        <f>VLOOKUP('Data 1'!$B275,'Data 2'!$A$1:$F$46,MATCH('Data 1'!J$1,'Data 2'!$A$1:$F$1,0),0)</f>
        <v>44</v>
      </c>
      <c r="K275" s="42">
        <f>VLOOKUP('Data 1'!$B275,'Data 2'!$A$1:$F$46,MATCH('Data 1'!K$1,'Data 2'!$A$1:$F$1,0),0)</f>
        <v>48.4</v>
      </c>
      <c r="L275" s="40">
        <f>SUM('Data 1'!$J275*'Data 1'!$C275)</f>
        <v>616</v>
      </c>
      <c r="M275" s="40">
        <f>'Data 1'!$C275*'Data 1'!$K275</f>
        <v>677.6</v>
      </c>
      <c r="N275" s="40">
        <f>'Data 1'!$M275-'Data 1'!$L275</f>
        <v>61.600000000000023</v>
      </c>
      <c r="O275" s="37">
        <f>DAY('Data 1'!$A275)</f>
        <v>14</v>
      </c>
      <c r="P275" s="37" t="str">
        <f>TEXT('Data 1'!$A275,"mmm")</f>
        <v>Jan</v>
      </c>
      <c r="Q275" s="41">
        <f>YEAR('Data 1'!$A275)</f>
        <v>2022</v>
      </c>
    </row>
    <row r="276" spans="1:17" x14ac:dyDescent="0.3">
      <c r="A276" s="35">
        <v>44576</v>
      </c>
      <c r="B276" s="36" t="s">
        <v>41</v>
      </c>
      <c r="C276" s="37">
        <v>10</v>
      </c>
      <c r="D276" s="37" t="s">
        <v>21</v>
      </c>
      <c r="E276" s="37" t="s">
        <v>19</v>
      </c>
      <c r="F276" s="38">
        <v>0</v>
      </c>
      <c r="G276" s="39" t="str">
        <f>VLOOKUP('Data 1'!$B276,'Data 2'!$A$1:$F$46,MATCH('Data 1'!G$1,'Data 2'!$A$1:$F$1,0),0)</f>
        <v>Product22</v>
      </c>
      <c r="H276" s="39" t="str">
        <f>VLOOKUP('Data 1'!$B276,'Data 2'!$A$1:$F$46,MATCH('Data 1'!H$1,'Data 2'!$A$1:$F$1,0),0)</f>
        <v>Category03</v>
      </c>
      <c r="I276" s="39" t="str">
        <f>VLOOKUP('Data 1'!$B276,'Data 2'!$A$1:$F$46,MATCH('Data 1'!I$1,'Data 2'!$A$1:$F$1,0),0)</f>
        <v>Ft</v>
      </c>
      <c r="J276" s="39">
        <f>VLOOKUP('Data 1'!$B276,'Data 2'!$A$1:$F$46,MATCH('Data 1'!J$1,'Data 2'!$A$1:$F$1,0),0)</f>
        <v>121</v>
      </c>
      <c r="K276" s="39">
        <f>VLOOKUP('Data 1'!$B276,'Data 2'!$A$1:$F$46,MATCH('Data 1'!K$1,'Data 2'!$A$1:$F$1,0),0)</f>
        <v>141.57</v>
      </c>
      <c r="L276" s="40">
        <f>SUM('Data 1'!$J276*'Data 1'!$C276)</f>
        <v>1210</v>
      </c>
      <c r="M276" s="40">
        <f>'Data 1'!$C276*'Data 1'!$K276</f>
        <v>1415.6999999999998</v>
      </c>
      <c r="N276" s="40">
        <f>'Data 1'!$M276-'Data 1'!$L276</f>
        <v>205.69999999999982</v>
      </c>
      <c r="O276" s="37">
        <f>DAY('Data 1'!$A276)</f>
        <v>15</v>
      </c>
      <c r="P276" s="37" t="str">
        <f>TEXT('Data 1'!$A276,"mmm")</f>
        <v>Jan</v>
      </c>
      <c r="Q276" s="41">
        <f>YEAR('Data 1'!$A276)</f>
        <v>2022</v>
      </c>
    </row>
    <row r="277" spans="1:17" x14ac:dyDescent="0.3">
      <c r="A277" s="35">
        <v>44577</v>
      </c>
      <c r="B277" s="36" t="s">
        <v>28</v>
      </c>
      <c r="C277" s="37">
        <v>11</v>
      </c>
      <c r="D277" s="37" t="s">
        <v>17</v>
      </c>
      <c r="E277" s="37" t="s">
        <v>19</v>
      </c>
      <c r="F277" s="38">
        <v>0</v>
      </c>
      <c r="G277" s="42" t="str">
        <f>VLOOKUP('Data 1'!$B277,'Data 2'!$A$1:$F$46,MATCH('Data 1'!G$1,'Data 2'!$A$1:$F$1,0),0)</f>
        <v>Product14</v>
      </c>
      <c r="H277" s="42" t="str">
        <f>VLOOKUP('Data 1'!$B277,'Data 2'!$A$1:$F$46,MATCH('Data 1'!H$1,'Data 2'!$A$1:$F$1,0),0)</f>
        <v>Category02</v>
      </c>
      <c r="I277" s="42" t="str">
        <f>VLOOKUP('Data 1'!$B277,'Data 2'!$A$1:$F$46,MATCH('Data 1'!I$1,'Data 2'!$A$1:$F$1,0),0)</f>
        <v>Kg</v>
      </c>
      <c r="J277" s="42">
        <f>VLOOKUP('Data 1'!$B277,'Data 2'!$A$1:$F$46,MATCH('Data 1'!J$1,'Data 2'!$A$1:$F$1,0),0)</f>
        <v>112</v>
      </c>
      <c r="K277" s="42">
        <f>VLOOKUP('Data 1'!$B277,'Data 2'!$A$1:$F$46,MATCH('Data 1'!K$1,'Data 2'!$A$1:$F$1,0),0)</f>
        <v>146.72</v>
      </c>
      <c r="L277" s="40">
        <f>SUM('Data 1'!$J277*'Data 1'!$C277)</f>
        <v>1232</v>
      </c>
      <c r="M277" s="40">
        <f>'Data 1'!$C277*'Data 1'!$K277</f>
        <v>1613.92</v>
      </c>
      <c r="N277" s="40">
        <f>'Data 1'!$M277-'Data 1'!$L277</f>
        <v>381.92000000000007</v>
      </c>
      <c r="O277" s="37">
        <f>DAY('Data 1'!$A277)</f>
        <v>16</v>
      </c>
      <c r="P277" s="37" t="str">
        <f>TEXT('Data 1'!$A277,"mmm")</f>
        <v>Jan</v>
      </c>
      <c r="Q277" s="41">
        <f>YEAR('Data 1'!$A277)</f>
        <v>2022</v>
      </c>
    </row>
    <row r="278" spans="1:17" x14ac:dyDescent="0.3">
      <c r="A278" s="35">
        <v>44578</v>
      </c>
      <c r="B278" s="36" t="s">
        <v>36</v>
      </c>
      <c r="C278" s="37">
        <v>4</v>
      </c>
      <c r="D278" s="37" t="s">
        <v>17</v>
      </c>
      <c r="E278" s="37" t="s">
        <v>17</v>
      </c>
      <c r="F278" s="38">
        <v>0</v>
      </c>
      <c r="G278" s="39" t="str">
        <f>VLOOKUP('Data 1'!$B278,'Data 2'!$A$1:$F$46,MATCH('Data 1'!G$1,'Data 2'!$A$1:$F$1,0),0)</f>
        <v>Product40</v>
      </c>
      <c r="H278" s="39" t="str">
        <f>VLOOKUP('Data 1'!$B278,'Data 2'!$A$1:$F$46,MATCH('Data 1'!H$1,'Data 2'!$A$1:$F$1,0),0)</f>
        <v>Category05</v>
      </c>
      <c r="I278" s="39" t="str">
        <f>VLOOKUP('Data 1'!$B278,'Data 2'!$A$1:$F$46,MATCH('Data 1'!I$1,'Data 2'!$A$1:$F$1,0),0)</f>
        <v>Kg</v>
      </c>
      <c r="J278" s="39">
        <f>VLOOKUP('Data 1'!$B278,'Data 2'!$A$1:$F$46,MATCH('Data 1'!J$1,'Data 2'!$A$1:$F$1,0),0)</f>
        <v>90</v>
      </c>
      <c r="K278" s="39">
        <f>VLOOKUP('Data 1'!$B278,'Data 2'!$A$1:$F$46,MATCH('Data 1'!K$1,'Data 2'!$A$1:$F$1,0),0)</f>
        <v>115.2</v>
      </c>
      <c r="L278" s="40">
        <f>SUM('Data 1'!$J278*'Data 1'!$C278)</f>
        <v>360</v>
      </c>
      <c r="M278" s="40">
        <f>'Data 1'!$C278*'Data 1'!$K278</f>
        <v>460.8</v>
      </c>
      <c r="N278" s="40">
        <f>'Data 1'!$M278-'Data 1'!$L278</f>
        <v>100.80000000000001</v>
      </c>
      <c r="O278" s="37">
        <f>DAY('Data 1'!$A278)</f>
        <v>17</v>
      </c>
      <c r="P278" s="37" t="str">
        <f>TEXT('Data 1'!$A278,"mmm")</f>
        <v>Jan</v>
      </c>
      <c r="Q278" s="41">
        <f>YEAR('Data 1'!$A278)</f>
        <v>2022</v>
      </c>
    </row>
    <row r="279" spans="1:17" x14ac:dyDescent="0.3">
      <c r="A279" s="35">
        <v>44579</v>
      </c>
      <c r="B279" s="36" t="s">
        <v>44</v>
      </c>
      <c r="C279" s="37">
        <v>9</v>
      </c>
      <c r="D279" s="37" t="s">
        <v>16</v>
      </c>
      <c r="E279" s="37" t="s">
        <v>19</v>
      </c>
      <c r="F279" s="38">
        <v>0</v>
      </c>
      <c r="G279" s="42" t="str">
        <f>VLOOKUP('Data 1'!$B279,'Data 2'!$A$1:$F$46,MATCH('Data 1'!G$1,'Data 2'!$A$1:$F$1,0),0)</f>
        <v>Product08</v>
      </c>
      <c r="H279" s="42" t="str">
        <f>VLOOKUP('Data 1'!$B279,'Data 2'!$A$1:$F$46,MATCH('Data 1'!H$1,'Data 2'!$A$1:$F$1,0),0)</f>
        <v>Category01</v>
      </c>
      <c r="I279" s="42" t="str">
        <f>VLOOKUP('Data 1'!$B279,'Data 2'!$A$1:$F$46,MATCH('Data 1'!I$1,'Data 2'!$A$1:$F$1,0),0)</f>
        <v>Kg</v>
      </c>
      <c r="J279" s="42">
        <f>VLOOKUP('Data 1'!$B279,'Data 2'!$A$1:$F$46,MATCH('Data 1'!J$1,'Data 2'!$A$1:$F$1,0),0)</f>
        <v>83</v>
      </c>
      <c r="K279" s="42">
        <f>VLOOKUP('Data 1'!$B279,'Data 2'!$A$1:$F$46,MATCH('Data 1'!K$1,'Data 2'!$A$1:$F$1,0),0)</f>
        <v>94.62</v>
      </c>
      <c r="L279" s="40">
        <f>SUM('Data 1'!$J279*'Data 1'!$C279)</f>
        <v>747</v>
      </c>
      <c r="M279" s="40">
        <f>'Data 1'!$C279*'Data 1'!$K279</f>
        <v>851.58</v>
      </c>
      <c r="N279" s="40">
        <f>'Data 1'!$M279-'Data 1'!$L279</f>
        <v>104.58000000000004</v>
      </c>
      <c r="O279" s="37">
        <f>DAY('Data 1'!$A279)</f>
        <v>18</v>
      </c>
      <c r="P279" s="37" t="str">
        <f>TEXT('Data 1'!$A279,"mmm")</f>
        <v>Jan</v>
      </c>
      <c r="Q279" s="41">
        <f>YEAR('Data 1'!$A279)</f>
        <v>2022</v>
      </c>
    </row>
    <row r="280" spans="1:17" x14ac:dyDescent="0.3">
      <c r="A280" s="35">
        <v>44581</v>
      </c>
      <c r="B280" s="36" t="s">
        <v>51</v>
      </c>
      <c r="C280" s="37">
        <v>2</v>
      </c>
      <c r="D280" s="37" t="s">
        <v>21</v>
      </c>
      <c r="E280" s="37" t="s">
        <v>19</v>
      </c>
      <c r="F280" s="38">
        <v>0</v>
      </c>
      <c r="G280" s="39" t="str">
        <f>VLOOKUP('Data 1'!$B280,'Data 2'!$A$1:$F$46,MATCH('Data 1'!G$1,'Data 2'!$A$1:$F$1,0),0)</f>
        <v>Product21</v>
      </c>
      <c r="H280" s="39" t="str">
        <f>VLOOKUP('Data 1'!$B280,'Data 2'!$A$1:$F$46,MATCH('Data 1'!H$1,'Data 2'!$A$1:$F$1,0),0)</f>
        <v>Category03</v>
      </c>
      <c r="I280" s="39" t="str">
        <f>VLOOKUP('Data 1'!$B280,'Data 2'!$A$1:$F$46,MATCH('Data 1'!I$1,'Data 2'!$A$1:$F$1,0),0)</f>
        <v>Ft</v>
      </c>
      <c r="J280" s="39">
        <f>VLOOKUP('Data 1'!$B280,'Data 2'!$A$1:$F$46,MATCH('Data 1'!J$1,'Data 2'!$A$1:$F$1,0),0)</f>
        <v>126</v>
      </c>
      <c r="K280" s="39">
        <f>VLOOKUP('Data 1'!$B280,'Data 2'!$A$1:$F$46,MATCH('Data 1'!K$1,'Data 2'!$A$1:$F$1,0),0)</f>
        <v>162.54</v>
      </c>
      <c r="L280" s="40">
        <f>SUM('Data 1'!$J280*'Data 1'!$C280)</f>
        <v>252</v>
      </c>
      <c r="M280" s="40">
        <f>'Data 1'!$C280*'Data 1'!$K280</f>
        <v>325.08</v>
      </c>
      <c r="N280" s="40">
        <f>'Data 1'!$M280-'Data 1'!$L280</f>
        <v>73.079999999999984</v>
      </c>
      <c r="O280" s="37">
        <f>DAY('Data 1'!$A280)</f>
        <v>20</v>
      </c>
      <c r="P280" s="37" t="str">
        <f>TEXT('Data 1'!$A280,"mmm")</f>
        <v>Jan</v>
      </c>
      <c r="Q280" s="41">
        <f>YEAR('Data 1'!$A280)</f>
        <v>2022</v>
      </c>
    </row>
    <row r="281" spans="1:17" x14ac:dyDescent="0.3">
      <c r="A281" s="35">
        <v>44581</v>
      </c>
      <c r="B281" s="36" t="s">
        <v>28</v>
      </c>
      <c r="C281" s="37">
        <v>7</v>
      </c>
      <c r="D281" s="37" t="s">
        <v>17</v>
      </c>
      <c r="E281" s="37" t="s">
        <v>17</v>
      </c>
      <c r="F281" s="38">
        <v>0</v>
      </c>
      <c r="G281" s="42" t="str">
        <f>VLOOKUP('Data 1'!$B281,'Data 2'!$A$1:$F$46,MATCH('Data 1'!G$1,'Data 2'!$A$1:$F$1,0),0)</f>
        <v>Product14</v>
      </c>
      <c r="H281" s="42" t="str">
        <f>VLOOKUP('Data 1'!$B281,'Data 2'!$A$1:$F$46,MATCH('Data 1'!H$1,'Data 2'!$A$1:$F$1,0),0)</f>
        <v>Category02</v>
      </c>
      <c r="I281" s="42" t="str">
        <f>VLOOKUP('Data 1'!$B281,'Data 2'!$A$1:$F$46,MATCH('Data 1'!I$1,'Data 2'!$A$1:$F$1,0),0)</f>
        <v>Kg</v>
      </c>
      <c r="J281" s="42">
        <f>VLOOKUP('Data 1'!$B281,'Data 2'!$A$1:$F$46,MATCH('Data 1'!J$1,'Data 2'!$A$1:$F$1,0),0)</f>
        <v>112</v>
      </c>
      <c r="K281" s="42">
        <f>VLOOKUP('Data 1'!$B281,'Data 2'!$A$1:$F$46,MATCH('Data 1'!K$1,'Data 2'!$A$1:$F$1,0),0)</f>
        <v>146.72</v>
      </c>
      <c r="L281" s="40">
        <f>SUM('Data 1'!$J281*'Data 1'!$C281)</f>
        <v>784</v>
      </c>
      <c r="M281" s="40">
        <f>'Data 1'!$C281*'Data 1'!$K281</f>
        <v>1027.04</v>
      </c>
      <c r="N281" s="40">
        <f>'Data 1'!$M281-'Data 1'!$L281</f>
        <v>243.03999999999996</v>
      </c>
      <c r="O281" s="37">
        <f>DAY('Data 1'!$A281)</f>
        <v>20</v>
      </c>
      <c r="P281" s="37" t="str">
        <f>TEXT('Data 1'!$A281,"mmm")</f>
        <v>Jan</v>
      </c>
      <c r="Q281" s="41">
        <f>YEAR('Data 1'!$A281)</f>
        <v>2022</v>
      </c>
    </row>
    <row r="282" spans="1:17" x14ac:dyDescent="0.3">
      <c r="A282" s="35">
        <v>44583</v>
      </c>
      <c r="B282" s="36" t="s">
        <v>35</v>
      </c>
      <c r="C282" s="37">
        <v>6</v>
      </c>
      <c r="D282" s="37" t="s">
        <v>17</v>
      </c>
      <c r="E282" s="37" t="s">
        <v>19</v>
      </c>
      <c r="F282" s="38">
        <v>0</v>
      </c>
      <c r="G282" s="39" t="str">
        <f>VLOOKUP('Data 1'!$B282,'Data 2'!$A$1:$F$46,MATCH('Data 1'!G$1,'Data 2'!$A$1:$F$1,0),0)</f>
        <v>Product01</v>
      </c>
      <c r="H282" s="39" t="str">
        <f>VLOOKUP('Data 1'!$B282,'Data 2'!$A$1:$F$46,MATCH('Data 1'!H$1,'Data 2'!$A$1:$F$1,0),0)</f>
        <v>Category01</v>
      </c>
      <c r="I282" s="39" t="str">
        <f>VLOOKUP('Data 1'!$B282,'Data 2'!$A$1:$F$46,MATCH('Data 1'!I$1,'Data 2'!$A$1:$F$1,0),0)</f>
        <v>Kg</v>
      </c>
      <c r="J282" s="39">
        <f>VLOOKUP('Data 1'!$B282,'Data 2'!$A$1:$F$46,MATCH('Data 1'!J$1,'Data 2'!$A$1:$F$1,0),0)</f>
        <v>98</v>
      </c>
      <c r="K282" s="39">
        <f>VLOOKUP('Data 1'!$B282,'Data 2'!$A$1:$F$46,MATCH('Data 1'!K$1,'Data 2'!$A$1:$F$1,0),0)</f>
        <v>103.88</v>
      </c>
      <c r="L282" s="40">
        <f>SUM('Data 1'!$J282*'Data 1'!$C282)</f>
        <v>588</v>
      </c>
      <c r="M282" s="40">
        <f>'Data 1'!$C282*'Data 1'!$K282</f>
        <v>623.28</v>
      </c>
      <c r="N282" s="40">
        <f>'Data 1'!$M282-'Data 1'!$L282</f>
        <v>35.279999999999973</v>
      </c>
      <c r="O282" s="37">
        <f>DAY('Data 1'!$A282)</f>
        <v>22</v>
      </c>
      <c r="P282" s="37" t="str">
        <f>TEXT('Data 1'!$A282,"mmm")</f>
        <v>Jan</v>
      </c>
      <c r="Q282" s="41">
        <f>YEAR('Data 1'!$A282)</f>
        <v>2022</v>
      </c>
    </row>
    <row r="283" spans="1:17" x14ac:dyDescent="0.3">
      <c r="A283" s="35">
        <v>44584</v>
      </c>
      <c r="B283" s="36" t="s">
        <v>48</v>
      </c>
      <c r="C283" s="37">
        <v>5</v>
      </c>
      <c r="D283" s="37" t="s">
        <v>16</v>
      </c>
      <c r="E283" s="37" t="s">
        <v>19</v>
      </c>
      <c r="F283" s="38">
        <v>0</v>
      </c>
      <c r="G283" s="42" t="str">
        <f>VLOOKUP('Data 1'!$B283,'Data 2'!$A$1:$F$46,MATCH('Data 1'!G$1,'Data 2'!$A$1:$F$1,0),0)</f>
        <v>Product02</v>
      </c>
      <c r="H283" s="42" t="str">
        <f>VLOOKUP('Data 1'!$B283,'Data 2'!$A$1:$F$46,MATCH('Data 1'!H$1,'Data 2'!$A$1:$F$1,0),0)</f>
        <v>Category01</v>
      </c>
      <c r="I283" s="42" t="str">
        <f>VLOOKUP('Data 1'!$B283,'Data 2'!$A$1:$F$46,MATCH('Data 1'!I$1,'Data 2'!$A$1:$F$1,0),0)</f>
        <v>Kg</v>
      </c>
      <c r="J283" s="42">
        <f>VLOOKUP('Data 1'!$B283,'Data 2'!$A$1:$F$46,MATCH('Data 1'!J$1,'Data 2'!$A$1:$F$1,0),0)</f>
        <v>105</v>
      </c>
      <c r="K283" s="42">
        <f>VLOOKUP('Data 1'!$B283,'Data 2'!$A$1:$F$46,MATCH('Data 1'!K$1,'Data 2'!$A$1:$F$1,0),0)</f>
        <v>142.80000000000001</v>
      </c>
      <c r="L283" s="40">
        <f>SUM('Data 1'!$J283*'Data 1'!$C283)</f>
        <v>525</v>
      </c>
      <c r="M283" s="40">
        <f>'Data 1'!$C283*'Data 1'!$K283</f>
        <v>714</v>
      </c>
      <c r="N283" s="40">
        <f>'Data 1'!$M283-'Data 1'!$L283</f>
        <v>189</v>
      </c>
      <c r="O283" s="37">
        <f>DAY('Data 1'!$A283)</f>
        <v>23</v>
      </c>
      <c r="P283" s="37" t="str">
        <f>TEXT('Data 1'!$A283,"mmm")</f>
        <v>Jan</v>
      </c>
      <c r="Q283" s="41">
        <f>YEAR('Data 1'!$A283)</f>
        <v>2022</v>
      </c>
    </row>
    <row r="284" spans="1:17" x14ac:dyDescent="0.3">
      <c r="A284" s="35">
        <v>44584</v>
      </c>
      <c r="B284" s="36" t="s">
        <v>29</v>
      </c>
      <c r="C284" s="37">
        <v>8</v>
      </c>
      <c r="D284" s="37" t="s">
        <v>21</v>
      </c>
      <c r="E284" s="37" t="s">
        <v>17</v>
      </c>
      <c r="F284" s="38">
        <v>0</v>
      </c>
      <c r="G284" s="39" t="str">
        <f>VLOOKUP('Data 1'!$B284,'Data 2'!$A$1:$F$46,MATCH('Data 1'!G$1,'Data 2'!$A$1:$F$1,0),0)</f>
        <v>Product42</v>
      </c>
      <c r="H284" s="39" t="str">
        <f>VLOOKUP('Data 1'!$B284,'Data 2'!$A$1:$F$46,MATCH('Data 1'!H$1,'Data 2'!$A$1:$F$1,0),0)</f>
        <v>Category05</v>
      </c>
      <c r="I284" s="39" t="str">
        <f>VLOOKUP('Data 1'!$B284,'Data 2'!$A$1:$F$46,MATCH('Data 1'!I$1,'Data 2'!$A$1:$F$1,0),0)</f>
        <v>Ft</v>
      </c>
      <c r="J284" s="39">
        <f>VLOOKUP('Data 1'!$B284,'Data 2'!$A$1:$F$46,MATCH('Data 1'!J$1,'Data 2'!$A$1:$F$1,0),0)</f>
        <v>120</v>
      </c>
      <c r="K284" s="39">
        <f>VLOOKUP('Data 1'!$B284,'Data 2'!$A$1:$F$46,MATCH('Data 1'!K$1,'Data 2'!$A$1:$F$1,0),0)</f>
        <v>162</v>
      </c>
      <c r="L284" s="40">
        <f>SUM('Data 1'!$J284*'Data 1'!$C284)</f>
        <v>960</v>
      </c>
      <c r="M284" s="40">
        <f>'Data 1'!$C284*'Data 1'!$K284</f>
        <v>1296</v>
      </c>
      <c r="N284" s="40">
        <f>'Data 1'!$M284-'Data 1'!$L284</f>
        <v>336</v>
      </c>
      <c r="O284" s="37">
        <f>DAY('Data 1'!$A284)</f>
        <v>23</v>
      </c>
      <c r="P284" s="37" t="str">
        <f>TEXT('Data 1'!$A284,"mmm")</f>
        <v>Jan</v>
      </c>
      <c r="Q284" s="41">
        <f>YEAR('Data 1'!$A284)</f>
        <v>2022</v>
      </c>
    </row>
    <row r="285" spans="1:17" x14ac:dyDescent="0.3">
      <c r="A285" s="35">
        <v>44585</v>
      </c>
      <c r="B285" s="36" t="s">
        <v>47</v>
      </c>
      <c r="C285" s="37">
        <v>15</v>
      </c>
      <c r="D285" s="37" t="s">
        <v>17</v>
      </c>
      <c r="E285" s="37" t="s">
        <v>17</v>
      </c>
      <c r="F285" s="38">
        <v>0</v>
      </c>
      <c r="G285" s="42" t="str">
        <f>VLOOKUP('Data 1'!$B285,'Data 2'!$A$1:$F$46,MATCH('Data 1'!G$1,'Data 2'!$A$1:$F$1,0),0)</f>
        <v>Product30</v>
      </c>
      <c r="H285" s="42" t="str">
        <f>VLOOKUP('Data 1'!$B285,'Data 2'!$A$1:$F$46,MATCH('Data 1'!H$1,'Data 2'!$A$1:$F$1,0),0)</f>
        <v>Category04</v>
      </c>
      <c r="I285" s="42" t="str">
        <f>VLOOKUP('Data 1'!$B285,'Data 2'!$A$1:$F$46,MATCH('Data 1'!I$1,'Data 2'!$A$1:$F$1,0),0)</f>
        <v>Ft</v>
      </c>
      <c r="J285" s="42">
        <f>VLOOKUP('Data 1'!$B285,'Data 2'!$A$1:$F$46,MATCH('Data 1'!J$1,'Data 2'!$A$1:$F$1,0),0)</f>
        <v>148</v>
      </c>
      <c r="K285" s="42">
        <f>VLOOKUP('Data 1'!$B285,'Data 2'!$A$1:$F$46,MATCH('Data 1'!K$1,'Data 2'!$A$1:$F$1,0),0)</f>
        <v>201.28</v>
      </c>
      <c r="L285" s="40">
        <f>SUM('Data 1'!$J285*'Data 1'!$C285)</f>
        <v>2220</v>
      </c>
      <c r="M285" s="40">
        <f>'Data 1'!$C285*'Data 1'!$K285</f>
        <v>3019.2</v>
      </c>
      <c r="N285" s="40">
        <f>'Data 1'!$M285-'Data 1'!$L285</f>
        <v>799.19999999999982</v>
      </c>
      <c r="O285" s="37">
        <f>DAY('Data 1'!$A285)</f>
        <v>24</v>
      </c>
      <c r="P285" s="37" t="str">
        <f>TEXT('Data 1'!$A285,"mmm")</f>
        <v>Jan</v>
      </c>
      <c r="Q285" s="41">
        <f>YEAR('Data 1'!$A285)</f>
        <v>2022</v>
      </c>
    </row>
    <row r="286" spans="1:17" x14ac:dyDescent="0.3">
      <c r="A286" s="35">
        <v>44586</v>
      </c>
      <c r="B286" s="36" t="s">
        <v>58</v>
      </c>
      <c r="C286" s="37">
        <v>14</v>
      </c>
      <c r="D286" s="37" t="s">
        <v>21</v>
      </c>
      <c r="E286" s="37" t="s">
        <v>19</v>
      </c>
      <c r="F286" s="38">
        <v>0</v>
      </c>
      <c r="G286" s="39" t="str">
        <f>VLOOKUP('Data 1'!$B286,'Data 2'!$A$1:$F$46,MATCH('Data 1'!G$1,'Data 2'!$A$1:$F$1,0),0)</f>
        <v>Product17</v>
      </c>
      <c r="H286" s="39" t="str">
        <f>VLOOKUP('Data 1'!$B286,'Data 2'!$A$1:$F$46,MATCH('Data 1'!H$1,'Data 2'!$A$1:$F$1,0),0)</f>
        <v>Category02</v>
      </c>
      <c r="I286" s="39" t="str">
        <f>VLOOKUP('Data 1'!$B286,'Data 2'!$A$1:$F$46,MATCH('Data 1'!I$1,'Data 2'!$A$1:$F$1,0),0)</f>
        <v>Ft</v>
      </c>
      <c r="J286" s="39">
        <f>VLOOKUP('Data 1'!$B286,'Data 2'!$A$1:$F$46,MATCH('Data 1'!J$1,'Data 2'!$A$1:$F$1,0),0)</f>
        <v>134</v>
      </c>
      <c r="K286" s="39">
        <f>VLOOKUP('Data 1'!$B286,'Data 2'!$A$1:$F$46,MATCH('Data 1'!K$1,'Data 2'!$A$1:$F$1,0),0)</f>
        <v>156.78</v>
      </c>
      <c r="L286" s="40">
        <f>SUM('Data 1'!$J286*'Data 1'!$C286)</f>
        <v>1876</v>
      </c>
      <c r="M286" s="40">
        <f>'Data 1'!$C286*'Data 1'!$K286</f>
        <v>2194.92</v>
      </c>
      <c r="N286" s="40">
        <f>'Data 1'!$M286-'Data 1'!$L286</f>
        <v>318.92000000000007</v>
      </c>
      <c r="O286" s="37">
        <f>DAY('Data 1'!$A286)</f>
        <v>25</v>
      </c>
      <c r="P286" s="37" t="str">
        <f>TEXT('Data 1'!$A286,"mmm")</f>
        <v>Jan</v>
      </c>
      <c r="Q286" s="41">
        <f>YEAR('Data 1'!$A286)</f>
        <v>2022</v>
      </c>
    </row>
    <row r="287" spans="1:17" x14ac:dyDescent="0.3">
      <c r="A287" s="35">
        <v>44589</v>
      </c>
      <c r="B287" s="36" t="s">
        <v>40</v>
      </c>
      <c r="C287" s="37">
        <v>11</v>
      </c>
      <c r="D287" s="37" t="s">
        <v>21</v>
      </c>
      <c r="E287" s="37" t="s">
        <v>17</v>
      </c>
      <c r="F287" s="38">
        <v>0</v>
      </c>
      <c r="G287" s="42" t="str">
        <f>VLOOKUP('Data 1'!$B287,'Data 2'!$A$1:$F$46,MATCH('Data 1'!G$1,'Data 2'!$A$1:$F$1,0),0)</f>
        <v>Product16</v>
      </c>
      <c r="H287" s="42" t="str">
        <f>VLOOKUP('Data 1'!$B287,'Data 2'!$A$1:$F$46,MATCH('Data 1'!H$1,'Data 2'!$A$1:$F$1,0),0)</f>
        <v>Category02</v>
      </c>
      <c r="I287" s="42" t="str">
        <f>VLOOKUP('Data 1'!$B287,'Data 2'!$A$1:$F$46,MATCH('Data 1'!I$1,'Data 2'!$A$1:$F$1,0),0)</f>
        <v>No.</v>
      </c>
      <c r="J287" s="42">
        <f>VLOOKUP('Data 1'!$B287,'Data 2'!$A$1:$F$46,MATCH('Data 1'!J$1,'Data 2'!$A$1:$F$1,0),0)</f>
        <v>13</v>
      </c>
      <c r="K287" s="42">
        <f>VLOOKUP('Data 1'!$B287,'Data 2'!$A$1:$F$46,MATCH('Data 1'!K$1,'Data 2'!$A$1:$F$1,0),0)</f>
        <v>16.64</v>
      </c>
      <c r="L287" s="40">
        <f>SUM('Data 1'!$J287*'Data 1'!$C287)</f>
        <v>143</v>
      </c>
      <c r="M287" s="40">
        <f>'Data 1'!$C287*'Data 1'!$K287</f>
        <v>183.04000000000002</v>
      </c>
      <c r="N287" s="40">
        <f>'Data 1'!$M287-'Data 1'!$L287</f>
        <v>40.04000000000002</v>
      </c>
      <c r="O287" s="37">
        <f>DAY('Data 1'!$A287)</f>
        <v>28</v>
      </c>
      <c r="P287" s="37" t="str">
        <f>TEXT('Data 1'!$A287,"mmm")</f>
        <v>Jan</v>
      </c>
      <c r="Q287" s="41">
        <f>YEAR('Data 1'!$A287)</f>
        <v>2022</v>
      </c>
    </row>
    <row r="288" spans="1:17" x14ac:dyDescent="0.3">
      <c r="A288" s="35">
        <v>44592</v>
      </c>
      <c r="B288" s="36" t="s">
        <v>31</v>
      </c>
      <c r="C288" s="37">
        <v>6</v>
      </c>
      <c r="D288" s="37" t="s">
        <v>17</v>
      </c>
      <c r="E288" s="37" t="s">
        <v>19</v>
      </c>
      <c r="F288" s="38">
        <v>0</v>
      </c>
      <c r="G288" s="39" t="str">
        <f>VLOOKUP('Data 1'!$B288,'Data 2'!$A$1:$F$46,MATCH('Data 1'!G$1,'Data 2'!$A$1:$F$1,0),0)</f>
        <v>Product23</v>
      </c>
      <c r="H288" s="39" t="str">
        <f>VLOOKUP('Data 1'!$B288,'Data 2'!$A$1:$F$46,MATCH('Data 1'!H$1,'Data 2'!$A$1:$F$1,0),0)</f>
        <v>Category03</v>
      </c>
      <c r="I288" s="39" t="str">
        <f>VLOOKUP('Data 1'!$B288,'Data 2'!$A$1:$F$46,MATCH('Data 1'!I$1,'Data 2'!$A$1:$F$1,0),0)</f>
        <v>Ft</v>
      </c>
      <c r="J288" s="39">
        <f>VLOOKUP('Data 1'!$B288,'Data 2'!$A$1:$F$46,MATCH('Data 1'!J$1,'Data 2'!$A$1:$F$1,0),0)</f>
        <v>141</v>
      </c>
      <c r="K288" s="39">
        <f>VLOOKUP('Data 1'!$B288,'Data 2'!$A$1:$F$46,MATCH('Data 1'!K$1,'Data 2'!$A$1:$F$1,0),0)</f>
        <v>149.46</v>
      </c>
      <c r="L288" s="40">
        <f>SUM('Data 1'!$J288*'Data 1'!$C288)</f>
        <v>846</v>
      </c>
      <c r="M288" s="40">
        <f>'Data 1'!$C288*'Data 1'!$K288</f>
        <v>896.76</v>
      </c>
      <c r="N288" s="40">
        <f>'Data 1'!$M288-'Data 1'!$L288</f>
        <v>50.759999999999991</v>
      </c>
      <c r="O288" s="37">
        <f>DAY('Data 1'!$A288)</f>
        <v>31</v>
      </c>
      <c r="P288" s="37" t="str">
        <f>TEXT('Data 1'!$A288,"mmm")</f>
        <v>Jan</v>
      </c>
      <c r="Q288" s="41">
        <f>YEAR('Data 1'!$A288)</f>
        <v>2022</v>
      </c>
    </row>
    <row r="289" spans="1:17" x14ac:dyDescent="0.3">
      <c r="A289" s="35">
        <v>44592</v>
      </c>
      <c r="B289" s="36" t="s">
        <v>60</v>
      </c>
      <c r="C289" s="37">
        <v>9</v>
      </c>
      <c r="D289" s="37" t="s">
        <v>21</v>
      </c>
      <c r="E289" s="37" t="s">
        <v>19</v>
      </c>
      <c r="F289" s="38">
        <v>0</v>
      </c>
      <c r="G289" s="42" t="str">
        <f>VLOOKUP('Data 1'!$B289,'Data 2'!$A$1:$F$46,MATCH('Data 1'!G$1,'Data 2'!$A$1:$F$1,0),0)</f>
        <v>Product41</v>
      </c>
      <c r="H289" s="42" t="str">
        <f>VLOOKUP('Data 1'!$B289,'Data 2'!$A$1:$F$46,MATCH('Data 1'!H$1,'Data 2'!$A$1:$F$1,0),0)</f>
        <v>Category05</v>
      </c>
      <c r="I289" s="42" t="str">
        <f>VLOOKUP('Data 1'!$B289,'Data 2'!$A$1:$F$46,MATCH('Data 1'!I$1,'Data 2'!$A$1:$F$1,0),0)</f>
        <v>Ft</v>
      </c>
      <c r="J289" s="42">
        <f>VLOOKUP('Data 1'!$B289,'Data 2'!$A$1:$F$46,MATCH('Data 1'!J$1,'Data 2'!$A$1:$F$1,0),0)</f>
        <v>138</v>
      </c>
      <c r="K289" s="42">
        <f>VLOOKUP('Data 1'!$B289,'Data 2'!$A$1:$F$46,MATCH('Data 1'!K$1,'Data 2'!$A$1:$F$1,0),0)</f>
        <v>173.88</v>
      </c>
      <c r="L289" s="40">
        <f>SUM('Data 1'!$J289*'Data 1'!$C289)</f>
        <v>1242</v>
      </c>
      <c r="M289" s="40">
        <f>'Data 1'!$C289*'Data 1'!$K289</f>
        <v>1564.92</v>
      </c>
      <c r="N289" s="40">
        <f>'Data 1'!$M289-'Data 1'!$L289</f>
        <v>322.92000000000007</v>
      </c>
      <c r="O289" s="37">
        <f>DAY('Data 1'!$A289)</f>
        <v>31</v>
      </c>
      <c r="P289" s="37" t="str">
        <f>TEXT('Data 1'!$A289,"mmm")</f>
        <v>Jan</v>
      </c>
      <c r="Q289" s="41">
        <f>YEAR('Data 1'!$A289)</f>
        <v>2022</v>
      </c>
    </row>
    <row r="290" spans="1:17" x14ac:dyDescent="0.3">
      <c r="A290" s="35">
        <v>44593</v>
      </c>
      <c r="B290" s="36" t="s">
        <v>43</v>
      </c>
      <c r="C290" s="37">
        <v>9</v>
      </c>
      <c r="D290" s="37" t="s">
        <v>21</v>
      </c>
      <c r="E290" s="37" t="s">
        <v>19</v>
      </c>
      <c r="F290" s="38">
        <v>0</v>
      </c>
      <c r="G290" s="39" t="str">
        <f>VLOOKUP('Data 1'!$B290,'Data 2'!$A$1:$F$46,MATCH('Data 1'!G$1,'Data 2'!$A$1:$F$1,0),0)</f>
        <v>Product05</v>
      </c>
      <c r="H290" s="39" t="str">
        <f>VLOOKUP('Data 1'!$B290,'Data 2'!$A$1:$F$46,MATCH('Data 1'!H$1,'Data 2'!$A$1:$F$1,0),0)</f>
        <v>Category01</v>
      </c>
      <c r="I290" s="39" t="str">
        <f>VLOOKUP('Data 1'!$B290,'Data 2'!$A$1:$F$46,MATCH('Data 1'!I$1,'Data 2'!$A$1:$F$1,0),0)</f>
        <v>Ft</v>
      </c>
      <c r="J290" s="39">
        <f>VLOOKUP('Data 1'!$B290,'Data 2'!$A$1:$F$46,MATCH('Data 1'!J$1,'Data 2'!$A$1:$F$1,0),0)</f>
        <v>133</v>
      </c>
      <c r="K290" s="39">
        <f>VLOOKUP('Data 1'!$B290,'Data 2'!$A$1:$F$46,MATCH('Data 1'!K$1,'Data 2'!$A$1:$F$1,0),0)</f>
        <v>155.61000000000001</v>
      </c>
      <c r="L290" s="40">
        <f>SUM('Data 1'!$J290*'Data 1'!$C290)</f>
        <v>1197</v>
      </c>
      <c r="M290" s="40">
        <f>'Data 1'!$C290*'Data 1'!$K290</f>
        <v>1400.4900000000002</v>
      </c>
      <c r="N290" s="40">
        <f>'Data 1'!$M290-'Data 1'!$L290</f>
        <v>203.49000000000024</v>
      </c>
      <c r="O290" s="37">
        <f>DAY('Data 1'!$A290)</f>
        <v>1</v>
      </c>
      <c r="P290" s="37" t="str">
        <f>TEXT('Data 1'!$A290,"mmm")</f>
        <v>Feb</v>
      </c>
      <c r="Q290" s="41">
        <f>YEAR('Data 1'!$A290)</f>
        <v>2022</v>
      </c>
    </row>
    <row r="291" spans="1:17" x14ac:dyDescent="0.3">
      <c r="A291" s="35">
        <v>44595</v>
      </c>
      <c r="B291" s="36" t="s">
        <v>28</v>
      </c>
      <c r="C291" s="37">
        <v>8</v>
      </c>
      <c r="D291" s="37" t="s">
        <v>21</v>
      </c>
      <c r="E291" s="37" t="s">
        <v>17</v>
      </c>
      <c r="F291" s="38">
        <v>0</v>
      </c>
      <c r="G291" s="42" t="str">
        <f>VLOOKUP('Data 1'!$B291,'Data 2'!$A$1:$F$46,MATCH('Data 1'!G$1,'Data 2'!$A$1:$F$1,0),0)</f>
        <v>Product14</v>
      </c>
      <c r="H291" s="42" t="str">
        <f>VLOOKUP('Data 1'!$B291,'Data 2'!$A$1:$F$46,MATCH('Data 1'!H$1,'Data 2'!$A$1:$F$1,0),0)</f>
        <v>Category02</v>
      </c>
      <c r="I291" s="42" t="str">
        <f>VLOOKUP('Data 1'!$B291,'Data 2'!$A$1:$F$46,MATCH('Data 1'!I$1,'Data 2'!$A$1:$F$1,0),0)</f>
        <v>Kg</v>
      </c>
      <c r="J291" s="42">
        <f>VLOOKUP('Data 1'!$B291,'Data 2'!$A$1:$F$46,MATCH('Data 1'!J$1,'Data 2'!$A$1:$F$1,0),0)</f>
        <v>112</v>
      </c>
      <c r="K291" s="42">
        <f>VLOOKUP('Data 1'!$B291,'Data 2'!$A$1:$F$46,MATCH('Data 1'!K$1,'Data 2'!$A$1:$F$1,0),0)</f>
        <v>146.72</v>
      </c>
      <c r="L291" s="40">
        <f>SUM('Data 1'!$J291*'Data 1'!$C291)</f>
        <v>896</v>
      </c>
      <c r="M291" s="40">
        <f>'Data 1'!$C291*'Data 1'!$K291</f>
        <v>1173.76</v>
      </c>
      <c r="N291" s="40">
        <f>'Data 1'!$M291-'Data 1'!$L291</f>
        <v>277.76</v>
      </c>
      <c r="O291" s="37">
        <f>DAY('Data 1'!$A291)</f>
        <v>3</v>
      </c>
      <c r="P291" s="37" t="str">
        <f>TEXT('Data 1'!$A291,"mmm")</f>
        <v>Feb</v>
      </c>
      <c r="Q291" s="41">
        <f>YEAR('Data 1'!$A291)</f>
        <v>2022</v>
      </c>
    </row>
    <row r="292" spans="1:17" x14ac:dyDescent="0.3">
      <c r="A292" s="35">
        <v>44597</v>
      </c>
      <c r="B292" s="36" t="s">
        <v>49</v>
      </c>
      <c r="C292" s="37">
        <v>6</v>
      </c>
      <c r="D292" s="37" t="s">
        <v>21</v>
      </c>
      <c r="E292" s="37" t="s">
        <v>19</v>
      </c>
      <c r="F292" s="38">
        <v>0</v>
      </c>
      <c r="G292" s="39" t="str">
        <f>VLOOKUP('Data 1'!$B292,'Data 2'!$A$1:$F$46,MATCH('Data 1'!G$1,'Data 2'!$A$1:$F$1,0),0)</f>
        <v>Product18</v>
      </c>
      <c r="H292" s="39" t="str">
        <f>VLOOKUP('Data 1'!$B292,'Data 2'!$A$1:$F$46,MATCH('Data 1'!H$1,'Data 2'!$A$1:$F$1,0),0)</f>
        <v>Category02</v>
      </c>
      <c r="I292" s="39" t="str">
        <f>VLOOKUP('Data 1'!$B292,'Data 2'!$A$1:$F$46,MATCH('Data 1'!I$1,'Data 2'!$A$1:$F$1,0),0)</f>
        <v>No.</v>
      </c>
      <c r="J292" s="39">
        <f>VLOOKUP('Data 1'!$B292,'Data 2'!$A$1:$F$46,MATCH('Data 1'!J$1,'Data 2'!$A$1:$F$1,0),0)</f>
        <v>37</v>
      </c>
      <c r="K292" s="39">
        <f>VLOOKUP('Data 1'!$B292,'Data 2'!$A$1:$F$46,MATCH('Data 1'!K$1,'Data 2'!$A$1:$F$1,0),0)</f>
        <v>49.21</v>
      </c>
      <c r="L292" s="40">
        <f>SUM('Data 1'!$J292*'Data 1'!$C292)</f>
        <v>222</v>
      </c>
      <c r="M292" s="40">
        <f>'Data 1'!$C292*'Data 1'!$K292</f>
        <v>295.26</v>
      </c>
      <c r="N292" s="40">
        <f>'Data 1'!$M292-'Data 1'!$L292</f>
        <v>73.259999999999991</v>
      </c>
      <c r="O292" s="37">
        <f>DAY('Data 1'!$A292)</f>
        <v>5</v>
      </c>
      <c r="P292" s="37" t="str">
        <f>TEXT('Data 1'!$A292,"mmm")</f>
        <v>Feb</v>
      </c>
      <c r="Q292" s="41">
        <f>YEAR('Data 1'!$A292)</f>
        <v>2022</v>
      </c>
    </row>
    <row r="293" spans="1:17" x14ac:dyDescent="0.3">
      <c r="A293" s="35">
        <v>44598</v>
      </c>
      <c r="B293" s="36" t="s">
        <v>48</v>
      </c>
      <c r="C293" s="37">
        <v>6</v>
      </c>
      <c r="D293" s="37" t="s">
        <v>21</v>
      </c>
      <c r="E293" s="37" t="s">
        <v>19</v>
      </c>
      <c r="F293" s="38">
        <v>0</v>
      </c>
      <c r="G293" s="42" t="str">
        <f>VLOOKUP('Data 1'!$B293,'Data 2'!$A$1:$F$46,MATCH('Data 1'!G$1,'Data 2'!$A$1:$F$1,0),0)</f>
        <v>Product02</v>
      </c>
      <c r="H293" s="42" t="str">
        <f>VLOOKUP('Data 1'!$B293,'Data 2'!$A$1:$F$46,MATCH('Data 1'!H$1,'Data 2'!$A$1:$F$1,0),0)</f>
        <v>Category01</v>
      </c>
      <c r="I293" s="42" t="str">
        <f>VLOOKUP('Data 1'!$B293,'Data 2'!$A$1:$F$46,MATCH('Data 1'!I$1,'Data 2'!$A$1:$F$1,0),0)</f>
        <v>Kg</v>
      </c>
      <c r="J293" s="42">
        <f>VLOOKUP('Data 1'!$B293,'Data 2'!$A$1:$F$46,MATCH('Data 1'!J$1,'Data 2'!$A$1:$F$1,0),0)</f>
        <v>105</v>
      </c>
      <c r="K293" s="42">
        <f>VLOOKUP('Data 1'!$B293,'Data 2'!$A$1:$F$46,MATCH('Data 1'!K$1,'Data 2'!$A$1:$F$1,0),0)</f>
        <v>142.80000000000001</v>
      </c>
      <c r="L293" s="40">
        <f>SUM('Data 1'!$J293*'Data 1'!$C293)</f>
        <v>630</v>
      </c>
      <c r="M293" s="40">
        <f>'Data 1'!$C293*'Data 1'!$K293</f>
        <v>856.80000000000007</v>
      </c>
      <c r="N293" s="40">
        <f>'Data 1'!$M293-'Data 1'!$L293</f>
        <v>226.80000000000007</v>
      </c>
      <c r="O293" s="37">
        <f>DAY('Data 1'!$A293)</f>
        <v>6</v>
      </c>
      <c r="P293" s="37" t="str">
        <f>TEXT('Data 1'!$A293,"mmm")</f>
        <v>Feb</v>
      </c>
      <c r="Q293" s="41">
        <f>YEAR('Data 1'!$A293)</f>
        <v>2022</v>
      </c>
    </row>
    <row r="294" spans="1:17" x14ac:dyDescent="0.3">
      <c r="A294" s="35">
        <v>44600</v>
      </c>
      <c r="B294" s="36" t="s">
        <v>43</v>
      </c>
      <c r="C294" s="37">
        <v>11</v>
      </c>
      <c r="D294" s="37" t="s">
        <v>17</v>
      </c>
      <c r="E294" s="37" t="s">
        <v>19</v>
      </c>
      <c r="F294" s="38">
        <v>0</v>
      </c>
      <c r="G294" s="39" t="str">
        <f>VLOOKUP('Data 1'!$B294,'Data 2'!$A$1:$F$46,MATCH('Data 1'!G$1,'Data 2'!$A$1:$F$1,0),0)</f>
        <v>Product05</v>
      </c>
      <c r="H294" s="39" t="str">
        <f>VLOOKUP('Data 1'!$B294,'Data 2'!$A$1:$F$46,MATCH('Data 1'!H$1,'Data 2'!$A$1:$F$1,0),0)</f>
        <v>Category01</v>
      </c>
      <c r="I294" s="39" t="str">
        <f>VLOOKUP('Data 1'!$B294,'Data 2'!$A$1:$F$46,MATCH('Data 1'!I$1,'Data 2'!$A$1:$F$1,0),0)</f>
        <v>Ft</v>
      </c>
      <c r="J294" s="39">
        <f>VLOOKUP('Data 1'!$B294,'Data 2'!$A$1:$F$46,MATCH('Data 1'!J$1,'Data 2'!$A$1:$F$1,0),0)</f>
        <v>133</v>
      </c>
      <c r="K294" s="39">
        <f>VLOOKUP('Data 1'!$B294,'Data 2'!$A$1:$F$46,MATCH('Data 1'!K$1,'Data 2'!$A$1:$F$1,0),0)</f>
        <v>155.61000000000001</v>
      </c>
      <c r="L294" s="40">
        <f>SUM('Data 1'!$J294*'Data 1'!$C294)</f>
        <v>1463</v>
      </c>
      <c r="M294" s="40">
        <f>'Data 1'!$C294*'Data 1'!$K294</f>
        <v>1711.71</v>
      </c>
      <c r="N294" s="40">
        <f>'Data 1'!$M294-'Data 1'!$L294</f>
        <v>248.71000000000004</v>
      </c>
      <c r="O294" s="37">
        <f>DAY('Data 1'!$A294)</f>
        <v>8</v>
      </c>
      <c r="P294" s="37" t="str">
        <f>TEXT('Data 1'!$A294,"mmm")</f>
        <v>Feb</v>
      </c>
      <c r="Q294" s="41">
        <f>YEAR('Data 1'!$A294)</f>
        <v>2022</v>
      </c>
    </row>
    <row r="295" spans="1:17" x14ac:dyDescent="0.3">
      <c r="A295" s="35">
        <v>44600</v>
      </c>
      <c r="B295" s="36" t="s">
        <v>22</v>
      </c>
      <c r="C295" s="37">
        <v>3</v>
      </c>
      <c r="D295" s="37" t="s">
        <v>17</v>
      </c>
      <c r="E295" s="37" t="s">
        <v>19</v>
      </c>
      <c r="F295" s="38">
        <v>0</v>
      </c>
      <c r="G295" s="42" t="str">
        <f>VLOOKUP('Data 1'!$B295,'Data 2'!$A$1:$F$46,MATCH('Data 1'!G$1,'Data 2'!$A$1:$F$1,0),0)</f>
        <v>Product04</v>
      </c>
      <c r="H295" s="42" t="str">
        <f>VLOOKUP('Data 1'!$B295,'Data 2'!$A$1:$F$46,MATCH('Data 1'!H$1,'Data 2'!$A$1:$F$1,0),0)</f>
        <v>Category01</v>
      </c>
      <c r="I295" s="42" t="str">
        <f>VLOOKUP('Data 1'!$B295,'Data 2'!$A$1:$F$46,MATCH('Data 1'!I$1,'Data 2'!$A$1:$F$1,0),0)</f>
        <v>Lt</v>
      </c>
      <c r="J295" s="42">
        <f>VLOOKUP('Data 1'!$B295,'Data 2'!$A$1:$F$46,MATCH('Data 1'!J$1,'Data 2'!$A$1:$F$1,0),0)</f>
        <v>44</v>
      </c>
      <c r="K295" s="42">
        <f>VLOOKUP('Data 1'!$B295,'Data 2'!$A$1:$F$46,MATCH('Data 1'!K$1,'Data 2'!$A$1:$F$1,0),0)</f>
        <v>48.84</v>
      </c>
      <c r="L295" s="40">
        <f>SUM('Data 1'!$J295*'Data 1'!$C295)</f>
        <v>132</v>
      </c>
      <c r="M295" s="40">
        <f>'Data 1'!$C295*'Data 1'!$K295</f>
        <v>146.52000000000001</v>
      </c>
      <c r="N295" s="40">
        <f>'Data 1'!$M295-'Data 1'!$L295</f>
        <v>14.52000000000001</v>
      </c>
      <c r="O295" s="37">
        <f>DAY('Data 1'!$A295)</f>
        <v>8</v>
      </c>
      <c r="P295" s="37" t="str">
        <f>TEXT('Data 1'!$A295,"mmm")</f>
        <v>Feb</v>
      </c>
      <c r="Q295" s="41">
        <f>YEAR('Data 1'!$A295)</f>
        <v>2022</v>
      </c>
    </row>
    <row r="296" spans="1:17" x14ac:dyDescent="0.3">
      <c r="A296" s="35">
        <v>44601</v>
      </c>
      <c r="B296" s="36" t="s">
        <v>37</v>
      </c>
      <c r="C296" s="37">
        <v>14</v>
      </c>
      <c r="D296" s="37" t="s">
        <v>17</v>
      </c>
      <c r="E296" s="37" t="s">
        <v>17</v>
      </c>
      <c r="F296" s="38">
        <v>0</v>
      </c>
      <c r="G296" s="39" t="str">
        <f>VLOOKUP('Data 1'!$B296,'Data 2'!$A$1:$F$46,MATCH('Data 1'!G$1,'Data 2'!$A$1:$F$1,0),0)</f>
        <v>Product32</v>
      </c>
      <c r="H296" s="39" t="str">
        <f>VLOOKUP('Data 1'!$B296,'Data 2'!$A$1:$F$46,MATCH('Data 1'!H$1,'Data 2'!$A$1:$F$1,0),0)</f>
        <v>Category04</v>
      </c>
      <c r="I296" s="39" t="str">
        <f>VLOOKUP('Data 1'!$B296,'Data 2'!$A$1:$F$46,MATCH('Data 1'!I$1,'Data 2'!$A$1:$F$1,0),0)</f>
        <v>Kg</v>
      </c>
      <c r="J296" s="39">
        <f>VLOOKUP('Data 1'!$B296,'Data 2'!$A$1:$F$46,MATCH('Data 1'!J$1,'Data 2'!$A$1:$F$1,0),0)</f>
        <v>89</v>
      </c>
      <c r="K296" s="39">
        <f>VLOOKUP('Data 1'!$B296,'Data 2'!$A$1:$F$46,MATCH('Data 1'!K$1,'Data 2'!$A$1:$F$1,0),0)</f>
        <v>117.48</v>
      </c>
      <c r="L296" s="40">
        <f>SUM('Data 1'!$J296*'Data 1'!$C296)</f>
        <v>1246</v>
      </c>
      <c r="M296" s="40">
        <f>'Data 1'!$C296*'Data 1'!$K296</f>
        <v>1644.72</v>
      </c>
      <c r="N296" s="40">
        <f>'Data 1'!$M296-'Data 1'!$L296</f>
        <v>398.72</v>
      </c>
      <c r="O296" s="37">
        <f>DAY('Data 1'!$A296)</f>
        <v>9</v>
      </c>
      <c r="P296" s="37" t="str">
        <f>TEXT('Data 1'!$A296,"mmm")</f>
        <v>Feb</v>
      </c>
      <c r="Q296" s="41">
        <f>YEAR('Data 1'!$A296)</f>
        <v>2022</v>
      </c>
    </row>
    <row r="297" spans="1:17" x14ac:dyDescent="0.3">
      <c r="A297" s="35">
        <v>44604</v>
      </c>
      <c r="B297" s="36" t="s">
        <v>39</v>
      </c>
      <c r="C297" s="37">
        <v>13</v>
      </c>
      <c r="D297" s="37" t="s">
        <v>21</v>
      </c>
      <c r="E297" s="37" t="s">
        <v>19</v>
      </c>
      <c r="F297" s="38">
        <v>0</v>
      </c>
      <c r="G297" s="42" t="str">
        <f>VLOOKUP('Data 1'!$B297,'Data 2'!$A$1:$F$46,MATCH('Data 1'!G$1,'Data 2'!$A$1:$F$1,0),0)</f>
        <v>Product10</v>
      </c>
      <c r="H297" s="42" t="str">
        <f>VLOOKUP('Data 1'!$B297,'Data 2'!$A$1:$F$46,MATCH('Data 1'!H$1,'Data 2'!$A$1:$F$1,0),0)</f>
        <v>Category02</v>
      </c>
      <c r="I297" s="42" t="str">
        <f>VLOOKUP('Data 1'!$B297,'Data 2'!$A$1:$F$46,MATCH('Data 1'!I$1,'Data 2'!$A$1:$F$1,0),0)</f>
        <v>Ft</v>
      </c>
      <c r="J297" s="42">
        <f>VLOOKUP('Data 1'!$B297,'Data 2'!$A$1:$F$46,MATCH('Data 1'!J$1,'Data 2'!$A$1:$F$1,0),0)</f>
        <v>148</v>
      </c>
      <c r="K297" s="42">
        <f>VLOOKUP('Data 1'!$B297,'Data 2'!$A$1:$F$46,MATCH('Data 1'!K$1,'Data 2'!$A$1:$F$1,0),0)</f>
        <v>164.28</v>
      </c>
      <c r="L297" s="40">
        <f>SUM('Data 1'!$J297*'Data 1'!$C297)</f>
        <v>1924</v>
      </c>
      <c r="M297" s="40">
        <f>'Data 1'!$C297*'Data 1'!$K297</f>
        <v>2135.64</v>
      </c>
      <c r="N297" s="40">
        <f>'Data 1'!$M297-'Data 1'!$L297</f>
        <v>211.63999999999987</v>
      </c>
      <c r="O297" s="37">
        <f>DAY('Data 1'!$A297)</f>
        <v>12</v>
      </c>
      <c r="P297" s="37" t="str">
        <f>TEXT('Data 1'!$A297,"mmm")</f>
        <v>Feb</v>
      </c>
      <c r="Q297" s="41">
        <f>YEAR('Data 1'!$A297)</f>
        <v>2022</v>
      </c>
    </row>
    <row r="298" spans="1:17" x14ac:dyDescent="0.3">
      <c r="A298" s="35">
        <v>44606</v>
      </c>
      <c r="B298" s="36" t="s">
        <v>61</v>
      </c>
      <c r="C298" s="37">
        <v>8</v>
      </c>
      <c r="D298" s="37" t="s">
        <v>17</v>
      </c>
      <c r="E298" s="37" t="s">
        <v>19</v>
      </c>
      <c r="F298" s="38">
        <v>0</v>
      </c>
      <c r="G298" s="39" t="str">
        <f>VLOOKUP('Data 1'!$B298,'Data 2'!$A$1:$F$46,MATCH('Data 1'!G$1,'Data 2'!$A$1:$F$1,0),0)</f>
        <v>Product26</v>
      </c>
      <c r="H298" s="39" t="str">
        <f>VLOOKUP('Data 1'!$B298,'Data 2'!$A$1:$F$46,MATCH('Data 1'!H$1,'Data 2'!$A$1:$F$1,0),0)</f>
        <v>Category04</v>
      </c>
      <c r="I298" s="39" t="str">
        <f>VLOOKUP('Data 1'!$B298,'Data 2'!$A$1:$F$46,MATCH('Data 1'!I$1,'Data 2'!$A$1:$F$1,0),0)</f>
        <v>No.</v>
      </c>
      <c r="J298" s="39">
        <f>VLOOKUP('Data 1'!$B298,'Data 2'!$A$1:$F$46,MATCH('Data 1'!J$1,'Data 2'!$A$1:$F$1,0),0)</f>
        <v>18</v>
      </c>
      <c r="K298" s="39">
        <f>VLOOKUP('Data 1'!$B298,'Data 2'!$A$1:$F$46,MATCH('Data 1'!K$1,'Data 2'!$A$1:$F$1,0),0)</f>
        <v>24.66</v>
      </c>
      <c r="L298" s="40">
        <f>SUM('Data 1'!$J298*'Data 1'!$C298)</f>
        <v>144</v>
      </c>
      <c r="M298" s="40">
        <f>'Data 1'!$C298*'Data 1'!$K298</f>
        <v>197.28</v>
      </c>
      <c r="N298" s="40">
        <f>'Data 1'!$M298-'Data 1'!$L298</f>
        <v>53.28</v>
      </c>
      <c r="O298" s="37">
        <f>DAY('Data 1'!$A298)</f>
        <v>14</v>
      </c>
      <c r="P298" s="37" t="str">
        <f>TEXT('Data 1'!$A298,"mmm")</f>
        <v>Feb</v>
      </c>
      <c r="Q298" s="41">
        <f>YEAR('Data 1'!$A298)</f>
        <v>2022</v>
      </c>
    </row>
    <row r="299" spans="1:17" x14ac:dyDescent="0.3">
      <c r="A299" s="35">
        <v>44606</v>
      </c>
      <c r="B299" s="36" t="s">
        <v>52</v>
      </c>
      <c r="C299" s="37">
        <v>3</v>
      </c>
      <c r="D299" s="37" t="s">
        <v>21</v>
      </c>
      <c r="E299" s="37" t="s">
        <v>19</v>
      </c>
      <c r="F299" s="38">
        <v>0</v>
      </c>
      <c r="G299" s="42" t="str">
        <f>VLOOKUP('Data 1'!$B299,'Data 2'!$A$1:$F$46,MATCH('Data 1'!G$1,'Data 2'!$A$1:$F$1,0),0)</f>
        <v>Product28</v>
      </c>
      <c r="H299" s="42" t="str">
        <f>VLOOKUP('Data 1'!$B299,'Data 2'!$A$1:$F$46,MATCH('Data 1'!H$1,'Data 2'!$A$1:$F$1,0),0)</f>
        <v>Category04</v>
      </c>
      <c r="I299" s="42" t="str">
        <f>VLOOKUP('Data 1'!$B299,'Data 2'!$A$1:$F$46,MATCH('Data 1'!I$1,'Data 2'!$A$1:$F$1,0),0)</f>
        <v>No.</v>
      </c>
      <c r="J299" s="42">
        <f>VLOOKUP('Data 1'!$B299,'Data 2'!$A$1:$F$46,MATCH('Data 1'!J$1,'Data 2'!$A$1:$F$1,0),0)</f>
        <v>37</v>
      </c>
      <c r="K299" s="42">
        <f>VLOOKUP('Data 1'!$B299,'Data 2'!$A$1:$F$46,MATCH('Data 1'!K$1,'Data 2'!$A$1:$F$1,0),0)</f>
        <v>41.81</v>
      </c>
      <c r="L299" s="40">
        <f>SUM('Data 1'!$J299*'Data 1'!$C299)</f>
        <v>111</v>
      </c>
      <c r="M299" s="40">
        <f>'Data 1'!$C299*'Data 1'!$K299</f>
        <v>125.43</v>
      </c>
      <c r="N299" s="40">
        <f>'Data 1'!$M299-'Data 1'!$L299</f>
        <v>14.430000000000007</v>
      </c>
      <c r="O299" s="37">
        <f>DAY('Data 1'!$A299)</f>
        <v>14</v>
      </c>
      <c r="P299" s="37" t="str">
        <f>TEXT('Data 1'!$A299,"mmm")</f>
        <v>Feb</v>
      </c>
      <c r="Q299" s="41">
        <f>YEAR('Data 1'!$A299)</f>
        <v>2022</v>
      </c>
    </row>
    <row r="300" spans="1:17" x14ac:dyDescent="0.3">
      <c r="A300" s="35">
        <v>44608</v>
      </c>
      <c r="B300" s="36" t="s">
        <v>37</v>
      </c>
      <c r="C300" s="37">
        <v>1</v>
      </c>
      <c r="D300" s="37" t="s">
        <v>17</v>
      </c>
      <c r="E300" s="37" t="s">
        <v>19</v>
      </c>
      <c r="F300" s="38">
        <v>0</v>
      </c>
      <c r="G300" s="39" t="str">
        <f>VLOOKUP('Data 1'!$B300,'Data 2'!$A$1:$F$46,MATCH('Data 1'!G$1,'Data 2'!$A$1:$F$1,0),0)</f>
        <v>Product32</v>
      </c>
      <c r="H300" s="39" t="str">
        <f>VLOOKUP('Data 1'!$B300,'Data 2'!$A$1:$F$46,MATCH('Data 1'!H$1,'Data 2'!$A$1:$F$1,0),0)</f>
        <v>Category04</v>
      </c>
      <c r="I300" s="39" t="str">
        <f>VLOOKUP('Data 1'!$B300,'Data 2'!$A$1:$F$46,MATCH('Data 1'!I$1,'Data 2'!$A$1:$F$1,0),0)</f>
        <v>Kg</v>
      </c>
      <c r="J300" s="39">
        <f>VLOOKUP('Data 1'!$B300,'Data 2'!$A$1:$F$46,MATCH('Data 1'!J$1,'Data 2'!$A$1:$F$1,0),0)</f>
        <v>89</v>
      </c>
      <c r="K300" s="39">
        <f>VLOOKUP('Data 1'!$B300,'Data 2'!$A$1:$F$46,MATCH('Data 1'!K$1,'Data 2'!$A$1:$F$1,0),0)</f>
        <v>117.48</v>
      </c>
      <c r="L300" s="40">
        <f>SUM('Data 1'!$J300*'Data 1'!$C300)</f>
        <v>89</v>
      </c>
      <c r="M300" s="40">
        <f>'Data 1'!$C300*'Data 1'!$K300</f>
        <v>117.48</v>
      </c>
      <c r="N300" s="40">
        <f>'Data 1'!$M300-'Data 1'!$L300</f>
        <v>28.480000000000004</v>
      </c>
      <c r="O300" s="37">
        <f>DAY('Data 1'!$A300)</f>
        <v>16</v>
      </c>
      <c r="P300" s="37" t="str">
        <f>TEXT('Data 1'!$A300,"mmm")</f>
        <v>Feb</v>
      </c>
      <c r="Q300" s="41">
        <f>YEAR('Data 1'!$A300)</f>
        <v>2022</v>
      </c>
    </row>
    <row r="301" spans="1:17" x14ac:dyDescent="0.3">
      <c r="A301" s="35">
        <v>44611</v>
      </c>
      <c r="B301" s="36" t="s">
        <v>48</v>
      </c>
      <c r="C301" s="37">
        <v>13</v>
      </c>
      <c r="D301" s="37" t="s">
        <v>17</v>
      </c>
      <c r="E301" s="37" t="s">
        <v>19</v>
      </c>
      <c r="F301" s="38">
        <v>0</v>
      </c>
      <c r="G301" s="42" t="str">
        <f>VLOOKUP('Data 1'!$B301,'Data 2'!$A$1:$F$46,MATCH('Data 1'!G$1,'Data 2'!$A$1:$F$1,0),0)</f>
        <v>Product02</v>
      </c>
      <c r="H301" s="42" t="str">
        <f>VLOOKUP('Data 1'!$B301,'Data 2'!$A$1:$F$46,MATCH('Data 1'!H$1,'Data 2'!$A$1:$F$1,0),0)</f>
        <v>Category01</v>
      </c>
      <c r="I301" s="42" t="str">
        <f>VLOOKUP('Data 1'!$B301,'Data 2'!$A$1:$F$46,MATCH('Data 1'!I$1,'Data 2'!$A$1:$F$1,0),0)</f>
        <v>Kg</v>
      </c>
      <c r="J301" s="42">
        <f>VLOOKUP('Data 1'!$B301,'Data 2'!$A$1:$F$46,MATCH('Data 1'!J$1,'Data 2'!$A$1:$F$1,0),0)</f>
        <v>105</v>
      </c>
      <c r="K301" s="42">
        <f>VLOOKUP('Data 1'!$B301,'Data 2'!$A$1:$F$46,MATCH('Data 1'!K$1,'Data 2'!$A$1:$F$1,0),0)</f>
        <v>142.80000000000001</v>
      </c>
      <c r="L301" s="40">
        <f>SUM('Data 1'!$J301*'Data 1'!$C301)</f>
        <v>1365</v>
      </c>
      <c r="M301" s="40">
        <f>'Data 1'!$C301*'Data 1'!$K301</f>
        <v>1856.4</v>
      </c>
      <c r="N301" s="40">
        <f>'Data 1'!$M301-'Data 1'!$L301</f>
        <v>491.40000000000009</v>
      </c>
      <c r="O301" s="37">
        <f>DAY('Data 1'!$A301)</f>
        <v>19</v>
      </c>
      <c r="P301" s="37" t="str">
        <f>TEXT('Data 1'!$A301,"mmm")</f>
        <v>Feb</v>
      </c>
      <c r="Q301" s="41">
        <f>YEAR('Data 1'!$A301)</f>
        <v>2022</v>
      </c>
    </row>
    <row r="302" spans="1:17" x14ac:dyDescent="0.3">
      <c r="A302" s="35">
        <v>44612</v>
      </c>
      <c r="B302" s="36" t="s">
        <v>54</v>
      </c>
      <c r="C302" s="37">
        <v>6</v>
      </c>
      <c r="D302" s="37" t="s">
        <v>21</v>
      </c>
      <c r="E302" s="37" t="s">
        <v>19</v>
      </c>
      <c r="F302" s="38">
        <v>0</v>
      </c>
      <c r="G302" s="39" t="str">
        <f>VLOOKUP('Data 1'!$B302,'Data 2'!$A$1:$F$46,MATCH('Data 1'!G$1,'Data 2'!$A$1:$F$1,0),0)</f>
        <v>Product12</v>
      </c>
      <c r="H302" s="39" t="str">
        <f>VLOOKUP('Data 1'!$B302,'Data 2'!$A$1:$F$46,MATCH('Data 1'!H$1,'Data 2'!$A$1:$F$1,0),0)</f>
        <v>Category02</v>
      </c>
      <c r="I302" s="39" t="str">
        <f>VLOOKUP('Data 1'!$B302,'Data 2'!$A$1:$F$46,MATCH('Data 1'!I$1,'Data 2'!$A$1:$F$1,0),0)</f>
        <v>Kg</v>
      </c>
      <c r="J302" s="39">
        <f>VLOOKUP('Data 1'!$B302,'Data 2'!$A$1:$F$46,MATCH('Data 1'!J$1,'Data 2'!$A$1:$F$1,0),0)</f>
        <v>73</v>
      </c>
      <c r="K302" s="39">
        <f>VLOOKUP('Data 1'!$B302,'Data 2'!$A$1:$F$46,MATCH('Data 1'!K$1,'Data 2'!$A$1:$F$1,0),0)</f>
        <v>94.17</v>
      </c>
      <c r="L302" s="40">
        <f>SUM('Data 1'!$J302*'Data 1'!$C302)</f>
        <v>438</v>
      </c>
      <c r="M302" s="40">
        <f>'Data 1'!$C302*'Data 1'!$K302</f>
        <v>565.02</v>
      </c>
      <c r="N302" s="40">
        <f>'Data 1'!$M302-'Data 1'!$L302</f>
        <v>127.01999999999998</v>
      </c>
      <c r="O302" s="37">
        <f>DAY('Data 1'!$A302)</f>
        <v>20</v>
      </c>
      <c r="P302" s="37" t="str">
        <f>TEXT('Data 1'!$A302,"mmm")</f>
        <v>Feb</v>
      </c>
      <c r="Q302" s="41">
        <f>YEAR('Data 1'!$A302)</f>
        <v>2022</v>
      </c>
    </row>
    <row r="303" spans="1:17" x14ac:dyDescent="0.3">
      <c r="A303" s="35">
        <v>44615</v>
      </c>
      <c r="B303" s="36" t="s">
        <v>20</v>
      </c>
      <c r="C303" s="37">
        <v>6</v>
      </c>
      <c r="D303" s="37" t="s">
        <v>17</v>
      </c>
      <c r="E303" s="37" t="s">
        <v>17</v>
      </c>
      <c r="F303" s="38">
        <v>0</v>
      </c>
      <c r="G303" s="42" t="str">
        <f>VLOOKUP('Data 1'!$B303,'Data 2'!$A$1:$F$46,MATCH('Data 1'!G$1,'Data 2'!$A$1:$F$1,0),0)</f>
        <v>Product13</v>
      </c>
      <c r="H303" s="42" t="str">
        <f>VLOOKUP('Data 1'!$B303,'Data 2'!$A$1:$F$46,MATCH('Data 1'!H$1,'Data 2'!$A$1:$F$1,0),0)</f>
        <v>Category02</v>
      </c>
      <c r="I303" s="42" t="str">
        <f>VLOOKUP('Data 1'!$B303,'Data 2'!$A$1:$F$46,MATCH('Data 1'!I$1,'Data 2'!$A$1:$F$1,0),0)</f>
        <v>Kg</v>
      </c>
      <c r="J303" s="42">
        <f>VLOOKUP('Data 1'!$B303,'Data 2'!$A$1:$F$46,MATCH('Data 1'!J$1,'Data 2'!$A$1:$F$1,0),0)</f>
        <v>112</v>
      </c>
      <c r="K303" s="42">
        <f>VLOOKUP('Data 1'!$B303,'Data 2'!$A$1:$F$46,MATCH('Data 1'!K$1,'Data 2'!$A$1:$F$1,0),0)</f>
        <v>122.08</v>
      </c>
      <c r="L303" s="40">
        <f>SUM('Data 1'!$J303*'Data 1'!$C303)</f>
        <v>672</v>
      </c>
      <c r="M303" s="40">
        <f>'Data 1'!$C303*'Data 1'!$K303</f>
        <v>732.48</v>
      </c>
      <c r="N303" s="40">
        <f>'Data 1'!$M303-'Data 1'!$L303</f>
        <v>60.480000000000018</v>
      </c>
      <c r="O303" s="37">
        <f>DAY('Data 1'!$A303)</f>
        <v>23</v>
      </c>
      <c r="P303" s="37" t="str">
        <f>TEXT('Data 1'!$A303,"mmm")</f>
        <v>Feb</v>
      </c>
      <c r="Q303" s="41">
        <f>YEAR('Data 1'!$A303)</f>
        <v>2022</v>
      </c>
    </row>
    <row r="304" spans="1:17" x14ac:dyDescent="0.3">
      <c r="A304" s="35">
        <v>44615</v>
      </c>
      <c r="B304" s="36" t="s">
        <v>40</v>
      </c>
      <c r="C304" s="37">
        <v>15</v>
      </c>
      <c r="D304" s="37" t="s">
        <v>17</v>
      </c>
      <c r="E304" s="37" t="s">
        <v>19</v>
      </c>
      <c r="F304" s="38">
        <v>0</v>
      </c>
      <c r="G304" s="39" t="str">
        <f>VLOOKUP('Data 1'!$B304,'Data 2'!$A$1:$F$46,MATCH('Data 1'!G$1,'Data 2'!$A$1:$F$1,0),0)</f>
        <v>Product16</v>
      </c>
      <c r="H304" s="39" t="str">
        <f>VLOOKUP('Data 1'!$B304,'Data 2'!$A$1:$F$46,MATCH('Data 1'!H$1,'Data 2'!$A$1:$F$1,0),0)</f>
        <v>Category02</v>
      </c>
      <c r="I304" s="39" t="str">
        <f>VLOOKUP('Data 1'!$B304,'Data 2'!$A$1:$F$46,MATCH('Data 1'!I$1,'Data 2'!$A$1:$F$1,0),0)</f>
        <v>No.</v>
      </c>
      <c r="J304" s="39">
        <f>VLOOKUP('Data 1'!$B304,'Data 2'!$A$1:$F$46,MATCH('Data 1'!J$1,'Data 2'!$A$1:$F$1,0),0)</f>
        <v>13</v>
      </c>
      <c r="K304" s="39">
        <f>VLOOKUP('Data 1'!$B304,'Data 2'!$A$1:$F$46,MATCH('Data 1'!K$1,'Data 2'!$A$1:$F$1,0),0)</f>
        <v>16.64</v>
      </c>
      <c r="L304" s="40">
        <f>SUM('Data 1'!$J304*'Data 1'!$C304)</f>
        <v>195</v>
      </c>
      <c r="M304" s="40">
        <f>'Data 1'!$C304*'Data 1'!$K304</f>
        <v>249.60000000000002</v>
      </c>
      <c r="N304" s="40">
        <f>'Data 1'!$M304-'Data 1'!$L304</f>
        <v>54.600000000000023</v>
      </c>
      <c r="O304" s="37">
        <f>DAY('Data 1'!$A304)</f>
        <v>23</v>
      </c>
      <c r="P304" s="37" t="str">
        <f>TEXT('Data 1'!$A304,"mmm")</f>
        <v>Feb</v>
      </c>
      <c r="Q304" s="41">
        <f>YEAR('Data 1'!$A304)</f>
        <v>2022</v>
      </c>
    </row>
    <row r="305" spans="1:17" x14ac:dyDescent="0.3">
      <c r="A305" s="35">
        <v>44615</v>
      </c>
      <c r="B305" s="36" t="s">
        <v>62</v>
      </c>
      <c r="C305" s="37">
        <v>8</v>
      </c>
      <c r="D305" s="37" t="s">
        <v>21</v>
      </c>
      <c r="E305" s="37" t="s">
        <v>17</v>
      </c>
      <c r="F305" s="38">
        <v>0</v>
      </c>
      <c r="G305" s="42" t="str">
        <f>VLOOKUP('Data 1'!$B305,'Data 2'!$A$1:$F$46,MATCH('Data 1'!G$1,'Data 2'!$A$1:$F$1,0),0)</f>
        <v>Product36</v>
      </c>
      <c r="H305" s="42" t="str">
        <f>VLOOKUP('Data 1'!$B305,'Data 2'!$A$1:$F$46,MATCH('Data 1'!H$1,'Data 2'!$A$1:$F$1,0),0)</f>
        <v>Category04</v>
      </c>
      <c r="I305" s="42" t="str">
        <f>VLOOKUP('Data 1'!$B305,'Data 2'!$A$1:$F$46,MATCH('Data 1'!I$1,'Data 2'!$A$1:$F$1,0),0)</f>
        <v>Kg</v>
      </c>
      <c r="J305" s="42">
        <f>VLOOKUP('Data 1'!$B305,'Data 2'!$A$1:$F$46,MATCH('Data 1'!J$1,'Data 2'!$A$1:$F$1,0),0)</f>
        <v>90</v>
      </c>
      <c r="K305" s="42">
        <f>VLOOKUP('Data 1'!$B305,'Data 2'!$A$1:$F$46,MATCH('Data 1'!K$1,'Data 2'!$A$1:$F$1,0),0)</f>
        <v>96.3</v>
      </c>
      <c r="L305" s="40">
        <f>SUM('Data 1'!$J305*'Data 1'!$C305)</f>
        <v>720</v>
      </c>
      <c r="M305" s="40">
        <f>'Data 1'!$C305*'Data 1'!$K305</f>
        <v>770.4</v>
      </c>
      <c r="N305" s="40">
        <f>'Data 1'!$M305-'Data 1'!$L305</f>
        <v>50.399999999999977</v>
      </c>
      <c r="O305" s="37">
        <f>DAY('Data 1'!$A305)</f>
        <v>23</v>
      </c>
      <c r="P305" s="37" t="str">
        <f>TEXT('Data 1'!$A305,"mmm")</f>
        <v>Feb</v>
      </c>
      <c r="Q305" s="41">
        <f>YEAR('Data 1'!$A305)</f>
        <v>2022</v>
      </c>
    </row>
    <row r="306" spans="1:17" x14ac:dyDescent="0.3">
      <c r="A306" s="35">
        <v>44619</v>
      </c>
      <c r="B306" s="36" t="s">
        <v>54</v>
      </c>
      <c r="C306" s="37">
        <v>7</v>
      </c>
      <c r="D306" s="37" t="s">
        <v>21</v>
      </c>
      <c r="E306" s="37" t="s">
        <v>19</v>
      </c>
      <c r="F306" s="38">
        <v>0</v>
      </c>
      <c r="G306" s="39" t="str">
        <f>VLOOKUP('Data 1'!$B306,'Data 2'!$A$1:$F$46,MATCH('Data 1'!G$1,'Data 2'!$A$1:$F$1,0),0)</f>
        <v>Product12</v>
      </c>
      <c r="H306" s="39" t="str">
        <f>VLOOKUP('Data 1'!$B306,'Data 2'!$A$1:$F$46,MATCH('Data 1'!H$1,'Data 2'!$A$1:$F$1,0),0)</f>
        <v>Category02</v>
      </c>
      <c r="I306" s="39" t="str">
        <f>VLOOKUP('Data 1'!$B306,'Data 2'!$A$1:$F$46,MATCH('Data 1'!I$1,'Data 2'!$A$1:$F$1,0),0)</f>
        <v>Kg</v>
      </c>
      <c r="J306" s="39">
        <f>VLOOKUP('Data 1'!$B306,'Data 2'!$A$1:$F$46,MATCH('Data 1'!J$1,'Data 2'!$A$1:$F$1,0),0)</f>
        <v>73</v>
      </c>
      <c r="K306" s="39">
        <f>VLOOKUP('Data 1'!$B306,'Data 2'!$A$1:$F$46,MATCH('Data 1'!K$1,'Data 2'!$A$1:$F$1,0),0)</f>
        <v>94.17</v>
      </c>
      <c r="L306" s="40">
        <f>SUM('Data 1'!$J306*'Data 1'!$C306)</f>
        <v>511</v>
      </c>
      <c r="M306" s="40">
        <f>'Data 1'!$C306*'Data 1'!$K306</f>
        <v>659.19</v>
      </c>
      <c r="N306" s="40">
        <f>'Data 1'!$M306-'Data 1'!$L306</f>
        <v>148.19000000000005</v>
      </c>
      <c r="O306" s="37">
        <f>DAY('Data 1'!$A306)</f>
        <v>27</v>
      </c>
      <c r="P306" s="37" t="str">
        <f>TEXT('Data 1'!$A306,"mmm")</f>
        <v>Feb</v>
      </c>
      <c r="Q306" s="41">
        <f>YEAR('Data 1'!$A306)</f>
        <v>2022</v>
      </c>
    </row>
    <row r="307" spans="1:17" x14ac:dyDescent="0.3">
      <c r="A307" s="35">
        <v>44619</v>
      </c>
      <c r="B307" s="36" t="s">
        <v>43</v>
      </c>
      <c r="C307" s="37">
        <v>15</v>
      </c>
      <c r="D307" s="37" t="s">
        <v>21</v>
      </c>
      <c r="E307" s="37" t="s">
        <v>17</v>
      </c>
      <c r="F307" s="38">
        <v>0</v>
      </c>
      <c r="G307" s="42" t="str">
        <f>VLOOKUP('Data 1'!$B307,'Data 2'!$A$1:$F$46,MATCH('Data 1'!G$1,'Data 2'!$A$1:$F$1,0),0)</f>
        <v>Product05</v>
      </c>
      <c r="H307" s="42" t="str">
        <f>VLOOKUP('Data 1'!$B307,'Data 2'!$A$1:$F$46,MATCH('Data 1'!H$1,'Data 2'!$A$1:$F$1,0),0)</f>
        <v>Category01</v>
      </c>
      <c r="I307" s="42" t="str">
        <f>VLOOKUP('Data 1'!$B307,'Data 2'!$A$1:$F$46,MATCH('Data 1'!I$1,'Data 2'!$A$1:$F$1,0),0)</f>
        <v>Ft</v>
      </c>
      <c r="J307" s="42">
        <f>VLOOKUP('Data 1'!$B307,'Data 2'!$A$1:$F$46,MATCH('Data 1'!J$1,'Data 2'!$A$1:$F$1,0),0)</f>
        <v>133</v>
      </c>
      <c r="K307" s="42">
        <f>VLOOKUP('Data 1'!$B307,'Data 2'!$A$1:$F$46,MATCH('Data 1'!K$1,'Data 2'!$A$1:$F$1,0),0)</f>
        <v>155.61000000000001</v>
      </c>
      <c r="L307" s="40">
        <f>SUM('Data 1'!$J307*'Data 1'!$C307)</f>
        <v>1995</v>
      </c>
      <c r="M307" s="40">
        <f>'Data 1'!$C307*'Data 1'!$K307</f>
        <v>2334.15</v>
      </c>
      <c r="N307" s="40">
        <f>'Data 1'!$M307-'Data 1'!$L307</f>
        <v>339.15000000000009</v>
      </c>
      <c r="O307" s="37">
        <f>DAY('Data 1'!$A307)</f>
        <v>27</v>
      </c>
      <c r="P307" s="37" t="str">
        <f>TEXT('Data 1'!$A307,"mmm")</f>
        <v>Feb</v>
      </c>
      <c r="Q307" s="41">
        <f>YEAR('Data 1'!$A307)</f>
        <v>2022</v>
      </c>
    </row>
    <row r="308" spans="1:17" x14ac:dyDescent="0.3">
      <c r="A308" s="35">
        <v>44620</v>
      </c>
      <c r="B308" s="36" t="s">
        <v>27</v>
      </c>
      <c r="C308" s="37">
        <v>15</v>
      </c>
      <c r="D308" s="37" t="s">
        <v>21</v>
      </c>
      <c r="E308" s="37" t="s">
        <v>19</v>
      </c>
      <c r="F308" s="38">
        <v>0</v>
      </c>
      <c r="G308" s="39" t="str">
        <f>VLOOKUP('Data 1'!$B308,'Data 2'!$A$1:$F$46,MATCH('Data 1'!G$1,'Data 2'!$A$1:$F$1,0),0)</f>
        <v>Product37</v>
      </c>
      <c r="H308" s="39" t="str">
        <f>VLOOKUP('Data 1'!$B308,'Data 2'!$A$1:$F$46,MATCH('Data 1'!H$1,'Data 2'!$A$1:$F$1,0),0)</f>
        <v>Category05</v>
      </c>
      <c r="I308" s="39" t="str">
        <f>VLOOKUP('Data 1'!$B308,'Data 2'!$A$1:$F$46,MATCH('Data 1'!I$1,'Data 2'!$A$1:$F$1,0),0)</f>
        <v>Kg</v>
      </c>
      <c r="J308" s="39">
        <f>VLOOKUP('Data 1'!$B308,'Data 2'!$A$1:$F$46,MATCH('Data 1'!J$1,'Data 2'!$A$1:$F$1,0),0)</f>
        <v>67</v>
      </c>
      <c r="K308" s="39">
        <f>VLOOKUP('Data 1'!$B308,'Data 2'!$A$1:$F$46,MATCH('Data 1'!K$1,'Data 2'!$A$1:$F$1,0),0)</f>
        <v>85.76</v>
      </c>
      <c r="L308" s="40">
        <f>SUM('Data 1'!$J308*'Data 1'!$C308)</f>
        <v>1005</v>
      </c>
      <c r="M308" s="40">
        <f>'Data 1'!$C308*'Data 1'!$K308</f>
        <v>1286.4000000000001</v>
      </c>
      <c r="N308" s="40">
        <f>'Data 1'!$M308-'Data 1'!$L308</f>
        <v>281.40000000000009</v>
      </c>
      <c r="O308" s="37">
        <f>DAY('Data 1'!$A308)</f>
        <v>28</v>
      </c>
      <c r="P308" s="37" t="str">
        <f>TEXT('Data 1'!$A308,"mmm")</f>
        <v>Feb</v>
      </c>
      <c r="Q308" s="41">
        <f>YEAR('Data 1'!$A308)</f>
        <v>2022</v>
      </c>
    </row>
    <row r="309" spans="1:17" x14ac:dyDescent="0.3">
      <c r="A309" s="35">
        <v>44624</v>
      </c>
      <c r="B309" s="36" t="s">
        <v>61</v>
      </c>
      <c r="C309" s="37">
        <v>13</v>
      </c>
      <c r="D309" s="37" t="s">
        <v>16</v>
      </c>
      <c r="E309" s="37" t="s">
        <v>17</v>
      </c>
      <c r="F309" s="38">
        <v>0</v>
      </c>
      <c r="G309" s="42" t="str">
        <f>VLOOKUP('Data 1'!$B309,'Data 2'!$A$1:$F$46,MATCH('Data 1'!G$1,'Data 2'!$A$1:$F$1,0),0)</f>
        <v>Product26</v>
      </c>
      <c r="H309" s="42" t="str">
        <f>VLOOKUP('Data 1'!$B309,'Data 2'!$A$1:$F$46,MATCH('Data 1'!H$1,'Data 2'!$A$1:$F$1,0),0)</f>
        <v>Category04</v>
      </c>
      <c r="I309" s="42" t="str">
        <f>VLOOKUP('Data 1'!$B309,'Data 2'!$A$1:$F$46,MATCH('Data 1'!I$1,'Data 2'!$A$1:$F$1,0),0)</f>
        <v>No.</v>
      </c>
      <c r="J309" s="42">
        <f>VLOOKUP('Data 1'!$B309,'Data 2'!$A$1:$F$46,MATCH('Data 1'!J$1,'Data 2'!$A$1:$F$1,0),0)</f>
        <v>18</v>
      </c>
      <c r="K309" s="42">
        <f>VLOOKUP('Data 1'!$B309,'Data 2'!$A$1:$F$46,MATCH('Data 1'!K$1,'Data 2'!$A$1:$F$1,0),0)</f>
        <v>24.66</v>
      </c>
      <c r="L309" s="40">
        <f>SUM('Data 1'!$J309*'Data 1'!$C309)</f>
        <v>234</v>
      </c>
      <c r="M309" s="40">
        <f>'Data 1'!$C309*'Data 1'!$K309</f>
        <v>320.58</v>
      </c>
      <c r="N309" s="40">
        <f>'Data 1'!$M309-'Data 1'!$L309</f>
        <v>86.579999999999984</v>
      </c>
      <c r="O309" s="37">
        <f>DAY('Data 1'!$A309)</f>
        <v>4</v>
      </c>
      <c r="P309" s="37" t="str">
        <f>TEXT('Data 1'!$A309,"mmm")</f>
        <v>Mar</v>
      </c>
      <c r="Q309" s="41">
        <f>YEAR('Data 1'!$A309)</f>
        <v>2022</v>
      </c>
    </row>
    <row r="310" spans="1:17" x14ac:dyDescent="0.3">
      <c r="A310" s="35">
        <v>44626</v>
      </c>
      <c r="B310" s="36" t="s">
        <v>22</v>
      </c>
      <c r="C310" s="37">
        <v>2</v>
      </c>
      <c r="D310" s="37" t="s">
        <v>21</v>
      </c>
      <c r="E310" s="37" t="s">
        <v>19</v>
      </c>
      <c r="F310" s="38">
        <v>0</v>
      </c>
      <c r="G310" s="39" t="str">
        <f>VLOOKUP('Data 1'!$B310,'Data 2'!$A$1:$F$46,MATCH('Data 1'!G$1,'Data 2'!$A$1:$F$1,0),0)</f>
        <v>Product04</v>
      </c>
      <c r="H310" s="39" t="str">
        <f>VLOOKUP('Data 1'!$B310,'Data 2'!$A$1:$F$46,MATCH('Data 1'!H$1,'Data 2'!$A$1:$F$1,0),0)</f>
        <v>Category01</v>
      </c>
      <c r="I310" s="39" t="str">
        <f>VLOOKUP('Data 1'!$B310,'Data 2'!$A$1:$F$46,MATCH('Data 1'!I$1,'Data 2'!$A$1:$F$1,0),0)</f>
        <v>Lt</v>
      </c>
      <c r="J310" s="39">
        <f>VLOOKUP('Data 1'!$B310,'Data 2'!$A$1:$F$46,MATCH('Data 1'!J$1,'Data 2'!$A$1:$F$1,0),0)</f>
        <v>44</v>
      </c>
      <c r="K310" s="39">
        <f>VLOOKUP('Data 1'!$B310,'Data 2'!$A$1:$F$46,MATCH('Data 1'!K$1,'Data 2'!$A$1:$F$1,0),0)</f>
        <v>48.84</v>
      </c>
      <c r="L310" s="40">
        <f>SUM('Data 1'!$J310*'Data 1'!$C310)</f>
        <v>88</v>
      </c>
      <c r="M310" s="40">
        <f>'Data 1'!$C310*'Data 1'!$K310</f>
        <v>97.68</v>
      </c>
      <c r="N310" s="40">
        <f>'Data 1'!$M310-'Data 1'!$L310</f>
        <v>9.6800000000000068</v>
      </c>
      <c r="O310" s="37">
        <f>DAY('Data 1'!$A310)</f>
        <v>6</v>
      </c>
      <c r="P310" s="37" t="str">
        <f>TEXT('Data 1'!$A310,"mmm")</f>
        <v>Mar</v>
      </c>
      <c r="Q310" s="41">
        <f>YEAR('Data 1'!$A310)</f>
        <v>2022</v>
      </c>
    </row>
    <row r="311" spans="1:17" x14ac:dyDescent="0.3">
      <c r="A311" s="35">
        <v>44627</v>
      </c>
      <c r="B311" s="36" t="s">
        <v>25</v>
      </c>
      <c r="C311" s="37">
        <v>1</v>
      </c>
      <c r="D311" s="37" t="s">
        <v>21</v>
      </c>
      <c r="E311" s="37" t="s">
        <v>19</v>
      </c>
      <c r="F311" s="38">
        <v>0</v>
      </c>
      <c r="G311" s="42" t="str">
        <f>VLOOKUP('Data 1'!$B311,'Data 2'!$A$1:$F$46,MATCH('Data 1'!G$1,'Data 2'!$A$1:$F$1,0),0)</f>
        <v>Product03</v>
      </c>
      <c r="H311" s="42" t="str">
        <f>VLOOKUP('Data 1'!$B311,'Data 2'!$A$1:$F$46,MATCH('Data 1'!H$1,'Data 2'!$A$1:$F$1,0),0)</f>
        <v>Category01</v>
      </c>
      <c r="I311" s="42" t="str">
        <f>VLOOKUP('Data 1'!$B311,'Data 2'!$A$1:$F$46,MATCH('Data 1'!I$1,'Data 2'!$A$1:$F$1,0),0)</f>
        <v>Kg</v>
      </c>
      <c r="J311" s="42">
        <f>VLOOKUP('Data 1'!$B311,'Data 2'!$A$1:$F$46,MATCH('Data 1'!J$1,'Data 2'!$A$1:$F$1,0),0)</f>
        <v>71</v>
      </c>
      <c r="K311" s="42">
        <f>VLOOKUP('Data 1'!$B311,'Data 2'!$A$1:$F$46,MATCH('Data 1'!K$1,'Data 2'!$A$1:$F$1,0),0)</f>
        <v>80.94</v>
      </c>
      <c r="L311" s="40">
        <f>SUM('Data 1'!$J311*'Data 1'!$C311)</f>
        <v>71</v>
      </c>
      <c r="M311" s="40">
        <f>'Data 1'!$C311*'Data 1'!$K311</f>
        <v>80.94</v>
      </c>
      <c r="N311" s="40">
        <f>'Data 1'!$M311-'Data 1'!$L311</f>
        <v>9.9399999999999977</v>
      </c>
      <c r="O311" s="37">
        <f>DAY('Data 1'!$A311)</f>
        <v>7</v>
      </c>
      <c r="P311" s="37" t="str">
        <f>TEXT('Data 1'!$A311,"mmm")</f>
        <v>Mar</v>
      </c>
      <c r="Q311" s="41">
        <f>YEAR('Data 1'!$A311)</f>
        <v>2022</v>
      </c>
    </row>
    <row r="312" spans="1:17" x14ac:dyDescent="0.3">
      <c r="A312" s="35">
        <v>44628</v>
      </c>
      <c r="B312" s="36" t="s">
        <v>30</v>
      </c>
      <c r="C312" s="37">
        <v>6</v>
      </c>
      <c r="D312" s="37" t="s">
        <v>21</v>
      </c>
      <c r="E312" s="37" t="s">
        <v>17</v>
      </c>
      <c r="F312" s="38">
        <v>0</v>
      </c>
      <c r="G312" s="39" t="str">
        <f>VLOOKUP('Data 1'!$B312,'Data 2'!$A$1:$F$46,MATCH('Data 1'!G$1,'Data 2'!$A$1:$F$1,0),0)</f>
        <v>Product44</v>
      </c>
      <c r="H312" s="39" t="str">
        <f>VLOOKUP('Data 1'!$B312,'Data 2'!$A$1:$F$46,MATCH('Data 1'!H$1,'Data 2'!$A$1:$F$1,0),0)</f>
        <v>Category05</v>
      </c>
      <c r="I312" s="39" t="str">
        <f>VLOOKUP('Data 1'!$B312,'Data 2'!$A$1:$F$46,MATCH('Data 1'!I$1,'Data 2'!$A$1:$F$1,0),0)</f>
        <v>Kg</v>
      </c>
      <c r="J312" s="39">
        <f>VLOOKUP('Data 1'!$B312,'Data 2'!$A$1:$F$46,MATCH('Data 1'!J$1,'Data 2'!$A$1:$F$1,0),0)</f>
        <v>76</v>
      </c>
      <c r="K312" s="39">
        <f>VLOOKUP('Data 1'!$B312,'Data 2'!$A$1:$F$46,MATCH('Data 1'!K$1,'Data 2'!$A$1:$F$1,0),0)</f>
        <v>82.08</v>
      </c>
      <c r="L312" s="40">
        <f>SUM('Data 1'!$J312*'Data 1'!$C312)</f>
        <v>456</v>
      </c>
      <c r="M312" s="40">
        <f>'Data 1'!$C312*'Data 1'!$K312</f>
        <v>492.48</v>
      </c>
      <c r="N312" s="40">
        <f>'Data 1'!$M312-'Data 1'!$L312</f>
        <v>36.480000000000018</v>
      </c>
      <c r="O312" s="37">
        <f>DAY('Data 1'!$A312)</f>
        <v>8</v>
      </c>
      <c r="P312" s="37" t="str">
        <f>TEXT('Data 1'!$A312,"mmm")</f>
        <v>Mar</v>
      </c>
      <c r="Q312" s="41">
        <f>YEAR('Data 1'!$A312)</f>
        <v>2022</v>
      </c>
    </row>
    <row r="313" spans="1:17" x14ac:dyDescent="0.3">
      <c r="A313" s="35">
        <v>44629</v>
      </c>
      <c r="B313" s="36" t="s">
        <v>47</v>
      </c>
      <c r="C313" s="37">
        <v>3</v>
      </c>
      <c r="D313" s="37" t="s">
        <v>21</v>
      </c>
      <c r="E313" s="37" t="s">
        <v>17</v>
      </c>
      <c r="F313" s="38">
        <v>0</v>
      </c>
      <c r="G313" s="42" t="str">
        <f>VLOOKUP('Data 1'!$B313,'Data 2'!$A$1:$F$46,MATCH('Data 1'!G$1,'Data 2'!$A$1:$F$1,0),0)</f>
        <v>Product30</v>
      </c>
      <c r="H313" s="42" t="str">
        <f>VLOOKUP('Data 1'!$B313,'Data 2'!$A$1:$F$46,MATCH('Data 1'!H$1,'Data 2'!$A$1:$F$1,0),0)</f>
        <v>Category04</v>
      </c>
      <c r="I313" s="42" t="str">
        <f>VLOOKUP('Data 1'!$B313,'Data 2'!$A$1:$F$46,MATCH('Data 1'!I$1,'Data 2'!$A$1:$F$1,0),0)</f>
        <v>Ft</v>
      </c>
      <c r="J313" s="42">
        <f>VLOOKUP('Data 1'!$B313,'Data 2'!$A$1:$F$46,MATCH('Data 1'!J$1,'Data 2'!$A$1:$F$1,0),0)</f>
        <v>148</v>
      </c>
      <c r="K313" s="42">
        <f>VLOOKUP('Data 1'!$B313,'Data 2'!$A$1:$F$46,MATCH('Data 1'!K$1,'Data 2'!$A$1:$F$1,0),0)</f>
        <v>201.28</v>
      </c>
      <c r="L313" s="40">
        <f>SUM('Data 1'!$J313*'Data 1'!$C313)</f>
        <v>444</v>
      </c>
      <c r="M313" s="40">
        <f>'Data 1'!$C313*'Data 1'!$K313</f>
        <v>603.84</v>
      </c>
      <c r="N313" s="40">
        <f>'Data 1'!$M313-'Data 1'!$L313</f>
        <v>159.84000000000003</v>
      </c>
      <c r="O313" s="37">
        <f>DAY('Data 1'!$A313)</f>
        <v>9</v>
      </c>
      <c r="P313" s="37" t="str">
        <f>TEXT('Data 1'!$A313,"mmm")</f>
        <v>Mar</v>
      </c>
      <c r="Q313" s="41">
        <f>YEAR('Data 1'!$A313)</f>
        <v>2022</v>
      </c>
    </row>
    <row r="314" spans="1:17" x14ac:dyDescent="0.3">
      <c r="A314" s="35">
        <v>44629</v>
      </c>
      <c r="B314" s="36" t="s">
        <v>22</v>
      </c>
      <c r="C314" s="37">
        <v>11</v>
      </c>
      <c r="D314" s="37" t="s">
        <v>17</v>
      </c>
      <c r="E314" s="37" t="s">
        <v>19</v>
      </c>
      <c r="F314" s="38">
        <v>0</v>
      </c>
      <c r="G314" s="39" t="str">
        <f>VLOOKUP('Data 1'!$B314,'Data 2'!$A$1:$F$46,MATCH('Data 1'!G$1,'Data 2'!$A$1:$F$1,0),0)</f>
        <v>Product04</v>
      </c>
      <c r="H314" s="39" t="str">
        <f>VLOOKUP('Data 1'!$B314,'Data 2'!$A$1:$F$46,MATCH('Data 1'!H$1,'Data 2'!$A$1:$F$1,0),0)</f>
        <v>Category01</v>
      </c>
      <c r="I314" s="39" t="str">
        <f>VLOOKUP('Data 1'!$B314,'Data 2'!$A$1:$F$46,MATCH('Data 1'!I$1,'Data 2'!$A$1:$F$1,0),0)</f>
        <v>Lt</v>
      </c>
      <c r="J314" s="39">
        <f>VLOOKUP('Data 1'!$B314,'Data 2'!$A$1:$F$46,MATCH('Data 1'!J$1,'Data 2'!$A$1:$F$1,0),0)</f>
        <v>44</v>
      </c>
      <c r="K314" s="39">
        <f>VLOOKUP('Data 1'!$B314,'Data 2'!$A$1:$F$46,MATCH('Data 1'!K$1,'Data 2'!$A$1:$F$1,0),0)</f>
        <v>48.84</v>
      </c>
      <c r="L314" s="40">
        <f>SUM('Data 1'!$J314*'Data 1'!$C314)</f>
        <v>484</v>
      </c>
      <c r="M314" s="40">
        <f>'Data 1'!$C314*'Data 1'!$K314</f>
        <v>537.24</v>
      </c>
      <c r="N314" s="40">
        <f>'Data 1'!$M314-'Data 1'!$L314</f>
        <v>53.240000000000009</v>
      </c>
      <c r="O314" s="37">
        <f>DAY('Data 1'!$A314)</f>
        <v>9</v>
      </c>
      <c r="P314" s="37" t="str">
        <f>TEXT('Data 1'!$A314,"mmm")</f>
        <v>Mar</v>
      </c>
      <c r="Q314" s="41">
        <f>YEAR('Data 1'!$A314)</f>
        <v>2022</v>
      </c>
    </row>
    <row r="315" spans="1:17" x14ac:dyDescent="0.3">
      <c r="A315" s="35">
        <v>44630</v>
      </c>
      <c r="B315" s="36" t="s">
        <v>57</v>
      </c>
      <c r="C315" s="37">
        <v>12</v>
      </c>
      <c r="D315" s="37" t="s">
        <v>16</v>
      </c>
      <c r="E315" s="37" t="s">
        <v>17</v>
      </c>
      <c r="F315" s="38">
        <v>0</v>
      </c>
      <c r="G315" s="42" t="str">
        <f>VLOOKUP('Data 1'!$B315,'Data 2'!$A$1:$F$46,MATCH('Data 1'!G$1,'Data 2'!$A$1:$F$1,0),0)</f>
        <v>Product33</v>
      </c>
      <c r="H315" s="42" t="str">
        <f>VLOOKUP('Data 1'!$B315,'Data 2'!$A$1:$F$46,MATCH('Data 1'!H$1,'Data 2'!$A$1:$F$1,0),0)</f>
        <v>Category04</v>
      </c>
      <c r="I315" s="42" t="str">
        <f>VLOOKUP('Data 1'!$B315,'Data 2'!$A$1:$F$46,MATCH('Data 1'!I$1,'Data 2'!$A$1:$F$1,0),0)</f>
        <v>Kg</v>
      </c>
      <c r="J315" s="42">
        <f>VLOOKUP('Data 1'!$B315,'Data 2'!$A$1:$F$46,MATCH('Data 1'!J$1,'Data 2'!$A$1:$F$1,0),0)</f>
        <v>95</v>
      </c>
      <c r="K315" s="42">
        <f>VLOOKUP('Data 1'!$B315,'Data 2'!$A$1:$F$46,MATCH('Data 1'!K$1,'Data 2'!$A$1:$F$1,0),0)</f>
        <v>119.7</v>
      </c>
      <c r="L315" s="40">
        <f>SUM('Data 1'!$J315*'Data 1'!$C315)</f>
        <v>1140</v>
      </c>
      <c r="M315" s="40">
        <f>'Data 1'!$C315*'Data 1'!$K315</f>
        <v>1436.4</v>
      </c>
      <c r="N315" s="40">
        <f>'Data 1'!$M315-'Data 1'!$L315</f>
        <v>296.40000000000009</v>
      </c>
      <c r="O315" s="37">
        <f>DAY('Data 1'!$A315)</f>
        <v>10</v>
      </c>
      <c r="P315" s="37" t="str">
        <f>TEXT('Data 1'!$A315,"mmm")</f>
        <v>Mar</v>
      </c>
      <c r="Q315" s="41">
        <f>YEAR('Data 1'!$A315)</f>
        <v>2022</v>
      </c>
    </row>
    <row r="316" spans="1:17" x14ac:dyDescent="0.3">
      <c r="A316" s="35">
        <v>44634</v>
      </c>
      <c r="B316" s="36" t="s">
        <v>40</v>
      </c>
      <c r="C316" s="37">
        <v>2</v>
      </c>
      <c r="D316" s="37" t="s">
        <v>21</v>
      </c>
      <c r="E316" s="37" t="s">
        <v>19</v>
      </c>
      <c r="F316" s="38">
        <v>0</v>
      </c>
      <c r="G316" s="39" t="str">
        <f>VLOOKUP('Data 1'!$B316,'Data 2'!$A$1:$F$46,MATCH('Data 1'!G$1,'Data 2'!$A$1:$F$1,0),0)</f>
        <v>Product16</v>
      </c>
      <c r="H316" s="39" t="str">
        <f>VLOOKUP('Data 1'!$B316,'Data 2'!$A$1:$F$46,MATCH('Data 1'!H$1,'Data 2'!$A$1:$F$1,0),0)</f>
        <v>Category02</v>
      </c>
      <c r="I316" s="39" t="str">
        <f>VLOOKUP('Data 1'!$B316,'Data 2'!$A$1:$F$46,MATCH('Data 1'!I$1,'Data 2'!$A$1:$F$1,0),0)</f>
        <v>No.</v>
      </c>
      <c r="J316" s="39">
        <f>VLOOKUP('Data 1'!$B316,'Data 2'!$A$1:$F$46,MATCH('Data 1'!J$1,'Data 2'!$A$1:$F$1,0),0)</f>
        <v>13</v>
      </c>
      <c r="K316" s="39">
        <f>VLOOKUP('Data 1'!$B316,'Data 2'!$A$1:$F$46,MATCH('Data 1'!K$1,'Data 2'!$A$1:$F$1,0),0)</f>
        <v>16.64</v>
      </c>
      <c r="L316" s="40">
        <f>SUM('Data 1'!$J316*'Data 1'!$C316)</f>
        <v>26</v>
      </c>
      <c r="M316" s="40">
        <f>'Data 1'!$C316*'Data 1'!$K316</f>
        <v>33.28</v>
      </c>
      <c r="N316" s="40">
        <f>'Data 1'!$M316-'Data 1'!$L316</f>
        <v>7.2800000000000011</v>
      </c>
      <c r="O316" s="37">
        <f>DAY('Data 1'!$A316)</f>
        <v>14</v>
      </c>
      <c r="P316" s="37" t="str">
        <f>TEXT('Data 1'!$A316,"mmm")</f>
        <v>Mar</v>
      </c>
      <c r="Q316" s="41">
        <f>YEAR('Data 1'!$A316)</f>
        <v>2022</v>
      </c>
    </row>
    <row r="317" spans="1:17" x14ac:dyDescent="0.3">
      <c r="A317" s="35">
        <v>44634</v>
      </c>
      <c r="B317" s="36" t="s">
        <v>61</v>
      </c>
      <c r="C317" s="37">
        <v>13</v>
      </c>
      <c r="D317" s="37" t="s">
        <v>21</v>
      </c>
      <c r="E317" s="37" t="s">
        <v>17</v>
      </c>
      <c r="F317" s="38">
        <v>0</v>
      </c>
      <c r="G317" s="42" t="str">
        <f>VLOOKUP('Data 1'!$B317,'Data 2'!$A$1:$F$46,MATCH('Data 1'!G$1,'Data 2'!$A$1:$F$1,0),0)</f>
        <v>Product26</v>
      </c>
      <c r="H317" s="42" t="str">
        <f>VLOOKUP('Data 1'!$B317,'Data 2'!$A$1:$F$46,MATCH('Data 1'!H$1,'Data 2'!$A$1:$F$1,0),0)</f>
        <v>Category04</v>
      </c>
      <c r="I317" s="42" t="str">
        <f>VLOOKUP('Data 1'!$B317,'Data 2'!$A$1:$F$46,MATCH('Data 1'!I$1,'Data 2'!$A$1:$F$1,0),0)</f>
        <v>No.</v>
      </c>
      <c r="J317" s="42">
        <f>VLOOKUP('Data 1'!$B317,'Data 2'!$A$1:$F$46,MATCH('Data 1'!J$1,'Data 2'!$A$1:$F$1,0),0)</f>
        <v>18</v>
      </c>
      <c r="K317" s="42">
        <f>VLOOKUP('Data 1'!$B317,'Data 2'!$A$1:$F$46,MATCH('Data 1'!K$1,'Data 2'!$A$1:$F$1,0),0)</f>
        <v>24.66</v>
      </c>
      <c r="L317" s="40">
        <f>SUM('Data 1'!$J317*'Data 1'!$C317)</f>
        <v>234</v>
      </c>
      <c r="M317" s="40">
        <f>'Data 1'!$C317*'Data 1'!$K317</f>
        <v>320.58</v>
      </c>
      <c r="N317" s="40">
        <f>'Data 1'!$M317-'Data 1'!$L317</f>
        <v>86.579999999999984</v>
      </c>
      <c r="O317" s="37">
        <f>DAY('Data 1'!$A317)</f>
        <v>14</v>
      </c>
      <c r="P317" s="37" t="str">
        <f>TEXT('Data 1'!$A317,"mmm")</f>
        <v>Mar</v>
      </c>
      <c r="Q317" s="41">
        <f>YEAR('Data 1'!$A317)</f>
        <v>2022</v>
      </c>
    </row>
    <row r="318" spans="1:17" x14ac:dyDescent="0.3">
      <c r="A318" s="35">
        <v>44638</v>
      </c>
      <c r="B318" s="36" t="s">
        <v>59</v>
      </c>
      <c r="C318" s="37">
        <v>2</v>
      </c>
      <c r="D318" s="37" t="s">
        <v>17</v>
      </c>
      <c r="E318" s="37" t="s">
        <v>19</v>
      </c>
      <c r="F318" s="38">
        <v>0</v>
      </c>
      <c r="G318" s="39" t="str">
        <f>VLOOKUP('Data 1'!$B318,'Data 2'!$A$1:$F$46,MATCH('Data 1'!G$1,'Data 2'!$A$1:$F$1,0),0)</f>
        <v>Product19</v>
      </c>
      <c r="H318" s="39" t="str">
        <f>VLOOKUP('Data 1'!$B318,'Data 2'!$A$1:$F$46,MATCH('Data 1'!H$1,'Data 2'!$A$1:$F$1,0),0)</f>
        <v>Category02</v>
      </c>
      <c r="I318" s="39" t="str">
        <f>VLOOKUP('Data 1'!$B318,'Data 2'!$A$1:$F$46,MATCH('Data 1'!I$1,'Data 2'!$A$1:$F$1,0),0)</f>
        <v>Ft</v>
      </c>
      <c r="J318" s="39">
        <f>VLOOKUP('Data 1'!$B318,'Data 2'!$A$1:$F$46,MATCH('Data 1'!J$1,'Data 2'!$A$1:$F$1,0),0)</f>
        <v>150</v>
      </c>
      <c r="K318" s="39">
        <f>VLOOKUP('Data 1'!$B318,'Data 2'!$A$1:$F$46,MATCH('Data 1'!K$1,'Data 2'!$A$1:$F$1,0),0)</f>
        <v>210</v>
      </c>
      <c r="L318" s="40">
        <f>SUM('Data 1'!$J318*'Data 1'!$C318)</f>
        <v>300</v>
      </c>
      <c r="M318" s="40">
        <f>'Data 1'!$C318*'Data 1'!$K318</f>
        <v>420</v>
      </c>
      <c r="N318" s="40">
        <f>'Data 1'!$M318-'Data 1'!$L318</f>
        <v>120</v>
      </c>
      <c r="O318" s="37">
        <f>DAY('Data 1'!$A318)</f>
        <v>18</v>
      </c>
      <c r="P318" s="37" t="str">
        <f>TEXT('Data 1'!$A318,"mmm")</f>
        <v>Mar</v>
      </c>
      <c r="Q318" s="41">
        <f>YEAR('Data 1'!$A318)</f>
        <v>2022</v>
      </c>
    </row>
    <row r="319" spans="1:17" x14ac:dyDescent="0.3">
      <c r="A319" s="35">
        <v>44638</v>
      </c>
      <c r="B319" s="36" t="s">
        <v>45</v>
      </c>
      <c r="C319" s="37">
        <v>10</v>
      </c>
      <c r="D319" s="37" t="s">
        <v>21</v>
      </c>
      <c r="E319" s="37" t="s">
        <v>19</v>
      </c>
      <c r="F319" s="38">
        <v>0</v>
      </c>
      <c r="G319" s="42" t="str">
        <f>VLOOKUP('Data 1'!$B319,'Data 2'!$A$1:$F$46,MATCH('Data 1'!G$1,'Data 2'!$A$1:$F$1,0),0)</f>
        <v>Product27</v>
      </c>
      <c r="H319" s="42" t="str">
        <f>VLOOKUP('Data 1'!$B319,'Data 2'!$A$1:$F$46,MATCH('Data 1'!H$1,'Data 2'!$A$1:$F$1,0),0)</f>
        <v>Category04</v>
      </c>
      <c r="I319" s="42" t="str">
        <f>VLOOKUP('Data 1'!$B319,'Data 2'!$A$1:$F$46,MATCH('Data 1'!I$1,'Data 2'!$A$1:$F$1,0),0)</f>
        <v>Lt</v>
      </c>
      <c r="J319" s="42">
        <f>VLOOKUP('Data 1'!$B319,'Data 2'!$A$1:$F$46,MATCH('Data 1'!J$1,'Data 2'!$A$1:$F$1,0),0)</f>
        <v>48</v>
      </c>
      <c r="K319" s="42">
        <f>VLOOKUP('Data 1'!$B319,'Data 2'!$A$1:$F$46,MATCH('Data 1'!K$1,'Data 2'!$A$1:$F$1,0),0)</f>
        <v>57.120000000000005</v>
      </c>
      <c r="L319" s="40">
        <f>SUM('Data 1'!$J319*'Data 1'!$C319)</f>
        <v>480</v>
      </c>
      <c r="M319" s="40">
        <f>'Data 1'!$C319*'Data 1'!$K319</f>
        <v>571.20000000000005</v>
      </c>
      <c r="N319" s="40">
        <f>'Data 1'!$M319-'Data 1'!$L319</f>
        <v>91.200000000000045</v>
      </c>
      <c r="O319" s="37">
        <f>DAY('Data 1'!$A319)</f>
        <v>18</v>
      </c>
      <c r="P319" s="37" t="str">
        <f>TEXT('Data 1'!$A319,"mmm")</f>
        <v>Mar</v>
      </c>
      <c r="Q319" s="41">
        <f>YEAR('Data 1'!$A319)</f>
        <v>2022</v>
      </c>
    </row>
    <row r="320" spans="1:17" x14ac:dyDescent="0.3">
      <c r="A320" s="35">
        <v>44639</v>
      </c>
      <c r="B320" s="36" t="s">
        <v>60</v>
      </c>
      <c r="C320" s="37">
        <v>6</v>
      </c>
      <c r="D320" s="37" t="s">
        <v>16</v>
      </c>
      <c r="E320" s="37" t="s">
        <v>19</v>
      </c>
      <c r="F320" s="38">
        <v>0</v>
      </c>
      <c r="G320" s="39" t="str">
        <f>VLOOKUP('Data 1'!$B320,'Data 2'!$A$1:$F$46,MATCH('Data 1'!G$1,'Data 2'!$A$1:$F$1,0),0)</f>
        <v>Product41</v>
      </c>
      <c r="H320" s="39" t="str">
        <f>VLOOKUP('Data 1'!$B320,'Data 2'!$A$1:$F$46,MATCH('Data 1'!H$1,'Data 2'!$A$1:$F$1,0),0)</f>
        <v>Category05</v>
      </c>
      <c r="I320" s="39" t="str">
        <f>VLOOKUP('Data 1'!$B320,'Data 2'!$A$1:$F$46,MATCH('Data 1'!I$1,'Data 2'!$A$1:$F$1,0),0)</f>
        <v>Ft</v>
      </c>
      <c r="J320" s="39">
        <f>VLOOKUP('Data 1'!$B320,'Data 2'!$A$1:$F$46,MATCH('Data 1'!J$1,'Data 2'!$A$1:$F$1,0),0)</f>
        <v>138</v>
      </c>
      <c r="K320" s="39">
        <f>VLOOKUP('Data 1'!$B320,'Data 2'!$A$1:$F$46,MATCH('Data 1'!K$1,'Data 2'!$A$1:$F$1,0),0)</f>
        <v>173.88</v>
      </c>
      <c r="L320" s="40">
        <f>SUM('Data 1'!$J320*'Data 1'!$C320)</f>
        <v>828</v>
      </c>
      <c r="M320" s="40">
        <f>'Data 1'!$C320*'Data 1'!$K320</f>
        <v>1043.28</v>
      </c>
      <c r="N320" s="40">
        <f>'Data 1'!$M320-'Data 1'!$L320</f>
        <v>215.27999999999997</v>
      </c>
      <c r="O320" s="37">
        <f>DAY('Data 1'!$A320)</f>
        <v>19</v>
      </c>
      <c r="P320" s="37" t="str">
        <f>TEXT('Data 1'!$A320,"mmm")</f>
        <v>Mar</v>
      </c>
      <c r="Q320" s="41">
        <f>YEAR('Data 1'!$A320)</f>
        <v>2022</v>
      </c>
    </row>
    <row r="321" spans="1:17" x14ac:dyDescent="0.3">
      <c r="A321" s="35">
        <v>44643</v>
      </c>
      <c r="B321" s="36" t="s">
        <v>37</v>
      </c>
      <c r="C321" s="37">
        <v>9</v>
      </c>
      <c r="D321" s="37" t="s">
        <v>21</v>
      </c>
      <c r="E321" s="37" t="s">
        <v>19</v>
      </c>
      <c r="F321" s="38">
        <v>0</v>
      </c>
      <c r="G321" s="42" t="str">
        <f>VLOOKUP('Data 1'!$B321,'Data 2'!$A$1:$F$46,MATCH('Data 1'!G$1,'Data 2'!$A$1:$F$1,0),0)</f>
        <v>Product32</v>
      </c>
      <c r="H321" s="42" t="str">
        <f>VLOOKUP('Data 1'!$B321,'Data 2'!$A$1:$F$46,MATCH('Data 1'!H$1,'Data 2'!$A$1:$F$1,0),0)</f>
        <v>Category04</v>
      </c>
      <c r="I321" s="42" t="str">
        <f>VLOOKUP('Data 1'!$B321,'Data 2'!$A$1:$F$46,MATCH('Data 1'!I$1,'Data 2'!$A$1:$F$1,0),0)</f>
        <v>Kg</v>
      </c>
      <c r="J321" s="42">
        <f>VLOOKUP('Data 1'!$B321,'Data 2'!$A$1:$F$46,MATCH('Data 1'!J$1,'Data 2'!$A$1:$F$1,0),0)</f>
        <v>89</v>
      </c>
      <c r="K321" s="42">
        <f>VLOOKUP('Data 1'!$B321,'Data 2'!$A$1:$F$46,MATCH('Data 1'!K$1,'Data 2'!$A$1:$F$1,0),0)</f>
        <v>117.48</v>
      </c>
      <c r="L321" s="40">
        <f>SUM('Data 1'!$J321*'Data 1'!$C321)</f>
        <v>801</v>
      </c>
      <c r="M321" s="40">
        <f>'Data 1'!$C321*'Data 1'!$K321</f>
        <v>1057.32</v>
      </c>
      <c r="N321" s="40">
        <f>'Data 1'!$M321-'Data 1'!$L321</f>
        <v>256.31999999999994</v>
      </c>
      <c r="O321" s="37">
        <f>DAY('Data 1'!$A321)</f>
        <v>23</v>
      </c>
      <c r="P321" s="37" t="str">
        <f>TEXT('Data 1'!$A321,"mmm")</f>
        <v>Mar</v>
      </c>
      <c r="Q321" s="41">
        <f>YEAR('Data 1'!$A321)</f>
        <v>2022</v>
      </c>
    </row>
    <row r="322" spans="1:17" x14ac:dyDescent="0.3">
      <c r="A322" s="35">
        <v>44645</v>
      </c>
      <c r="B322" s="36" t="s">
        <v>35</v>
      </c>
      <c r="C322" s="37">
        <v>2</v>
      </c>
      <c r="D322" s="37" t="s">
        <v>16</v>
      </c>
      <c r="E322" s="37" t="s">
        <v>17</v>
      </c>
      <c r="F322" s="38">
        <v>0</v>
      </c>
      <c r="G322" s="39" t="str">
        <f>VLOOKUP('Data 1'!$B322,'Data 2'!$A$1:$F$46,MATCH('Data 1'!G$1,'Data 2'!$A$1:$F$1,0),0)</f>
        <v>Product01</v>
      </c>
      <c r="H322" s="39" t="str">
        <f>VLOOKUP('Data 1'!$B322,'Data 2'!$A$1:$F$46,MATCH('Data 1'!H$1,'Data 2'!$A$1:$F$1,0),0)</f>
        <v>Category01</v>
      </c>
      <c r="I322" s="39" t="str">
        <f>VLOOKUP('Data 1'!$B322,'Data 2'!$A$1:$F$46,MATCH('Data 1'!I$1,'Data 2'!$A$1:$F$1,0),0)</f>
        <v>Kg</v>
      </c>
      <c r="J322" s="39">
        <f>VLOOKUP('Data 1'!$B322,'Data 2'!$A$1:$F$46,MATCH('Data 1'!J$1,'Data 2'!$A$1:$F$1,0),0)</f>
        <v>98</v>
      </c>
      <c r="K322" s="39">
        <f>VLOOKUP('Data 1'!$B322,'Data 2'!$A$1:$F$46,MATCH('Data 1'!K$1,'Data 2'!$A$1:$F$1,0),0)</f>
        <v>103.88</v>
      </c>
      <c r="L322" s="40">
        <f>SUM('Data 1'!$J322*'Data 1'!$C322)</f>
        <v>196</v>
      </c>
      <c r="M322" s="40">
        <f>'Data 1'!$C322*'Data 1'!$K322</f>
        <v>207.76</v>
      </c>
      <c r="N322" s="40">
        <f>'Data 1'!$M322-'Data 1'!$L322</f>
        <v>11.759999999999991</v>
      </c>
      <c r="O322" s="37">
        <f>DAY('Data 1'!$A322)</f>
        <v>25</v>
      </c>
      <c r="P322" s="37" t="str">
        <f>TEXT('Data 1'!$A322,"mmm")</f>
        <v>Mar</v>
      </c>
      <c r="Q322" s="41">
        <f>YEAR('Data 1'!$A322)</f>
        <v>2022</v>
      </c>
    </row>
    <row r="323" spans="1:17" x14ac:dyDescent="0.3">
      <c r="A323" s="35">
        <v>44645</v>
      </c>
      <c r="B323" s="36" t="s">
        <v>47</v>
      </c>
      <c r="C323" s="37">
        <v>11</v>
      </c>
      <c r="D323" s="37" t="s">
        <v>21</v>
      </c>
      <c r="E323" s="37" t="s">
        <v>17</v>
      </c>
      <c r="F323" s="38">
        <v>0</v>
      </c>
      <c r="G323" s="42" t="str">
        <f>VLOOKUP('Data 1'!$B323,'Data 2'!$A$1:$F$46,MATCH('Data 1'!G$1,'Data 2'!$A$1:$F$1,0),0)</f>
        <v>Product30</v>
      </c>
      <c r="H323" s="42" t="str">
        <f>VLOOKUP('Data 1'!$B323,'Data 2'!$A$1:$F$46,MATCH('Data 1'!H$1,'Data 2'!$A$1:$F$1,0),0)</f>
        <v>Category04</v>
      </c>
      <c r="I323" s="42" t="str">
        <f>VLOOKUP('Data 1'!$B323,'Data 2'!$A$1:$F$46,MATCH('Data 1'!I$1,'Data 2'!$A$1:$F$1,0),0)</f>
        <v>Ft</v>
      </c>
      <c r="J323" s="42">
        <f>VLOOKUP('Data 1'!$B323,'Data 2'!$A$1:$F$46,MATCH('Data 1'!J$1,'Data 2'!$A$1:$F$1,0),0)</f>
        <v>148</v>
      </c>
      <c r="K323" s="42">
        <f>VLOOKUP('Data 1'!$B323,'Data 2'!$A$1:$F$46,MATCH('Data 1'!K$1,'Data 2'!$A$1:$F$1,0),0)</f>
        <v>201.28</v>
      </c>
      <c r="L323" s="40">
        <f>SUM('Data 1'!$J323*'Data 1'!$C323)</f>
        <v>1628</v>
      </c>
      <c r="M323" s="40">
        <f>'Data 1'!$C323*'Data 1'!$K323</f>
        <v>2214.08</v>
      </c>
      <c r="N323" s="40">
        <f>'Data 1'!$M323-'Data 1'!$L323</f>
        <v>586.07999999999993</v>
      </c>
      <c r="O323" s="37">
        <f>DAY('Data 1'!$A323)</f>
        <v>25</v>
      </c>
      <c r="P323" s="37" t="str">
        <f>TEXT('Data 1'!$A323,"mmm")</f>
        <v>Mar</v>
      </c>
      <c r="Q323" s="41">
        <f>YEAR('Data 1'!$A323)</f>
        <v>2022</v>
      </c>
    </row>
    <row r="324" spans="1:17" x14ac:dyDescent="0.3">
      <c r="A324" s="35">
        <v>44649</v>
      </c>
      <c r="B324" s="36" t="s">
        <v>37</v>
      </c>
      <c r="C324" s="37">
        <v>12</v>
      </c>
      <c r="D324" s="37" t="s">
        <v>17</v>
      </c>
      <c r="E324" s="37" t="s">
        <v>17</v>
      </c>
      <c r="F324" s="38">
        <v>0</v>
      </c>
      <c r="G324" s="39" t="str">
        <f>VLOOKUP('Data 1'!$B324,'Data 2'!$A$1:$F$46,MATCH('Data 1'!G$1,'Data 2'!$A$1:$F$1,0),0)</f>
        <v>Product32</v>
      </c>
      <c r="H324" s="39" t="str">
        <f>VLOOKUP('Data 1'!$B324,'Data 2'!$A$1:$F$46,MATCH('Data 1'!H$1,'Data 2'!$A$1:$F$1,0),0)</f>
        <v>Category04</v>
      </c>
      <c r="I324" s="39" t="str">
        <f>VLOOKUP('Data 1'!$B324,'Data 2'!$A$1:$F$46,MATCH('Data 1'!I$1,'Data 2'!$A$1:$F$1,0),0)</f>
        <v>Kg</v>
      </c>
      <c r="J324" s="39">
        <f>VLOOKUP('Data 1'!$B324,'Data 2'!$A$1:$F$46,MATCH('Data 1'!J$1,'Data 2'!$A$1:$F$1,0),0)</f>
        <v>89</v>
      </c>
      <c r="K324" s="39">
        <f>VLOOKUP('Data 1'!$B324,'Data 2'!$A$1:$F$46,MATCH('Data 1'!K$1,'Data 2'!$A$1:$F$1,0),0)</f>
        <v>117.48</v>
      </c>
      <c r="L324" s="40">
        <f>SUM('Data 1'!$J324*'Data 1'!$C324)</f>
        <v>1068</v>
      </c>
      <c r="M324" s="40">
        <f>'Data 1'!$C324*'Data 1'!$K324</f>
        <v>1409.76</v>
      </c>
      <c r="N324" s="40">
        <f>'Data 1'!$M324-'Data 1'!$L324</f>
        <v>341.76</v>
      </c>
      <c r="O324" s="37">
        <f>DAY('Data 1'!$A324)</f>
        <v>29</v>
      </c>
      <c r="P324" s="37" t="str">
        <f>TEXT('Data 1'!$A324,"mmm")</f>
        <v>Mar</v>
      </c>
      <c r="Q324" s="41">
        <f>YEAR('Data 1'!$A324)</f>
        <v>2022</v>
      </c>
    </row>
    <row r="325" spans="1:17" x14ac:dyDescent="0.3">
      <c r="A325" s="35">
        <v>44650</v>
      </c>
      <c r="B325" s="36" t="s">
        <v>35</v>
      </c>
      <c r="C325" s="37">
        <v>13</v>
      </c>
      <c r="D325" s="37" t="s">
        <v>17</v>
      </c>
      <c r="E325" s="37" t="s">
        <v>19</v>
      </c>
      <c r="F325" s="38">
        <v>0</v>
      </c>
      <c r="G325" s="42" t="str">
        <f>VLOOKUP('Data 1'!$B325,'Data 2'!$A$1:$F$46,MATCH('Data 1'!G$1,'Data 2'!$A$1:$F$1,0),0)</f>
        <v>Product01</v>
      </c>
      <c r="H325" s="42" t="str">
        <f>VLOOKUP('Data 1'!$B325,'Data 2'!$A$1:$F$46,MATCH('Data 1'!H$1,'Data 2'!$A$1:$F$1,0),0)</f>
        <v>Category01</v>
      </c>
      <c r="I325" s="42" t="str">
        <f>VLOOKUP('Data 1'!$B325,'Data 2'!$A$1:$F$46,MATCH('Data 1'!I$1,'Data 2'!$A$1:$F$1,0),0)</f>
        <v>Kg</v>
      </c>
      <c r="J325" s="42">
        <f>VLOOKUP('Data 1'!$B325,'Data 2'!$A$1:$F$46,MATCH('Data 1'!J$1,'Data 2'!$A$1:$F$1,0),0)</f>
        <v>98</v>
      </c>
      <c r="K325" s="42">
        <f>VLOOKUP('Data 1'!$B325,'Data 2'!$A$1:$F$46,MATCH('Data 1'!K$1,'Data 2'!$A$1:$F$1,0),0)</f>
        <v>103.88</v>
      </c>
      <c r="L325" s="40">
        <f>SUM('Data 1'!$J325*'Data 1'!$C325)</f>
        <v>1274</v>
      </c>
      <c r="M325" s="40">
        <f>'Data 1'!$C325*'Data 1'!$K325</f>
        <v>1350.44</v>
      </c>
      <c r="N325" s="40">
        <f>'Data 1'!$M325-'Data 1'!$L325</f>
        <v>76.440000000000055</v>
      </c>
      <c r="O325" s="37">
        <f>DAY('Data 1'!$A325)</f>
        <v>30</v>
      </c>
      <c r="P325" s="37" t="str">
        <f>TEXT('Data 1'!$A325,"mmm")</f>
        <v>Mar</v>
      </c>
      <c r="Q325" s="41">
        <f>YEAR('Data 1'!$A325)</f>
        <v>2022</v>
      </c>
    </row>
    <row r="326" spans="1:17" x14ac:dyDescent="0.3">
      <c r="A326" s="35">
        <v>44652</v>
      </c>
      <c r="B326" s="36" t="s">
        <v>48</v>
      </c>
      <c r="C326" s="37">
        <v>2</v>
      </c>
      <c r="D326" s="37" t="s">
        <v>17</v>
      </c>
      <c r="E326" s="37" t="s">
        <v>19</v>
      </c>
      <c r="F326" s="38">
        <v>0</v>
      </c>
      <c r="G326" s="39" t="str">
        <f>VLOOKUP('Data 1'!$B326,'Data 2'!$A$1:$F$46,MATCH('Data 1'!G$1,'Data 2'!$A$1:$F$1,0),0)</f>
        <v>Product02</v>
      </c>
      <c r="H326" s="39" t="str">
        <f>VLOOKUP('Data 1'!$B326,'Data 2'!$A$1:$F$46,MATCH('Data 1'!H$1,'Data 2'!$A$1:$F$1,0),0)</f>
        <v>Category01</v>
      </c>
      <c r="I326" s="39" t="str">
        <f>VLOOKUP('Data 1'!$B326,'Data 2'!$A$1:$F$46,MATCH('Data 1'!I$1,'Data 2'!$A$1:$F$1,0),0)</f>
        <v>Kg</v>
      </c>
      <c r="J326" s="39">
        <f>VLOOKUP('Data 1'!$B326,'Data 2'!$A$1:$F$46,MATCH('Data 1'!J$1,'Data 2'!$A$1:$F$1,0),0)</f>
        <v>105</v>
      </c>
      <c r="K326" s="39">
        <f>VLOOKUP('Data 1'!$B326,'Data 2'!$A$1:$F$46,MATCH('Data 1'!K$1,'Data 2'!$A$1:$F$1,0),0)</f>
        <v>142.80000000000001</v>
      </c>
      <c r="L326" s="40">
        <f>SUM('Data 1'!$J326*'Data 1'!$C326)</f>
        <v>210</v>
      </c>
      <c r="M326" s="40">
        <f>'Data 1'!$C326*'Data 1'!$K326</f>
        <v>285.60000000000002</v>
      </c>
      <c r="N326" s="40">
        <f>'Data 1'!$M326-'Data 1'!$L326</f>
        <v>75.600000000000023</v>
      </c>
      <c r="O326" s="37">
        <f>DAY('Data 1'!$A326)</f>
        <v>1</v>
      </c>
      <c r="P326" s="37" t="str">
        <f>TEXT('Data 1'!$A326,"mmm")</f>
        <v>Apr</v>
      </c>
      <c r="Q326" s="41">
        <f>YEAR('Data 1'!$A326)</f>
        <v>2022</v>
      </c>
    </row>
    <row r="327" spans="1:17" x14ac:dyDescent="0.3">
      <c r="A327" s="35">
        <v>44653</v>
      </c>
      <c r="B327" s="36" t="s">
        <v>48</v>
      </c>
      <c r="C327" s="37">
        <v>3</v>
      </c>
      <c r="D327" s="37" t="s">
        <v>21</v>
      </c>
      <c r="E327" s="37" t="s">
        <v>19</v>
      </c>
      <c r="F327" s="38">
        <v>0</v>
      </c>
      <c r="G327" s="42" t="str">
        <f>VLOOKUP('Data 1'!$B327,'Data 2'!$A$1:$F$46,MATCH('Data 1'!G$1,'Data 2'!$A$1:$F$1,0),0)</f>
        <v>Product02</v>
      </c>
      <c r="H327" s="42" t="str">
        <f>VLOOKUP('Data 1'!$B327,'Data 2'!$A$1:$F$46,MATCH('Data 1'!H$1,'Data 2'!$A$1:$F$1,0),0)</f>
        <v>Category01</v>
      </c>
      <c r="I327" s="42" t="str">
        <f>VLOOKUP('Data 1'!$B327,'Data 2'!$A$1:$F$46,MATCH('Data 1'!I$1,'Data 2'!$A$1:$F$1,0),0)</f>
        <v>Kg</v>
      </c>
      <c r="J327" s="42">
        <f>VLOOKUP('Data 1'!$B327,'Data 2'!$A$1:$F$46,MATCH('Data 1'!J$1,'Data 2'!$A$1:$F$1,0),0)</f>
        <v>105</v>
      </c>
      <c r="K327" s="42">
        <f>VLOOKUP('Data 1'!$B327,'Data 2'!$A$1:$F$46,MATCH('Data 1'!K$1,'Data 2'!$A$1:$F$1,0),0)</f>
        <v>142.80000000000001</v>
      </c>
      <c r="L327" s="40">
        <f>SUM('Data 1'!$J327*'Data 1'!$C327)</f>
        <v>315</v>
      </c>
      <c r="M327" s="40">
        <f>'Data 1'!$C327*'Data 1'!$K327</f>
        <v>428.40000000000003</v>
      </c>
      <c r="N327" s="40">
        <f>'Data 1'!$M327-'Data 1'!$L327</f>
        <v>113.40000000000003</v>
      </c>
      <c r="O327" s="37">
        <f>DAY('Data 1'!$A327)</f>
        <v>2</v>
      </c>
      <c r="P327" s="37" t="str">
        <f>TEXT('Data 1'!$A327,"mmm")</f>
        <v>Apr</v>
      </c>
      <c r="Q327" s="41">
        <f>YEAR('Data 1'!$A327)</f>
        <v>2022</v>
      </c>
    </row>
    <row r="328" spans="1:17" x14ac:dyDescent="0.3">
      <c r="A328" s="35">
        <v>44657</v>
      </c>
      <c r="B328" s="36" t="s">
        <v>36</v>
      </c>
      <c r="C328" s="37">
        <v>2</v>
      </c>
      <c r="D328" s="37" t="s">
        <v>16</v>
      </c>
      <c r="E328" s="37" t="s">
        <v>19</v>
      </c>
      <c r="F328" s="38">
        <v>0</v>
      </c>
      <c r="G328" s="39" t="str">
        <f>VLOOKUP('Data 1'!$B328,'Data 2'!$A$1:$F$46,MATCH('Data 1'!G$1,'Data 2'!$A$1:$F$1,0),0)</f>
        <v>Product40</v>
      </c>
      <c r="H328" s="39" t="str">
        <f>VLOOKUP('Data 1'!$B328,'Data 2'!$A$1:$F$46,MATCH('Data 1'!H$1,'Data 2'!$A$1:$F$1,0),0)</f>
        <v>Category05</v>
      </c>
      <c r="I328" s="39" t="str">
        <f>VLOOKUP('Data 1'!$B328,'Data 2'!$A$1:$F$46,MATCH('Data 1'!I$1,'Data 2'!$A$1:$F$1,0),0)</f>
        <v>Kg</v>
      </c>
      <c r="J328" s="39">
        <f>VLOOKUP('Data 1'!$B328,'Data 2'!$A$1:$F$46,MATCH('Data 1'!J$1,'Data 2'!$A$1:$F$1,0),0)</f>
        <v>90</v>
      </c>
      <c r="K328" s="39">
        <f>VLOOKUP('Data 1'!$B328,'Data 2'!$A$1:$F$46,MATCH('Data 1'!K$1,'Data 2'!$A$1:$F$1,0),0)</f>
        <v>115.2</v>
      </c>
      <c r="L328" s="40">
        <f>SUM('Data 1'!$J328*'Data 1'!$C328)</f>
        <v>180</v>
      </c>
      <c r="M328" s="40">
        <f>'Data 1'!$C328*'Data 1'!$K328</f>
        <v>230.4</v>
      </c>
      <c r="N328" s="40">
        <f>'Data 1'!$M328-'Data 1'!$L328</f>
        <v>50.400000000000006</v>
      </c>
      <c r="O328" s="37">
        <f>DAY('Data 1'!$A328)</f>
        <v>6</v>
      </c>
      <c r="P328" s="37" t="str">
        <f>TEXT('Data 1'!$A328,"mmm")</f>
        <v>Apr</v>
      </c>
      <c r="Q328" s="41">
        <f>YEAR('Data 1'!$A328)</f>
        <v>2022</v>
      </c>
    </row>
    <row r="329" spans="1:17" x14ac:dyDescent="0.3">
      <c r="A329" s="35">
        <v>44658</v>
      </c>
      <c r="B329" s="36" t="s">
        <v>61</v>
      </c>
      <c r="C329" s="37">
        <v>7</v>
      </c>
      <c r="D329" s="37" t="s">
        <v>21</v>
      </c>
      <c r="E329" s="37" t="s">
        <v>17</v>
      </c>
      <c r="F329" s="38">
        <v>0</v>
      </c>
      <c r="G329" s="42" t="str">
        <f>VLOOKUP('Data 1'!$B329,'Data 2'!$A$1:$F$46,MATCH('Data 1'!G$1,'Data 2'!$A$1:$F$1,0),0)</f>
        <v>Product26</v>
      </c>
      <c r="H329" s="42" t="str">
        <f>VLOOKUP('Data 1'!$B329,'Data 2'!$A$1:$F$46,MATCH('Data 1'!H$1,'Data 2'!$A$1:$F$1,0),0)</f>
        <v>Category04</v>
      </c>
      <c r="I329" s="42" t="str">
        <f>VLOOKUP('Data 1'!$B329,'Data 2'!$A$1:$F$46,MATCH('Data 1'!I$1,'Data 2'!$A$1:$F$1,0),0)</f>
        <v>No.</v>
      </c>
      <c r="J329" s="42">
        <f>VLOOKUP('Data 1'!$B329,'Data 2'!$A$1:$F$46,MATCH('Data 1'!J$1,'Data 2'!$A$1:$F$1,0),0)</f>
        <v>18</v>
      </c>
      <c r="K329" s="42">
        <f>VLOOKUP('Data 1'!$B329,'Data 2'!$A$1:$F$46,MATCH('Data 1'!K$1,'Data 2'!$A$1:$F$1,0),0)</f>
        <v>24.66</v>
      </c>
      <c r="L329" s="40">
        <f>SUM('Data 1'!$J329*'Data 1'!$C329)</f>
        <v>126</v>
      </c>
      <c r="M329" s="40">
        <f>'Data 1'!$C329*'Data 1'!$K329</f>
        <v>172.62</v>
      </c>
      <c r="N329" s="40">
        <f>'Data 1'!$M329-'Data 1'!$L329</f>
        <v>46.620000000000005</v>
      </c>
      <c r="O329" s="37">
        <f>DAY('Data 1'!$A329)</f>
        <v>7</v>
      </c>
      <c r="P329" s="37" t="str">
        <f>TEXT('Data 1'!$A329,"mmm")</f>
        <v>Apr</v>
      </c>
      <c r="Q329" s="41">
        <f>YEAR('Data 1'!$A329)</f>
        <v>2022</v>
      </c>
    </row>
    <row r="330" spans="1:17" x14ac:dyDescent="0.3">
      <c r="A330" s="35">
        <v>44660</v>
      </c>
      <c r="B330" s="36" t="s">
        <v>53</v>
      </c>
      <c r="C330" s="37">
        <v>12</v>
      </c>
      <c r="D330" s="37" t="s">
        <v>16</v>
      </c>
      <c r="E330" s="37" t="s">
        <v>19</v>
      </c>
      <c r="F330" s="38">
        <v>0</v>
      </c>
      <c r="G330" s="39" t="str">
        <f>VLOOKUP('Data 1'!$B330,'Data 2'!$A$1:$F$46,MATCH('Data 1'!G$1,'Data 2'!$A$1:$F$1,0),0)</f>
        <v>Product39</v>
      </c>
      <c r="H330" s="39" t="str">
        <f>VLOOKUP('Data 1'!$B330,'Data 2'!$A$1:$F$46,MATCH('Data 1'!H$1,'Data 2'!$A$1:$F$1,0),0)</f>
        <v>Category05</v>
      </c>
      <c r="I330" s="39" t="str">
        <f>VLOOKUP('Data 1'!$B330,'Data 2'!$A$1:$F$46,MATCH('Data 1'!I$1,'Data 2'!$A$1:$F$1,0),0)</f>
        <v>No.</v>
      </c>
      <c r="J330" s="39">
        <f>VLOOKUP('Data 1'!$B330,'Data 2'!$A$1:$F$46,MATCH('Data 1'!J$1,'Data 2'!$A$1:$F$1,0),0)</f>
        <v>37</v>
      </c>
      <c r="K330" s="39">
        <f>VLOOKUP('Data 1'!$B330,'Data 2'!$A$1:$F$46,MATCH('Data 1'!K$1,'Data 2'!$A$1:$F$1,0),0)</f>
        <v>42.55</v>
      </c>
      <c r="L330" s="40">
        <f>SUM('Data 1'!$J330*'Data 1'!$C330)</f>
        <v>444</v>
      </c>
      <c r="M330" s="40">
        <f>'Data 1'!$C330*'Data 1'!$K330</f>
        <v>510.59999999999997</v>
      </c>
      <c r="N330" s="40">
        <f>'Data 1'!$M330-'Data 1'!$L330</f>
        <v>66.599999999999966</v>
      </c>
      <c r="O330" s="37">
        <f>DAY('Data 1'!$A330)</f>
        <v>9</v>
      </c>
      <c r="P330" s="37" t="str">
        <f>TEXT('Data 1'!$A330,"mmm")</f>
        <v>Apr</v>
      </c>
      <c r="Q330" s="41">
        <f>YEAR('Data 1'!$A330)</f>
        <v>2022</v>
      </c>
    </row>
    <row r="331" spans="1:17" x14ac:dyDescent="0.3">
      <c r="A331" s="35">
        <v>44660</v>
      </c>
      <c r="B331" s="36" t="s">
        <v>48</v>
      </c>
      <c r="C331" s="37">
        <v>9</v>
      </c>
      <c r="D331" s="37" t="s">
        <v>17</v>
      </c>
      <c r="E331" s="37" t="s">
        <v>17</v>
      </c>
      <c r="F331" s="38">
        <v>0</v>
      </c>
      <c r="G331" s="42" t="str">
        <f>VLOOKUP('Data 1'!$B331,'Data 2'!$A$1:$F$46,MATCH('Data 1'!G$1,'Data 2'!$A$1:$F$1,0),0)</f>
        <v>Product02</v>
      </c>
      <c r="H331" s="42" t="str">
        <f>VLOOKUP('Data 1'!$B331,'Data 2'!$A$1:$F$46,MATCH('Data 1'!H$1,'Data 2'!$A$1:$F$1,0),0)</f>
        <v>Category01</v>
      </c>
      <c r="I331" s="42" t="str">
        <f>VLOOKUP('Data 1'!$B331,'Data 2'!$A$1:$F$46,MATCH('Data 1'!I$1,'Data 2'!$A$1:$F$1,0),0)</f>
        <v>Kg</v>
      </c>
      <c r="J331" s="42">
        <f>VLOOKUP('Data 1'!$B331,'Data 2'!$A$1:$F$46,MATCH('Data 1'!J$1,'Data 2'!$A$1:$F$1,0),0)</f>
        <v>105</v>
      </c>
      <c r="K331" s="42">
        <f>VLOOKUP('Data 1'!$B331,'Data 2'!$A$1:$F$46,MATCH('Data 1'!K$1,'Data 2'!$A$1:$F$1,0),0)</f>
        <v>142.80000000000001</v>
      </c>
      <c r="L331" s="40">
        <f>SUM('Data 1'!$J331*'Data 1'!$C331)</f>
        <v>945</v>
      </c>
      <c r="M331" s="40">
        <f>'Data 1'!$C331*'Data 1'!$K331</f>
        <v>1285.2</v>
      </c>
      <c r="N331" s="40">
        <f>'Data 1'!$M331-'Data 1'!$L331</f>
        <v>340.20000000000005</v>
      </c>
      <c r="O331" s="37">
        <f>DAY('Data 1'!$A331)</f>
        <v>9</v>
      </c>
      <c r="P331" s="37" t="str">
        <f>TEXT('Data 1'!$A331,"mmm")</f>
        <v>Apr</v>
      </c>
      <c r="Q331" s="41">
        <f>YEAR('Data 1'!$A331)</f>
        <v>2022</v>
      </c>
    </row>
    <row r="332" spans="1:17" x14ac:dyDescent="0.3">
      <c r="A332" s="35">
        <v>44664</v>
      </c>
      <c r="B332" s="36" t="s">
        <v>40</v>
      </c>
      <c r="C332" s="37">
        <v>14</v>
      </c>
      <c r="D332" s="37" t="s">
        <v>16</v>
      </c>
      <c r="E332" s="37" t="s">
        <v>17</v>
      </c>
      <c r="F332" s="38">
        <v>0</v>
      </c>
      <c r="G332" s="39" t="str">
        <f>VLOOKUP('Data 1'!$B332,'Data 2'!$A$1:$F$46,MATCH('Data 1'!G$1,'Data 2'!$A$1:$F$1,0),0)</f>
        <v>Product16</v>
      </c>
      <c r="H332" s="39" t="str">
        <f>VLOOKUP('Data 1'!$B332,'Data 2'!$A$1:$F$46,MATCH('Data 1'!H$1,'Data 2'!$A$1:$F$1,0),0)</f>
        <v>Category02</v>
      </c>
      <c r="I332" s="39" t="str">
        <f>VLOOKUP('Data 1'!$B332,'Data 2'!$A$1:$F$46,MATCH('Data 1'!I$1,'Data 2'!$A$1:$F$1,0),0)</f>
        <v>No.</v>
      </c>
      <c r="J332" s="39">
        <f>VLOOKUP('Data 1'!$B332,'Data 2'!$A$1:$F$46,MATCH('Data 1'!J$1,'Data 2'!$A$1:$F$1,0),0)</f>
        <v>13</v>
      </c>
      <c r="K332" s="39">
        <f>VLOOKUP('Data 1'!$B332,'Data 2'!$A$1:$F$46,MATCH('Data 1'!K$1,'Data 2'!$A$1:$F$1,0),0)</f>
        <v>16.64</v>
      </c>
      <c r="L332" s="40">
        <f>SUM('Data 1'!$J332*'Data 1'!$C332)</f>
        <v>182</v>
      </c>
      <c r="M332" s="40">
        <f>'Data 1'!$C332*'Data 1'!$K332</f>
        <v>232.96</v>
      </c>
      <c r="N332" s="40">
        <f>'Data 1'!$M332-'Data 1'!$L332</f>
        <v>50.960000000000008</v>
      </c>
      <c r="O332" s="37">
        <f>DAY('Data 1'!$A332)</f>
        <v>13</v>
      </c>
      <c r="P332" s="37" t="str">
        <f>TEXT('Data 1'!$A332,"mmm")</f>
        <v>Apr</v>
      </c>
      <c r="Q332" s="41">
        <f>YEAR('Data 1'!$A332)</f>
        <v>2022</v>
      </c>
    </row>
    <row r="333" spans="1:17" x14ac:dyDescent="0.3">
      <c r="A333" s="35">
        <v>44669</v>
      </c>
      <c r="B333" s="36" t="s">
        <v>60</v>
      </c>
      <c r="C333" s="37">
        <v>9</v>
      </c>
      <c r="D333" s="37" t="s">
        <v>21</v>
      </c>
      <c r="E333" s="37" t="s">
        <v>19</v>
      </c>
      <c r="F333" s="38">
        <v>0</v>
      </c>
      <c r="G333" s="42" t="str">
        <f>VLOOKUP('Data 1'!$B333,'Data 2'!$A$1:$F$46,MATCH('Data 1'!G$1,'Data 2'!$A$1:$F$1,0),0)</f>
        <v>Product41</v>
      </c>
      <c r="H333" s="42" t="str">
        <f>VLOOKUP('Data 1'!$B333,'Data 2'!$A$1:$F$46,MATCH('Data 1'!H$1,'Data 2'!$A$1:$F$1,0),0)</f>
        <v>Category05</v>
      </c>
      <c r="I333" s="42" t="str">
        <f>VLOOKUP('Data 1'!$B333,'Data 2'!$A$1:$F$46,MATCH('Data 1'!I$1,'Data 2'!$A$1:$F$1,0),0)</f>
        <v>Ft</v>
      </c>
      <c r="J333" s="42">
        <f>VLOOKUP('Data 1'!$B333,'Data 2'!$A$1:$F$46,MATCH('Data 1'!J$1,'Data 2'!$A$1:$F$1,0),0)</f>
        <v>138</v>
      </c>
      <c r="K333" s="42">
        <f>VLOOKUP('Data 1'!$B333,'Data 2'!$A$1:$F$46,MATCH('Data 1'!K$1,'Data 2'!$A$1:$F$1,0),0)</f>
        <v>173.88</v>
      </c>
      <c r="L333" s="40">
        <f>SUM('Data 1'!$J333*'Data 1'!$C333)</f>
        <v>1242</v>
      </c>
      <c r="M333" s="40">
        <f>'Data 1'!$C333*'Data 1'!$K333</f>
        <v>1564.92</v>
      </c>
      <c r="N333" s="40">
        <f>'Data 1'!$M333-'Data 1'!$L333</f>
        <v>322.92000000000007</v>
      </c>
      <c r="O333" s="37">
        <f>DAY('Data 1'!$A333)</f>
        <v>18</v>
      </c>
      <c r="P333" s="37" t="str">
        <f>TEXT('Data 1'!$A333,"mmm")</f>
        <v>Apr</v>
      </c>
      <c r="Q333" s="41">
        <f>YEAR('Data 1'!$A333)</f>
        <v>2022</v>
      </c>
    </row>
    <row r="334" spans="1:17" x14ac:dyDescent="0.3">
      <c r="A334" s="35">
        <v>44671</v>
      </c>
      <c r="B334" s="36" t="s">
        <v>49</v>
      </c>
      <c r="C334" s="37">
        <v>2</v>
      </c>
      <c r="D334" s="37" t="s">
        <v>16</v>
      </c>
      <c r="E334" s="37" t="s">
        <v>17</v>
      </c>
      <c r="F334" s="38">
        <v>0</v>
      </c>
      <c r="G334" s="39" t="str">
        <f>VLOOKUP('Data 1'!$B334,'Data 2'!$A$1:$F$46,MATCH('Data 1'!G$1,'Data 2'!$A$1:$F$1,0),0)</f>
        <v>Product18</v>
      </c>
      <c r="H334" s="39" t="str">
        <f>VLOOKUP('Data 1'!$B334,'Data 2'!$A$1:$F$46,MATCH('Data 1'!H$1,'Data 2'!$A$1:$F$1,0),0)</f>
        <v>Category02</v>
      </c>
      <c r="I334" s="39" t="str">
        <f>VLOOKUP('Data 1'!$B334,'Data 2'!$A$1:$F$46,MATCH('Data 1'!I$1,'Data 2'!$A$1:$F$1,0),0)</f>
        <v>No.</v>
      </c>
      <c r="J334" s="39">
        <f>VLOOKUP('Data 1'!$B334,'Data 2'!$A$1:$F$46,MATCH('Data 1'!J$1,'Data 2'!$A$1:$F$1,0),0)</f>
        <v>37</v>
      </c>
      <c r="K334" s="39">
        <f>VLOOKUP('Data 1'!$B334,'Data 2'!$A$1:$F$46,MATCH('Data 1'!K$1,'Data 2'!$A$1:$F$1,0),0)</f>
        <v>49.21</v>
      </c>
      <c r="L334" s="40">
        <f>SUM('Data 1'!$J334*'Data 1'!$C334)</f>
        <v>74</v>
      </c>
      <c r="M334" s="40">
        <f>'Data 1'!$C334*'Data 1'!$K334</f>
        <v>98.42</v>
      </c>
      <c r="N334" s="40">
        <f>'Data 1'!$M334-'Data 1'!$L334</f>
        <v>24.42</v>
      </c>
      <c r="O334" s="37">
        <f>DAY('Data 1'!$A334)</f>
        <v>20</v>
      </c>
      <c r="P334" s="37" t="str">
        <f>TEXT('Data 1'!$A334,"mmm")</f>
        <v>Apr</v>
      </c>
      <c r="Q334" s="41">
        <f>YEAR('Data 1'!$A334)</f>
        <v>2022</v>
      </c>
    </row>
    <row r="335" spans="1:17" x14ac:dyDescent="0.3">
      <c r="A335" s="35">
        <v>44671</v>
      </c>
      <c r="B335" s="36" t="s">
        <v>54</v>
      </c>
      <c r="C335" s="37">
        <v>4</v>
      </c>
      <c r="D335" s="37" t="s">
        <v>21</v>
      </c>
      <c r="E335" s="37" t="s">
        <v>17</v>
      </c>
      <c r="F335" s="38">
        <v>0</v>
      </c>
      <c r="G335" s="42" t="str">
        <f>VLOOKUP('Data 1'!$B335,'Data 2'!$A$1:$F$46,MATCH('Data 1'!G$1,'Data 2'!$A$1:$F$1,0),0)</f>
        <v>Product12</v>
      </c>
      <c r="H335" s="42" t="str">
        <f>VLOOKUP('Data 1'!$B335,'Data 2'!$A$1:$F$46,MATCH('Data 1'!H$1,'Data 2'!$A$1:$F$1,0),0)</f>
        <v>Category02</v>
      </c>
      <c r="I335" s="42" t="str">
        <f>VLOOKUP('Data 1'!$B335,'Data 2'!$A$1:$F$46,MATCH('Data 1'!I$1,'Data 2'!$A$1:$F$1,0),0)</f>
        <v>Kg</v>
      </c>
      <c r="J335" s="42">
        <f>VLOOKUP('Data 1'!$B335,'Data 2'!$A$1:$F$46,MATCH('Data 1'!J$1,'Data 2'!$A$1:$F$1,0),0)</f>
        <v>73</v>
      </c>
      <c r="K335" s="42">
        <f>VLOOKUP('Data 1'!$B335,'Data 2'!$A$1:$F$46,MATCH('Data 1'!K$1,'Data 2'!$A$1:$F$1,0),0)</f>
        <v>94.17</v>
      </c>
      <c r="L335" s="40">
        <f>SUM('Data 1'!$J335*'Data 1'!$C335)</f>
        <v>292</v>
      </c>
      <c r="M335" s="40">
        <f>'Data 1'!$C335*'Data 1'!$K335</f>
        <v>376.68</v>
      </c>
      <c r="N335" s="40">
        <f>'Data 1'!$M335-'Data 1'!$L335</f>
        <v>84.68</v>
      </c>
      <c r="O335" s="37">
        <f>DAY('Data 1'!$A335)</f>
        <v>20</v>
      </c>
      <c r="P335" s="37" t="str">
        <f>TEXT('Data 1'!$A335,"mmm")</f>
        <v>Apr</v>
      </c>
      <c r="Q335" s="41">
        <f>YEAR('Data 1'!$A335)</f>
        <v>2022</v>
      </c>
    </row>
    <row r="336" spans="1:17" x14ac:dyDescent="0.3">
      <c r="A336" s="35">
        <v>44672</v>
      </c>
      <c r="B336" s="36" t="s">
        <v>47</v>
      </c>
      <c r="C336" s="37">
        <v>2</v>
      </c>
      <c r="D336" s="37" t="s">
        <v>21</v>
      </c>
      <c r="E336" s="37" t="s">
        <v>19</v>
      </c>
      <c r="F336" s="38">
        <v>0</v>
      </c>
      <c r="G336" s="39" t="str">
        <f>VLOOKUP('Data 1'!$B336,'Data 2'!$A$1:$F$46,MATCH('Data 1'!G$1,'Data 2'!$A$1:$F$1,0),0)</f>
        <v>Product30</v>
      </c>
      <c r="H336" s="39" t="str">
        <f>VLOOKUP('Data 1'!$B336,'Data 2'!$A$1:$F$46,MATCH('Data 1'!H$1,'Data 2'!$A$1:$F$1,0),0)</f>
        <v>Category04</v>
      </c>
      <c r="I336" s="39" t="str">
        <f>VLOOKUP('Data 1'!$B336,'Data 2'!$A$1:$F$46,MATCH('Data 1'!I$1,'Data 2'!$A$1:$F$1,0),0)</f>
        <v>Ft</v>
      </c>
      <c r="J336" s="39">
        <f>VLOOKUP('Data 1'!$B336,'Data 2'!$A$1:$F$46,MATCH('Data 1'!J$1,'Data 2'!$A$1:$F$1,0),0)</f>
        <v>148</v>
      </c>
      <c r="K336" s="39">
        <f>VLOOKUP('Data 1'!$B336,'Data 2'!$A$1:$F$46,MATCH('Data 1'!K$1,'Data 2'!$A$1:$F$1,0),0)</f>
        <v>201.28</v>
      </c>
      <c r="L336" s="40">
        <f>SUM('Data 1'!$J336*'Data 1'!$C336)</f>
        <v>296</v>
      </c>
      <c r="M336" s="40">
        <f>'Data 1'!$C336*'Data 1'!$K336</f>
        <v>402.56</v>
      </c>
      <c r="N336" s="40">
        <f>'Data 1'!$M336-'Data 1'!$L336</f>
        <v>106.56</v>
      </c>
      <c r="O336" s="37">
        <f>DAY('Data 1'!$A336)</f>
        <v>21</v>
      </c>
      <c r="P336" s="37" t="str">
        <f>TEXT('Data 1'!$A336,"mmm")</f>
        <v>Apr</v>
      </c>
      <c r="Q336" s="41">
        <f>YEAR('Data 1'!$A336)</f>
        <v>2022</v>
      </c>
    </row>
    <row r="337" spans="1:17" x14ac:dyDescent="0.3">
      <c r="A337" s="35">
        <v>44672</v>
      </c>
      <c r="B337" s="36" t="s">
        <v>61</v>
      </c>
      <c r="C337" s="37">
        <v>14</v>
      </c>
      <c r="D337" s="37" t="s">
        <v>17</v>
      </c>
      <c r="E337" s="37" t="s">
        <v>17</v>
      </c>
      <c r="F337" s="38">
        <v>0</v>
      </c>
      <c r="G337" s="42" t="str">
        <f>VLOOKUP('Data 1'!$B337,'Data 2'!$A$1:$F$46,MATCH('Data 1'!G$1,'Data 2'!$A$1:$F$1,0),0)</f>
        <v>Product26</v>
      </c>
      <c r="H337" s="42" t="str">
        <f>VLOOKUP('Data 1'!$B337,'Data 2'!$A$1:$F$46,MATCH('Data 1'!H$1,'Data 2'!$A$1:$F$1,0),0)</f>
        <v>Category04</v>
      </c>
      <c r="I337" s="42" t="str">
        <f>VLOOKUP('Data 1'!$B337,'Data 2'!$A$1:$F$46,MATCH('Data 1'!I$1,'Data 2'!$A$1:$F$1,0),0)</f>
        <v>No.</v>
      </c>
      <c r="J337" s="42">
        <f>VLOOKUP('Data 1'!$B337,'Data 2'!$A$1:$F$46,MATCH('Data 1'!J$1,'Data 2'!$A$1:$F$1,0),0)</f>
        <v>18</v>
      </c>
      <c r="K337" s="42">
        <f>VLOOKUP('Data 1'!$B337,'Data 2'!$A$1:$F$46,MATCH('Data 1'!K$1,'Data 2'!$A$1:$F$1,0),0)</f>
        <v>24.66</v>
      </c>
      <c r="L337" s="40">
        <f>SUM('Data 1'!$J337*'Data 1'!$C337)</f>
        <v>252</v>
      </c>
      <c r="M337" s="40">
        <f>'Data 1'!$C337*'Data 1'!$K337</f>
        <v>345.24</v>
      </c>
      <c r="N337" s="40">
        <f>'Data 1'!$M337-'Data 1'!$L337</f>
        <v>93.240000000000009</v>
      </c>
      <c r="O337" s="37">
        <f>DAY('Data 1'!$A337)</f>
        <v>21</v>
      </c>
      <c r="P337" s="37" t="str">
        <f>TEXT('Data 1'!$A337,"mmm")</f>
        <v>Apr</v>
      </c>
      <c r="Q337" s="41">
        <f>YEAR('Data 1'!$A337)</f>
        <v>2022</v>
      </c>
    </row>
    <row r="338" spans="1:17" x14ac:dyDescent="0.3">
      <c r="A338" s="35">
        <v>44674</v>
      </c>
      <c r="B338" s="36" t="s">
        <v>30</v>
      </c>
      <c r="C338" s="37">
        <v>15</v>
      </c>
      <c r="D338" s="37" t="s">
        <v>17</v>
      </c>
      <c r="E338" s="37" t="s">
        <v>17</v>
      </c>
      <c r="F338" s="38">
        <v>0</v>
      </c>
      <c r="G338" s="39" t="str">
        <f>VLOOKUP('Data 1'!$B338,'Data 2'!$A$1:$F$46,MATCH('Data 1'!G$1,'Data 2'!$A$1:$F$1,0),0)</f>
        <v>Product44</v>
      </c>
      <c r="H338" s="39" t="str">
        <f>VLOOKUP('Data 1'!$B338,'Data 2'!$A$1:$F$46,MATCH('Data 1'!H$1,'Data 2'!$A$1:$F$1,0),0)</f>
        <v>Category05</v>
      </c>
      <c r="I338" s="39" t="str">
        <f>VLOOKUP('Data 1'!$B338,'Data 2'!$A$1:$F$46,MATCH('Data 1'!I$1,'Data 2'!$A$1:$F$1,0),0)</f>
        <v>Kg</v>
      </c>
      <c r="J338" s="39">
        <f>VLOOKUP('Data 1'!$B338,'Data 2'!$A$1:$F$46,MATCH('Data 1'!J$1,'Data 2'!$A$1:$F$1,0),0)</f>
        <v>76</v>
      </c>
      <c r="K338" s="39">
        <f>VLOOKUP('Data 1'!$B338,'Data 2'!$A$1:$F$46,MATCH('Data 1'!K$1,'Data 2'!$A$1:$F$1,0),0)</f>
        <v>82.08</v>
      </c>
      <c r="L338" s="40">
        <f>SUM('Data 1'!$J338*'Data 1'!$C338)</f>
        <v>1140</v>
      </c>
      <c r="M338" s="40">
        <f>'Data 1'!$C338*'Data 1'!$K338</f>
        <v>1231.2</v>
      </c>
      <c r="N338" s="40">
        <f>'Data 1'!$M338-'Data 1'!$L338</f>
        <v>91.200000000000045</v>
      </c>
      <c r="O338" s="37">
        <f>DAY('Data 1'!$A338)</f>
        <v>23</v>
      </c>
      <c r="P338" s="37" t="str">
        <f>TEXT('Data 1'!$A338,"mmm")</f>
        <v>Apr</v>
      </c>
      <c r="Q338" s="41">
        <f>YEAR('Data 1'!$A338)</f>
        <v>2022</v>
      </c>
    </row>
    <row r="339" spans="1:17" x14ac:dyDescent="0.3">
      <c r="A339" s="35">
        <v>44675</v>
      </c>
      <c r="B339" s="36" t="s">
        <v>32</v>
      </c>
      <c r="C339" s="37">
        <v>4</v>
      </c>
      <c r="D339" s="37" t="s">
        <v>21</v>
      </c>
      <c r="E339" s="37" t="s">
        <v>17</v>
      </c>
      <c r="F339" s="38">
        <v>0</v>
      </c>
      <c r="G339" s="42" t="str">
        <f>VLOOKUP('Data 1'!$B339,'Data 2'!$A$1:$F$46,MATCH('Data 1'!G$1,'Data 2'!$A$1:$F$1,0),0)</f>
        <v>Product34</v>
      </c>
      <c r="H339" s="42" t="str">
        <f>VLOOKUP('Data 1'!$B339,'Data 2'!$A$1:$F$46,MATCH('Data 1'!H$1,'Data 2'!$A$1:$F$1,0),0)</f>
        <v>Category04</v>
      </c>
      <c r="I339" s="42" t="str">
        <f>VLOOKUP('Data 1'!$B339,'Data 2'!$A$1:$F$46,MATCH('Data 1'!I$1,'Data 2'!$A$1:$F$1,0),0)</f>
        <v>Lt</v>
      </c>
      <c r="J339" s="42">
        <f>VLOOKUP('Data 1'!$B339,'Data 2'!$A$1:$F$46,MATCH('Data 1'!J$1,'Data 2'!$A$1:$F$1,0),0)</f>
        <v>55</v>
      </c>
      <c r="K339" s="42">
        <f>VLOOKUP('Data 1'!$B339,'Data 2'!$A$1:$F$46,MATCH('Data 1'!K$1,'Data 2'!$A$1:$F$1,0),0)</f>
        <v>58.3</v>
      </c>
      <c r="L339" s="40">
        <f>SUM('Data 1'!$J339*'Data 1'!$C339)</f>
        <v>220</v>
      </c>
      <c r="M339" s="40">
        <f>'Data 1'!$C339*'Data 1'!$K339</f>
        <v>233.2</v>
      </c>
      <c r="N339" s="40">
        <f>'Data 1'!$M339-'Data 1'!$L339</f>
        <v>13.199999999999989</v>
      </c>
      <c r="O339" s="37">
        <f>DAY('Data 1'!$A339)</f>
        <v>24</v>
      </c>
      <c r="P339" s="37" t="str">
        <f>TEXT('Data 1'!$A339,"mmm")</f>
        <v>Apr</v>
      </c>
      <c r="Q339" s="41">
        <f>YEAR('Data 1'!$A339)</f>
        <v>2022</v>
      </c>
    </row>
    <row r="340" spans="1:17" x14ac:dyDescent="0.3">
      <c r="A340" s="35">
        <v>44676</v>
      </c>
      <c r="B340" s="36" t="s">
        <v>22</v>
      </c>
      <c r="C340" s="37">
        <v>9</v>
      </c>
      <c r="D340" s="37" t="s">
        <v>21</v>
      </c>
      <c r="E340" s="37" t="s">
        <v>19</v>
      </c>
      <c r="F340" s="38">
        <v>0</v>
      </c>
      <c r="G340" s="39" t="str">
        <f>VLOOKUP('Data 1'!$B340,'Data 2'!$A$1:$F$46,MATCH('Data 1'!G$1,'Data 2'!$A$1:$F$1,0),0)</f>
        <v>Product04</v>
      </c>
      <c r="H340" s="39" t="str">
        <f>VLOOKUP('Data 1'!$B340,'Data 2'!$A$1:$F$46,MATCH('Data 1'!H$1,'Data 2'!$A$1:$F$1,0),0)</f>
        <v>Category01</v>
      </c>
      <c r="I340" s="39" t="str">
        <f>VLOOKUP('Data 1'!$B340,'Data 2'!$A$1:$F$46,MATCH('Data 1'!I$1,'Data 2'!$A$1:$F$1,0),0)</f>
        <v>Lt</v>
      </c>
      <c r="J340" s="39">
        <f>VLOOKUP('Data 1'!$B340,'Data 2'!$A$1:$F$46,MATCH('Data 1'!J$1,'Data 2'!$A$1:$F$1,0),0)</f>
        <v>44</v>
      </c>
      <c r="K340" s="39">
        <f>VLOOKUP('Data 1'!$B340,'Data 2'!$A$1:$F$46,MATCH('Data 1'!K$1,'Data 2'!$A$1:$F$1,0),0)</f>
        <v>48.84</v>
      </c>
      <c r="L340" s="40">
        <f>SUM('Data 1'!$J340*'Data 1'!$C340)</f>
        <v>396</v>
      </c>
      <c r="M340" s="40">
        <f>'Data 1'!$C340*'Data 1'!$K340</f>
        <v>439.56000000000006</v>
      </c>
      <c r="N340" s="40">
        <f>'Data 1'!$M340-'Data 1'!$L340</f>
        <v>43.560000000000059</v>
      </c>
      <c r="O340" s="37">
        <f>DAY('Data 1'!$A340)</f>
        <v>25</v>
      </c>
      <c r="P340" s="37" t="str">
        <f>TEXT('Data 1'!$A340,"mmm")</f>
        <v>Apr</v>
      </c>
      <c r="Q340" s="41">
        <f>YEAR('Data 1'!$A340)</f>
        <v>2022</v>
      </c>
    </row>
    <row r="341" spans="1:17" x14ac:dyDescent="0.3">
      <c r="A341" s="35">
        <v>44676</v>
      </c>
      <c r="B341" s="36" t="s">
        <v>25</v>
      </c>
      <c r="C341" s="37">
        <v>8</v>
      </c>
      <c r="D341" s="37" t="s">
        <v>17</v>
      </c>
      <c r="E341" s="37" t="s">
        <v>17</v>
      </c>
      <c r="F341" s="38">
        <v>0</v>
      </c>
      <c r="G341" s="42" t="str">
        <f>VLOOKUP('Data 1'!$B341,'Data 2'!$A$1:$F$46,MATCH('Data 1'!G$1,'Data 2'!$A$1:$F$1,0),0)</f>
        <v>Product03</v>
      </c>
      <c r="H341" s="42" t="str">
        <f>VLOOKUP('Data 1'!$B341,'Data 2'!$A$1:$F$46,MATCH('Data 1'!H$1,'Data 2'!$A$1:$F$1,0),0)</f>
        <v>Category01</v>
      </c>
      <c r="I341" s="42" t="str">
        <f>VLOOKUP('Data 1'!$B341,'Data 2'!$A$1:$F$46,MATCH('Data 1'!I$1,'Data 2'!$A$1:$F$1,0),0)</f>
        <v>Kg</v>
      </c>
      <c r="J341" s="42">
        <f>VLOOKUP('Data 1'!$B341,'Data 2'!$A$1:$F$46,MATCH('Data 1'!J$1,'Data 2'!$A$1:$F$1,0),0)</f>
        <v>71</v>
      </c>
      <c r="K341" s="42">
        <f>VLOOKUP('Data 1'!$B341,'Data 2'!$A$1:$F$46,MATCH('Data 1'!K$1,'Data 2'!$A$1:$F$1,0),0)</f>
        <v>80.94</v>
      </c>
      <c r="L341" s="40">
        <f>SUM('Data 1'!$J341*'Data 1'!$C341)</f>
        <v>568</v>
      </c>
      <c r="M341" s="40">
        <f>'Data 1'!$C341*'Data 1'!$K341</f>
        <v>647.52</v>
      </c>
      <c r="N341" s="40">
        <f>'Data 1'!$M341-'Data 1'!$L341</f>
        <v>79.519999999999982</v>
      </c>
      <c r="O341" s="37">
        <f>DAY('Data 1'!$A341)</f>
        <v>25</v>
      </c>
      <c r="P341" s="37" t="str">
        <f>TEXT('Data 1'!$A341,"mmm")</f>
        <v>Apr</v>
      </c>
      <c r="Q341" s="41">
        <f>YEAR('Data 1'!$A341)</f>
        <v>2022</v>
      </c>
    </row>
    <row r="342" spans="1:17" x14ac:dyDescent="0.3">
      <c r="A342" s="35">
        <v>44677</v>
      </c>
      <c r="B342" s="36" t="s">
        <v>45</v>
      </c>
      <c r="C342" s="37">
        <v>2</v>
      </c>
      <c r="D342" s="37" t="s">
        <v>21</v>
      </c>
      <c r="E342" s="37" t="s">
        <v>19</v>
      </c>
      <c r="F342" s="38">
        <v>0</v>
      </c>
      <c r="G342" s="39" t="str">
        <f>VLOOKUP('Data 1'!$B342,'Data 2'!$A$1:$F$46,MATCH('Data 1'!G$1,'Data 2'!$A$1:$F$1,0),0)</f>
        <v>Product27</v>
      </c>
      <c r="H342" s="39" t="str">
        <f>VLOOKUP('Data 1'!$B342,'Data 2'!$A$1:$F$46,MATCH('Data 1'!H$1,'Data 2'!$A$1:$F$1,0),0)</f>
        <v>Category04</v>
      </c>
      <c r="I342" s="39" t="str">
        <f>VLOOKUP('Data 1'!$B342,'Data 2'!$A$1:$F$46,MATCH('Data 1'!I$1,'Data 2'!$A$1:$F$1,0),0)</f>
        <v>Lt</v>
      </c>
      <c r="J342" s="39">
        <f>VLOOKUP('Data 1'!$B342,'Data 2'!$A$1:$F$46,MATCH('Data 1'!J$1,'Data 2'!$A$1:$F$1,0),0)</f>
        <v>48</v>
      </c>
      <c r="K342" s="39">
        <f>VLOOKUP('Data 1'!$B342,'Data 2'!$A$1:$F$46,MATCH('Data 1'!K$1,'Data 2'!$A$1:$F$1,0),0)</f>
        <v>57.120000000000005</v>
      </c>
      <c r="L342" s="40">
        <f>SUM('Data 1'!$J342*'Data 1'!$C342)</f>
        <v>96</v>
      </c>
      <c r="M342" s="40">
        <f>'Data 1'!$C342*'Data 1'!$K342</f>
        <v>114.24000000000001</v>
      </c>
      <c r="N342" s="40">
        <f>'Data 1'!$M342-'Data 1'!$L342</f>
        <v>18.240000000000009</v>
      </c>
      <c r="O342" s="37">
        <f>DAY('Data 1'!$A342)</f>
        <v>26</v>
      </c>
      <c r="P342" s="37" t="str">
        <f>TEXT('Data 1'!$A342,"mmm")</f>
        <v>Apr</v>
      </c>
      <c r="Q342" s="41">
        <f>YEAR('Data 1'!$A342)</f>
        <v>2022</v>
      </c>
    </row>
    <row r="343" spans="1:17" x14ac:dyDescent="0.3">
      <c r="A343" s="35">
        <v>44679</v>
      </c>
      <c r="B343" s="36" t="s">
        <v>28</v>
      </c>
      <c r="C343" s="37">
        <v>14</v>
      </c>
      <c r="D343" s="37" t="s">
        <v>21</v>
      </c>
      <c r="E343" s="37" t="s">
        <v>19</v>
      </c>
      <c r="F343" s="38">
        <v>0</v>
      </c>
      <c r="G343" s="42" t="str">
        <f>VLOOKUP('Data 1'!$B343,'Data 2'!$A$1:$F$46,MATCH('Data 1'!G$1,'Data 2'!$A$1:$F$1,0),0)</f>
        <v>Product14</v>
      </c>
      <c r="H343" s="42" t="str">
        <f>VLOOKUP('Data 1'!$B343,'Data 2'!$A$1:$F$46,MATCH('Data 1'!H$1,'Data 2'!$A$1:$F$1,0),0)</f>
        <v>Category02</v>
      </c>
      <c r="I343" s="42" t="str">
        <f>VLOOKUP('Data 1'!$B343,'Data 2'!$A$1:$F$46,MATCH('Data 1'!I$1,'Data 2'!$A$1:$F$1,0),0)</f>
        <v>Kg</v>
      </c>
      <c r="J343" s="42">
        <f>VLOOKUP('Data 1'!$B343,'Data 2'!$A$1:$F$46,MATCH('Data 1'!J$1,'Data 2'!$A$1:$F$1,0),0)</f>
        <v>112</v>
      </c>
      <c r="K343" s="42">
        <f>VLOOKUP('Data 1'!$B343,'Data 2'!$A$1:$F$46,MATCH('Data 1'!K$1,'Data 2'!$A$1:$F$1,0),0)</f>
        <v>146.72</v>
      </c>
      <c r="L343" s="40">
        <f>SUM('Data 1'!$J343*'Data 1'!$C343)</f>
        <v>1568</v>
      </c>
      <c r="M343" s="40">
        <f>'Data 1'!$C343*'Data 1'!$K343</f>
        <v>2054.08</v>
      </c>
      <c r="N343" s="40">
        <f>'Data 1'!$M343-'Data 1'!$L343</f>
        <v>486.07999999999993</v>
      </c>
      <c r="O343" s="37">
        <f>DAY('Data 1'!$A343)</f>
        <v>28</v>
      </c>
      <c r="P343" s="37" t="str">
        <f>TEXT('Data 1'!$A343,"mmm")</f>
        <v>Apr</v>
      </c>
      <c r="Q343" s="41">
        <f>YEAR('Data 1'!$A343)</f>
        <v>2022</v>
      </c>
    </row>
    <row r="344" spans="1:17" x14ac:dyDescent="0.3">
      <c r="A344" s="35">
        <v>44681</v>
      </c>
      <c r="B344" s="36" t="s">
        <v>40</v>
      </c>
      <c r="C344" s="37">
        <v>13</v>
      </c>
      <c r="D344" s="37" t="s">
        <v>17</v>
      </c>
      <c r="E344" s="37" t="s">
        <v>17</v>
      </c>
      <c r="F344" s="38">
        <v>0</v>
      </c>
      <c r="G344" s="39" t="str">
        <f>VLOOKUP('Data 1'!$B344,'Data 2'!$A$1:$F$46,MATCH('Data 1'!G$1,'Data 2'!$A$1:$F$1,0),0)</f>
        <v>Product16</v>
      </c>
      <c r="H344" s="39" t="str">
        <f>VLOOKUP('Data 1'!$B344,'Data 2'!$A$1:$F$46,MATCH('Data 1'!H$1,'Data 2'!$A$1:$F$1,0),0)</f>
        <v>Category02</v>
      </c>
      <c r="I344" s="39" t="str">
        <f>VLOOKUP('Data 1'!$B344,'Data 2'!$A$1:$F$46,MATCH('Data 1'!I$1,'Data 2'!$A$1:$F$1,0),0)</f>
        <v>No.</v>
      </c>
      <c r="J344" s="39">
        <f>VLOOKUP('Data 1'!$B344,'Data 2'!$A$1:$F$46,MATCH('Data 1'!J$1,'Data 2'!$A$1:$F$1,0),0)</f>
        <v>13</v>
      </c>
      <c r="K344" s="39">
        <f>VLOOKUP('Data 1'!$B344,'Data 2'!$A$1:$F$46,MATCH('Data 1'!K$1,'Data 2'!$A$1:$F$1,0),0)</f>
        <v>16.64</v>
      </c>
      <c r="L344" s="40">
        <f>SUM('Data 1'!$J344*'Data 1'!$C344)</f>
        <v>169</v>
      </c>
      <c r="M344" s="40">
        <f>'Data 1'!$C344*'Data 1'!$K344</f>
        <v>216.32</v>
      </c>
      <c r="N344" s="40">
        <f>'Data 1'!$M344-'Data 1'!$L344</f>
        <v>47.319999999999993</v>
      </c>
      <c r="O344" s="37">
        <f>DAY('Data 1'!$A344)</f>
        <v>30</v>
      </c>
      <c r="P344" s="37" t="str">
        <f>TEXT('Data 1'!$A344,"mmm")</f>
        <v>Apr</v>
      </c>
      <c r="Q344" s="41">
        <f>YEAR('Data 1'!$A344)</f>
        <v>2022</v>
      </c>
    </row>
    <row r="345" spans="1:17" x14ac:dyDescent="0.3">
      <c r="A345" s="35">
        <v>44681</v>
      </c>
      <c r="B345" s="36" t="s">
        <v>45</v>
      </c>
      <c r="C345" s="37">
        <v>8</v>
      </c>
      <c r="D345" s="37" t="s">
        <v>21</v>
      </c>
      <c r="E345" s="37" t="s">
        <v>17</v>
      </c>
      <c r="F345" s="38">
        <v>0</v>
      </c>
      <c r="G345" s="42" t="str">
        <f>VLOOKUP('Data 1'!$B345,'Data 2'!$A$1:$F$46,MATCH('Data 1'!G$1,'Data 2'!$A$1:$F$1,0),0)</f>
        <v>Product27</v>
      </c>
      <c r="H345" s="42" t="str">
        <f>VLOOKUP('Data 1'!$B345,'Data 2'!$A$1:$F$46,MATCH('Data 1'!H$1,'Data 2'!$A$1:$F$1,0),0)</f>
        <v>Category04</v>
      </c>
      <c r="I345" s="42" t="str">
        <f>VLOOKUP('Data 1'!$B345,'Data 2'!$A$1:$F$46,MATCH('Data 1'!I$1,'Data 2'!$A$1:$F$1,0),0)</f>
        <v>Lt</v>
      </c>
      <c r="J345" s="42">
        <f>VLOOKUP('Data 1'!$B345,'Data 2'!$A$1:$F$46,MATCH('Data 1'!J$1,'Data 2'!$A$1:$F$1,0),0)</f>
        <v>48</v>
      </c>
      <c r="K345" s="42">
        <f>VLOOKUP('Data 1'!$B345,'Data 2'!$A$1:$F$46,MATCH('Data 1'!K$1,'Data 2'!$A$1:$F$1,0),0)</f>
        <v>57.120000000000005</v>
      </c>
      <c r="L345" s="40">
        <f>SUM('Data 1'!$J345*'Data 1'!$C345)</f>
        <v>384</v>
      </c>
      <c r="M345" s="40">
        <f>'Data 1'!$C345*'Data 1'!$K345</f>
        <v>456.96000000000004</v>
      </c>
      <c r="N345" s="40">
        <f>'Data 1'!$M345-'Data 1'!$L345</f>
        <v>72.960000000000036</v>
      </c>
      <c r="O345" s="37">
        <f>DAY('Data 1'!$A345)</f>
        <v>30</v>
      </c>
      <c r="P345" s="37" t="str">
        <f>TEXT('Data 1'!$A345,"mmm")</f>
        <v>Apr</v>
      </c>
      <c r="Q345" s="41">
        <f>YEAR('Data 1'!$A345)</f>
        <v>2022</v>
      </c>
    </row>
    <row r="346" spans="1:17" x14ac:dyDescent="0.3">
      <c r="A346" s="35">
        <v>44682</v>
      </c>
      <c r="B346" s="36" t="s">
        <v>32</v>
      </c>
      <c r="C346" s="37">
        <v>9</v>
      </c>
      <c r="D346" s="37" t="s">
        <v>16</v>
      </c>
      <c r="E346" s="37" t="s">
        <v>17</v>
      </c>
      <c r="F346" s="38">
        <v>0</v>
      </c>
      <c r="G346" s="39" t="str">
        <f>VLOOKUP('Data 1'!$B346,'Data 2'!$A$1:$F$46,MATCH('Data 1'!G$1,'Data 2'!$A$1:$F$1,0),0)</f>
        <v>Product34</v>
      </c>
      <c r="H346" s="39" t="str">
        <f>VLOOKUP('Data 1'!$B346,'Data 2'!$A$1:$F$46,MATCH('Data 1'!H$1,'Data 2'!$A$1:$F$1,0),0)</f>
        <v>Category04</v>
      </c>
      <c r="I346" s="39" t="str">
        <f>VLOOKUP('Data 1'!$B346,'Data 2'!$A$1:$F$46,MATCH('Data 1'!I$1,'Data 2'!$A$1:$F$1,0),0)</f>
        <v>Lt</v>
      </c>
      <c r="J346" s="39">
        <f>VLOOKUP('Data 1'!$B346,'Data 2'!$A$1:$F$46,MATCH('Data 1'!J$1,'Data 2'!$A$1:$F$1,0),0)</f>
        <v>55</v>
      </c>
      <c r="K346" s="39">
        <f>VLOOKUP('Data 1'!$B346,'Data 2'!$A$1:$F$46,MATCH('Data 1'!K$1,'Data 2'!$A$1:$F$1,0),0)</f>
        <v>58.3</v>
      </c>
      <c r="L346" s="40">
        <f>SUM('Data 1'!$J346*'Data 1'!$C346)</f>
        <v>495</v>
      </c>
      <c r="M346" s="40">
        <f>'Data 1'!$C346*'Data 1'!$K346</f>
        <v>524.69999999999993</v>
      </c>
      <c r="N346" s="40">
        <f>'Data 1'!$M346-'Data 1'!$L346</f>
        <v>29.699999999999932</v>
      </c>
      <c r="O346" s="37">
        <f>DAY('Data 1'!$A346)</f>
        <v>1</v>
      </c>
      <c r="P346" s="37" t="str">
        <f>TEXT('Data 1'!$A346,"mmm")</f>
        <v>May</v>
      </c>
      <c r="Q346" s="41">
        <f>YEAR('Data 1'!$A346)</f>
        <v>2022</v>
      </c>
    </row>
    <row r="347" spans="1:17" x14ac:dyDescent="0.3">
      <c r="A347" s="35">
        <v>44682</v>
      </c>
      <c r="B347" s="36" t="s">
        <v>57</v>
      </c>
      <c r="C347" s="37">
        <v>6</v>
      </c>
      <c r="D347" s="37" t="s">
        <v>17</v>
      </c>
      <c r="E347" s="37" t="s">
        <v>17</v>
      </c>
      <c r="F347" s="38">
        <v>0</v>
      </c>
      <c r="G347" s="42" t="str">
        <f>VLOOKUP('Data 1'!$B347,'Data 2'!$A$1:$F$46,MATCH('Data 1'!G$1,'Data 2'!$A$1:$F$1,0),0)</f>
        <v>Product33</v>
      </c>
      <c r="H347" s="42" t="str">
        <f>VLOOKUP('Data 1'!$B347,'Data 2'!$A$1:$F$46,MATCH('Data 1'!H$1,'Data 2'!$A$1:$F$1,0),0)</f>
        <v>Category04</v>
      </c>
      <c r="I347" s="42" t="str">
        <f>VLOOKUP('Data 1'!$B347,'Data 2'!$A$1:$F$46,MATCH('Data 1'!I$1,'Data 2'!$A$1:$F$1,0),0)</f>
        <v>Kg</v>
      </c>
      <c r="J347" s="42">
        <f>VLOOKUP('Data 1'!$B347,'Data 2'!$A$1:$F$46,MATCH('Data 1'!J$1,'Data 2'!$A$1:$F$1,0),0)</f>
        <v>95</v>
      </c>
      <c r="K347" s="42">
        <f>VLOOKUP('Data 1'!$B347,'Data 2'!$A$1:$F$46,MATCH('Data 1'!K$1,'Data 2'!$A$1:$F$1,0),0)</f>
        <v>119.7</v>
      </c>
      <c r="L347" s="40">
        <f>SUM('Data 1'!$J347*'Data 1'!$C347)</f>
        <v>570</v>
      </c>
      <c r="M347" s="40">
        <f>'Data 1'!$C347*'Data 1'!$K347</f>
        <v>718.2</v>
      </c>
      <c r="N347" s="40">
        <f>'Data 1'!$M347-'Data 1'!$L347</f>
        <v>148.20000000000005</v>
      </c>
      <c r="O347" s="37">
        <f>DAY('Data 1'!$A347)</f>
        <v>1</v>
      </c>
      <c r="P347" s="37" t="str">
        <f>TEXT('Data 1'!$A347,"mmm")</f>
        <v>May</v>
      </c>
      <c r="Q347" s="41">
        <f>YEAR('Data 1'!$A347)</f>
        <v>2022</v>
      </c>
    </row>
    <row r="348" spans="1:17" x14ac:dyDescent="0.3">
      <c r="A348" s="35">
        <v>44683</v>
      </c>
      <c r="B348" s="36" t="s">
        <v>20</v>
      </c>
      <c r="C348" s="37">
        <v>4</v>
      </c>
      <c r="D348" s="37" t="s">
        <v>17</v>
      </c>
      <c r="E348" s="37" t="s">
        <v>19</v>
      </c>
      <c r="F348" s="38">
        <v>0</v>
      </c>
      <c r="G348" s="39" t="str">
        <f>VLOOKUP('Data 1'!$B348,'Data 2'!$A$1:$F$46,MATCH('Data 1'!G$1,'Data 2'!$A$1:$F$1,0),0)</f>
        <v>Product13</v>
      </c>
      <c r="H348" s="39" t="str">
        <f>VLOOKUP('Data 1'!$B348,'Data 2'!$A$1:$F$46,MATCH('Data 1'!H$1,'Data 2'!$A$1:$F$1,0),0)</f>
        <v>Category02</v>
      </c>
      <c r="I348" s="39" t="str">
        <f>VLOOKUP('Data 1'!$B348,'Data 2'!$A$1:$F$46,MATCH('Data 1'!I$1,'Data 2'!$A$1:$F$1,0),0)</f>
        <v>Kg</v>
      </c>
      <c r="J348" s="39">
        <f>VLOOKUP('Data 1'!$B348,'Data 2'!$A$1:$F$46,MATCH('Data 1'!J$1,'Data 2'!$A$1:$F$1,0),0)</f>
        <v>112</v>
      </c>
      <c r="K348" s="39">
        <f>VLOOKUP('Data 1'!$B348,'Data 2'!$A$1:$F$46,MATCH('Data 1'!K$1,'Data 2'!$A$1:$F$1,0),0)</f>
        <v>122.08</v>
      </c>
      <c r="L348" s="40">
        <f>SUM('Data 1'!$J348*'Data 1'!$C348)</f>
        <v>448</v>
      </c>
      <c r="M348" s="40">
        <f>'Data 1'!$C348*'Data 1'!$K348</f>
        <v>488.32</v>
      </c>
      <c r="N348" s="40">
        <f>'Data 1'!$M348-'Data 1'!$L348</f>
        <v>40.319999999999993</v>
      </c>
      <c r="O348" s="37">
        <f>DAY('Data 1'!$A348)</f>
        <v>2</v>
      </c>
      <c r="P348" s="37" t="str">
        <f>TEXT('Data 1'!$A348,"mmm")</f>
        <v>May</v>
      </c>
      <c r="Q348" s="41">
        <f>YEAR('Data 1'!$A348)</f>
        <v>2022</v>
      </c>
    </row>
    <row r="349" spans="1:17" x14ac:dyDescent="0.3">
      <c r="A349" s="35">
        <v>44685</v>
      </c>
      <c r="B349" s="36" t="s">
        <v>33</v>
      </c>
      <c r="C349" s="37">
        <v>10</v>
      </c>
      <c r="D349" s="37" t="s">
        <v>21</v>
      </c>
      <c r="E349" s="37" t="s">
        <v>17</v>
      </c>
      <c r="F349" s="38">
        <v>0</v>
      </c>
      <c r="G349" s="42" t="str">
        <f>VLOOKUP('Data 1'!$B349,'Data 2'!$A$1:$F$46,MATCH('Data 1'!G$1,'Data 2'!$A$1:$F$1,0),0)</f>
        <v>Product20</v>
      </c>
      <c r="H349" s="42" t="str">
        <f>VLOOKUP('Data 1'!$B349,'Data 2'!$A$1:$F$46,MATCH('Data 1'!H$1,'Data 2'!$A$1:$F$1,0),0)</f>
        <v>Category03</v>
      </c>
      <c r="I349" s="42" t="str">
        <f>VLOOKUP('Data 1'!$B349,'Data 2'!$A$1:$F$46,MATCH('Data 1'!I$1,'Data 2'!$A$1:$F$1,0),0)</f>
        <v>Lt</v>
      </c>
      <c r="J349" s="42">
        <f>VLOOKUP('Data 1'!$B349,'Data 2'!$A$1:$F$46,MATCH('Data 1'!J$1,'Data 2'!$A$1:$F$1,0),0)</f>
        <v>61</v>
      </c>
      <c r="K349" s="42">
        <f>VLOOKUP('Data 1'!$B349,'Data 2'!$A$1:$F$46,MATCH('Data 1'!K$1,'Data 2'!$A$1:$F$1,0),0)</f>
        <v>76.25</v>
      </c>
      <c r="L349" s="40">
        <f>SUM('Data 1'!$J349*'Data 1'!$C349)</f>
        <v>610</v>
      </c>
      <c r="M349" s="40">
        <f>'Data 1'!$C349*'Data 1'!$K349</f>
        <v>762.5</v>
      </c>
      <c r="N349" s="40">
        <f>'Data 1'!$M349-'Data 1'!$L349</f>
        <v>152.5</v>
      </c>
      <c r="O349" s="37">
        <f>DAY('Data 1'!$A349)</f>
        <v>4</v>
      </c>
      <c r="P349" s="37" t="str">
        <f>TEXT('Data 1'!$A349,"mmm")</f>
        <v>May</v>
      </c>
      <c r="Q349" s="41">
        <f>YEAR('Data 1'!$A349)</f>
        <v>2022</v>
      </c>
    </row>
    <row r="350" spans="1:17" x14ac:dyDescent="0.3">
      <c r="A350" s="35">
        <v>44687</v>
      </c>
      <c r="B350" s="36" t="s">
        <v>32</v>
      </c>
      <c r="C350" s="37">
        <v>7</v>
      </c>
      <c r="D350" s="37" t="s">
        <v>21</v>
      </c>
      <c r="E350" s="37" t="s">
        <v>17</v>
      </c>
      <c r="F350" s="38">
        <v>0</v>
      </c>
      <c r="G350" s="39" t="str">
        <f>VLOOKUP('Data 1'!$B350,'Data 2'!$A$1:$F$46,MATCH('Data 1'!G$1,'Data 2'!$A$1:$F$1,0),0)</f>
        <v>Product34</v>
      </c>
      <c r="H350" s="39" t="str">
        <f>VLOOKUP('Data 1'!$B350,'Data 2'!$A$1:$F$46,MATCH('Data 1'!H$1,'Data 2'!$A$1:$F$1,0),0)</f>
        <v>Category04</v>
      </c>
      <c r="I350" s="39" t="str">
        <f>VLOOKUP('Data 1'!$B350,'Data 2'!$A$1:$F$46,MATCH('Data 1'!I$1,'Data 2'!$A$1:$F$1,0),0)</f>
        <v>Lt</v>
      </c>
      <c r="J350" s="39">
        <f>VLOOKUP('Data 1'!$B350,'Data 2'!$A$1:$F$46,MATCH('Data 1'!J$1,'Data 2'!$A$1:$F$1,0),0)</f>
        <v>55</v>
      </c>
      <c r="K350" s="39">
        <f>VLOOKUP('Data 1'!$B350,'Data 2'!$A$1:$F$46,MATCH('Data 1'!K$1,'Data 2'!$A$1:$F$1,0),0)</f>
        <v>58.3</v>
      </c>
      <c r="L350" s="40">
        <f>SUM('Data 1'!$J350*'Data 1'!$C350)</f>
        <v>385</v>
      </c>
      <c r="M350" s="40">
        <f>'Data 1'!$C350*'Data 1'!$K350</f>
        <v>408.09999999999997</v>
      </c>
      <c r="N350" s="40">
        <f>'Data 1'!$M350-'Data 1'!$L350</f>
        <v>23.099999999999966</v>
      </c>
      <c r="O350" s="37">
        <f>DAY('Data 1'!$A350)</f>
        <v>6</v>
      </c>
      <c r="P350" s="37" t="str">
        <f>TEXT('Data 1'!$A350,"mmm")</f>
        <v>May</v>
      </c>
      <c r="Q350" s="41">
        <f>YEAR('Data 1'!$A350)</f>
        <v>2022</v>
      </c>
    </row>
    <row r="351" spans="1:17" x14ac:dyDescent="0.3">
      <c r="A351" s="35">
        <v>44688</v>
      </c>
      <c r="B351" s="36" t="s">
        <v>46</v>
      </c>
      <c r="C351" s="37">
        <v>4</v>
      </c>
      <c r="D351" s="37" t="s">
        <v>17</v>
      </c>
      <c r="E351" s="37" t="s">
        <v>19</v>
      </c>
      <c r="F351" s="38">
        <v>0</v>
      </c>
      <c r="G351" s="42" t="str">
        <f>VLOOKUP('Data 1'!$B351,'Data 2'!$A$1:$F$46,MATCH('Data 1'!G$1,'Data 2'!$A$1:$F$1,0),0)</f>
        <v>Product15</v>
      </c>
      <c r="H351" s="42" t="str">
        <f>VLOOKUP('Data 1'!$B351,'Data 2'!$A$1:$F$46,MATCH('Data 1'!H$1,'Data 2'!$A$1:$F$1,0),0)</f>
        <v>Category02</v>
      </c>
      <c r="I351" s="42" t="str">
        <f>VLOOKUP('Data 1'!$B351,'Data 2'!$A$1:$F$46,MATCH('Data 1'!I$1,'Data 2'!$A$1:$F$1,0),0)</f>
        <v>No.</v>
      </c>
      <c r="J351" s="42">
        <f>VLOOKUP('Data 1'!$B351,'Data 2'!$A$1:$F$46,MATCH('Data 1'!J$1,'Data 2'!$A$1:$F$1,0),0)</f>
        <v>12</v>
      </c>
      <c r="K351" s="42">
        <f>VLOOKUP('Data 1'!$B351,'Data 2'!$A$1:$F$46,MATCH('Data 1'!K$1,'Data 2'!$A$1:$F$1,0),0)</f>
        <v>15.719999999999999</v>
      </c>
      <c r="L351" s="40">
        <f>SUM('Data 1'!$J351*'Data 1'!$C351)</f>
        <v>48</v>
      </c>
      <c r="M351" s="40">
        <f>'Data 1'!$C351*'Data 1'!$K351</f>
        <v>62.879999999999995</v>
      </c>
      <c r="N351" s="40">
        <f>'Data 1'!$M351-'Data 1'!$L351</f>
        <v>14.879999999999995</v>
      </c>
      <c r="O351" s="37">
        <f>DAY('Data 1'!$A351)</f>
        <v>7</v>
      </c>
      <c r="P351" s="37" t="str">
        <f>TEXT('Data 1'!$A351,"mmm")</f>
        <v>May</v>
      </c>
      <c r="Q351" s="41">
        <f>YEAR('Data 1'!$A351)</f>
        <v>2022</v>
      </c>
    </row>
    <row r="352" spans="1:17" x14ac:dyDescent="0.3">
      <c r="A352" s="35">
        <v>44688</v>
      </c>
      <c r="B352" s="36" t="s">
        <v>45</v>
      </c>
      <c r="C352" s="37">
        <v>1</v>
      </c>
      <c r="D352" s="37" t="s">
        <v>17</v>
      </c>
      <c r="E352" s="37" t="s">
        <v>17</v>
      </c>
      <c r="F352" s="38">
        <v>0</v>
      </c>
      <c r="G352" s="39" t="str">
        <f>VLOOKUP('Data 1'!$B352,'Data 2'!$A$1:$F$46,MATCH('Data 1'!G$1,'Data 2'!$A$1:$F$1,0),0)</f>
        <v>Product27</v>
      </c>
      <c r="H352" s="39" t="str">
        <f>VLOOKUP('Data 1'!$B352,'Data 2'!$A$1:$F$46,MATCH('Data 1'!H$1,'Data 2'!$A$1:$F$1,0),0)</f>
        <v>Category04</v>
      </c>
      <c r="I352" s="39" t="str">
        <f>VLOOKUP('Data 1'!$B352,'Data 2'!$A$1:$F$46,MATCH('Data 1'!I$1,'Data 2'!$A$1:$F$1,0),0)</f>
        <v>Lt</v>
      </c>
      <c r="J352" s="39">
        <f>VLOOKUP('Data 1'!$B352,'Data 2'!$A$1:$F$46,MATCH('Data 1'!J$1,'Data 2'!$A$1:$F$1,0),0)</f>
        <v>48</v>
      </c>
      <c r="K352" s="39">
        <f>VLOOKUP('Data 1'!$B352,'Data 2'!$A$1:$F$46,MATCH('Data 1'!K$1,'Data 2'!$A$1:$F$1,0),0)</f>
        <v>57.120000000000005</v>
      </c>
      <c r="L352" s="40">
        <f>SUM('Data 1'!$J352*'Data 1'!$C352)</f>
        <v>48</v>
      </c>
      <c r="M352" s="40">
        <f>'Data 1'!$C352*'Data 1'!$K352</f>
        <v>57.120000000000005</v>
      </c>
      <c r="N352" s="40">
        <f>'Data 1'!$M352-'Data 1'!$L352</f>
        <v>9.1200000000000045</v>
      </c>
      <c r="O352" s="37">
        <f>DAY('Data 1'!$A352)</f>
        <v>7</v>
      </c>
      <c r="P352" s="37" t="str">
        <f>TEXT('Data 1'!$A352,"mmm")</f>
        <v>May</v>
      </c>
      <c r="Q352" s="41">
        <f>YEAR('Data 1'!$A352)</f>
        <v>2022</v>
      </c>
    </row>
    <row r="353" spans="1:17" x14ac:dyDescent="0.3">
      <c r="A353" s="35">
        <v>44689</v>
      </c>
      <c r="B353" s="36" t="s">
        <v>41</v>
      </c>
      <c r="C353" s="37">
        <v>7</v>
      </c>
      <c r="D353" s="37" t="s">
        <v>17</v>
      </c>
      <c r="E353" s="37" t="s">
        <v>17</v>
      </c>
      <c r="F353" s="38">
        <v>0</v>
      </c>
      <c r="G353" s="42" t="str">
        <f>VLOOKUP('Data 1'!$B353,'Data 2'!$A$1:$F$46,MATCH('Data 1'!G$1,'Data 2'!$A$1:$F$1,0),0)</f>
        <v>Product22</v>
      </c>
      <c r="H353" s="42" t="str">
        <f>VLOOKUP('Data 1'!$B353,'Data 2'!$A$1:$F$46,MATCH('Data 1'!H$1,'Data 2'!$A$1:$F$1,0),0)</f>
        <v>Category03</v>
      </c>
      <c r="I353" s="42" t="str">
        <f>VLOOKUP('Data 1'!$B353,'Data 2'!$A$1:$F$46,MATCH('Data 1'!I$1,'Data 2'!$A$1:$F$1,0),0)</f>
        <v>Ft</v>
      </c>
      <c r="J353" s="42">
        <f>VLOOKUP('Data 1'!$B353,'Data 2'!$A$1:$F$46,MATCH('Data 1'!J$1,'Data 2'!$A$1:$F$1,0),0)</f>
        <v>121</v>
      </c>
      <c r="K353" s="42">
        <f>VLOOKUP('Data 1'!$B353,'Data 2'!$A$1:$F$46,MATCH('Data 1'!K$1,'Data 2'!$A$1:$F$1,0),0)</f>
        <v>141.57</v>
      </c>
      <c r="L353" s="40">
        <f>SUM('Data 1'!$J353*'Data 1'!$C353)</f>
        <v>847</v>
      </c>
      <c r="M353" s="40">
        <f>'Data 1'!$C353*'Data 1'!$K353</f>
        <v>990.99</v>
      </c>
      <c r="N353" s="40">
        <f>'Data 1'!$M353-'Data 1'!$L353</f>
        <v>143.99</v>
      </c>
      <c r="O353" s="37">
        <f>DAY('Data 1'!$A353)</f>
        <v>8</v>
      </c>
      <c r="P353" s="37" t="str">
        <f>TEXT('Data 1'!$A353,"mmm")</f>
        <v>May</v>
      </c>
      <c r="Q353" s="41">
        <f>YEAR('Data 1'!$A353)</f>
        <v>2022</v>
      </c>
    </row>
    <row r="354" spans="1:17" x14ac:dyDescent="0.3">
      <c r="A354" s="35">
        <v>44690</v>
      </c>
      <c r="B354" s="36" t="s">
        <v>58</v>
      </c>
      <c r="C354" s="37">
        <v>12</v>
      </c>
      <c r="D354" s="37" t="s">
        <v>16</v>
      </c>
      <c r="E354" s="37" t="s">
        <v>19</v>
      </c>
      <c r="F354" s="38">
        <v>0</v>
      </c>
      <c r="G354" s="39" t="str">
        <f>VLOOKUP('Data 1'!$B354,'Data 2'!$A$1:$F$46,MATCH('Data 1'!G$1,'Data 2'!$A$1:$F$1,0),0)</f>
        <v>Product17</v>
      </c>
      <c r="H354" s="39" t="str">
        <f>VLOOKUP('Data 1'!$B354,'Data 2'!$A$1:$F$46,MATCH('Data 1'!H$1,'Data 2'!$A$1:$F$1,0),0)</f>
        <v>Category02</v>
      </c>
      <c r="I354" s="39" t="str">
        <f>VLOOKUP('Data 1'!$B354,'Data 2'!$A$1:$F$46,MATCH('Data 1'!I$1,'Data 2'!$A$1:$F$1,0),0)</f>
        <v>Ft</v>
      </c>
      <c r="J354" s="39">
        <f>VLOOKUP('Data 1'!$B354,'Data 2'!$A$1:$F$46,MATCH('Data 1'!J$1,'Data 2'!$A$1:$F$1,0),0)</f>
        <v>134</v>
      </c>
      <c r="K354" s="39">
        <f>VLOOKUP('Data 1'!$B354,'Data 2'!$A$1:$F$46,MATCH('Data 1'!K$1,'Data 2'!$A$1:$F$1,0),0)</f>
        <v>156.78</v>
      </c>
      <c r="L354" s="40">
        <f>SUM('Data 1'!$J354*'Data 1'!$C354)</f>
        <v>1608</v>
      </c>
      <c r="M354" s="40">
        <f>'Data 1'!$C354*'Data 1'!$K354</f>
        <v>1881.3600000000001</v>
      </c>
      <c r="N354" s="40">
        <f>'Data 1'!$M354-'Data 1'!$L354</f>
        <v>273.36000000000013</v>
      </c>
      <c r="O354" s="37">
        <f>DAY('Data 1'!$A354)</f>
        <v>9</v>
      </c>
      <c r="P354" s="37" t="str">
        <f>TEXT('Data 1'!$A354,"mmm")</f>
        <v>May</v>
      </c>
      <c r="Q354" s="41">
        <f>YEAR('Data 1'!$A354)</f>
        <v>2022</v>
      </c>
    </row>
    <row r="355" spans="1:17" x14ac:dyDescent="0.3">
      <c r="A355" s="35">
        <v>44691</v>
      </c>
      <c r="B355" s="36" t="s">
        <v>56</v>
      </c>
      <c r="C355" s="37">
        <v>6</v>
      </c>
      <c r="D355" s="37" t="s">
        <v>21</v>
      </c>
      <c r="E355" s="37" t="s">
        <v>17</v>
      </c>
      <c r="F355" s="38">
        <v>0</v>
      </c>
      <c r="G355" s="42" t="str">
        <f>VLOOKUP('Data 1'!$B355,'Data 2'!$A$1:$F$46,MATCH('Data 1'!G$1,'Data 2'!$A$1:$F$1,0),0)</f>
        <v>Product09</v>
      </c>
      <c r="H355" s="42" t="str">
        <f>VLOOKUP('Data 1'!$B355,'Data 2'!$A$1:$F$46,MATCH('Data 1'!H$1,'Data 2'!$A$1:$F$1,0),0)</f>
        <v>Category03</v>
      </c>
      <c r="I355" s="42" t="str">
        <f>VLOOKUP('Data 1'!$B355,'Data 2'!$A$1:$F$46,MATCH('Data 1'!I$1,'Data 2'!$A$1:$F$1,0),0)</f>
        <v>No.</v>
      </c>
      <c r="J355" s="42">
        <f>VLOOKUP('Data 1'!$B355,'Data 2'!$A$1:$F$46,MATCH('Data 1'!J$1,'Data 2'!$A$1:$F$1,0),0)</f>
        <v>6</v>
      </c>
      <c r="K355" s="42">
        <f>VLOOKUP('Data 1'!$B355,'Data 2'!$A$1:$F$46,MATCH('Data 1'!K$1,'Data 2'!$A$1:$F$1,0),0)</f>
        <v>7.8599999999999994</v>
      </c>
      <c r="L355" s="40">
        <f>SUM('Data 1'!$J355*'Data 1'!$C355)</f>
        <v>36</v>
      </c>
      <c r="M355" s="40">
        <f>'Data 1'!$C355*'Data 1'!$K355</f>
        <v>47.16</v>
      </c>
      <c r="N355" s="40">
        <f>'Data 1'!$M355-'Data 1'!$L355</f>
        <v>11.159999999999997</v>
      </c>
      <c r="O355" s="37">
        <f>DAY('Data 1'!$A355)</f>
        <v>10</v>
      </c>
      <c r="P355" s="37" t="str">
        <f>TEXT('Data 1'!$A355,"mmm")</f>
        <v>May</v>
      </c>
      <c r="Q355" s="41">
        <f>YEAR('Data 1'!$A355)</f>
        <v>2022</v>
      </c>
    </row>
    <row r="356" spans="1:17" x14ac:dyDescent="0.3">
      <c r="A356" s="35">
        <v>44693</v>
      </c>
      <c r="B356" s="36" t="s">
        <v>50</v>
      </c>
      <c r="C356" s="37">
        <v>7</v>
      </c>
      <c r="D356" s="37" t="s">
        <v>17</v>
      </c>
      <c r="E356" s="37" t="s">
        <v>19</v>
      </c>
      <c r="F356" s="38">
        <v>0</v>
      </c>
      <c r="G356" s="39" t="str">
        <f>VLOOKUP('Data 1'!$B356,'Data 2'!$A$1:$F$46,MATCH('Data 1'!G$1,'Data 2'!$A$1:$F$1,0),0)</f>
        <v>Product11</v>
      </c>
      <c r="H356" s="39" t="str">
        <f>VLOOKUP('Data 1'!$B356,'Data 2'!$A$1:$F$46,MATCH('Data 1'!H$1,'Data 2'!$A$1:$F$1,0),0)</f>
        <v>Category02</v>
      </c>
      <c r="I356" s="39" t="str">
        <f>VLOOKUP('Data 1'!$B356,'Data 2'!$A$1:$F$46,MATCH('Data 1'!I$1,'Data 2'!$A$1:$F$1,0),0)</f>
        <v>Lt</v>
      </c>
      <c r="J356" s="39">
        <f>VLOOKUP('Data 1'!$B356,'Data 2'!$A$1:$F$46,MATCH('Data 1'!J$1,'Data 2'!$A$1:$F$1,0),0)</f>
        <v>44</v>
      </c>
      <c r="K356" s="39">
        <f>VLOOKUP('Data 1'!$B356,'Data 2'!$A$1:$F$46,MATCH('Data 1'!K$1,'Data 2'!$A$1:$F$1,0),0)</f>
        <v>48.4</v>
      </c>
      <c r="L356" s="40">
        <f>SUM('Data 1'!$J356*'Data 1'!$C356)</f>
        <v>308</v>
      </c>
      <c r="M356" s="40">
        <f>'Data 1'!$C356*'Data 1'!$K356</f>
        <v>338.8</v>
      </c>
      <c r="N356" s="40">
        <f>'Data 1'!$M356-'Data 1'!$L356</f>
        <v>30.800000000000011</v>
      </c>
      <c r="O356" s="37">
        <f>DAY('Data 1'!$A356)</f>
        <v>12</v>
      </c>
      <c r="P356" s="37" t="str">
        <f>TEXT('Data 1'!$A356,"mmm")</f>
        <v>May</v>
      </c>
      <c r="Q356" s="41">
        <f>YEAR('Data 1'!$A356)</f>
        <v>2022</v>
      </c>
    </row>
    <row r="357" spans="1:17" x14ac:dyDescent="0.3">
      <c r="A357" s="35">
        <v>44694</v>
      </c>
      <c r="B357" s="36" t="s">
        <v>54</v>
      </c>
      <c r="C357" s="37">
        <v>5</v>
      </c>
      <c r="D357" s="37" t="s">
        <v>21</v>
      </c>
      <c r="E357" s="37" t="s">
        <v>17</v>
      </c>
      <c r="F357" s="38">
        <v>0</v>
      </c>
      <c r="G357" s="42" t="str">
        <f>VLOOKUP('Data 1'!$B357,'Data 2'!$A$1:$F$46,MATCH('Data 1'!G$1,'Data 2'!$A$1:$F$1,0),0)</f>
        <v>Product12</v>
      </c>
      <c r="H357" s="42" t="str">
        <f>VLOOKUP('Data 1'!$B357,'Data 2'!$A$1:$F$46,MATCH('Data 1'!H$1,'Data 2'!$A$1:$F$1,0),0)</f>
        <v>Category02</v>
      </c>
      <c r="I357" s="42" t="str">
        <f>VLOOKUP('Data 1'!$B357,'Data 2'!$A$1:$F$46,MATCH('Data 1'!I$1,'Data 2'!$A$1:$F$1,0),0)</f>
        <v>Kg</v>
      </c>
      <c r="J357" s="42">
        <f>VLOOKUP('Data 1'!$B357,'Data 2'!$A$1:$F$46,MATCH('Data 1'!J$1,'Data 2'!$A$1:$F$1,0),0)</f>
        <v>73</v>
      </c>
      <c r="K357" s="42">
        <f>VLOOKUP('Data 1'!$B357,'Data 2'!$A$1:$F$46,MATCH('Data 1'!K$1,'Data 2'!$A$1:$F$1,0),0)</f>
        <v>94.17</v>
      </c>
      <c r="L357" s="40">
        <f>SUM('Data 1'!$J357*'Data 1'!$C357)</f>
        <v>365</v>
      </c>
      <c r="M357" s="40">
        <f>'Data 1'!$C357*'Data 1'!$K357</f>
        <v>470.85</v>
      </c>
      <c r="N357" s="40">
        <f>'Data 1'!$M357-'Data 1'!$L357</f>
        <v>105.85000000000002</v>
      </c>
      <c r="O357" s="37">
        <f>DAY('Data 1'!$A357)</f>
        <v>13</v>
      </c>
      <c r="P357" s="37" t="str">
        <f>TEXT('Data 1'!$A357,"mmm")</f>
        <v>May</v>
      </c>
      <c r="Q357" s="41">
        <f>YEAR('Data 1'!$A357)</f>
        <v>2022</v>
      </c>
    </row>
    <row r="358" spans="1:17" x14ac:dyDescent="0.3">
      <c r="A358" s="35">
        <v>44695</v>
      </c>
      <c r="B358" s="36" t="s">
        <v>44</v>
      </c>
      <c r="C358" s="37">
        <v>14</v>
      </c>
      <c r="D358" s="37" t="s">
        <v>21</v>
      </c>
      <c r="E358" s="37" t="s">
        <v>19</v>
      </c>
      <c r="F358" s="38">
        <v>0</v>
      </c>
      <c r="G358" s="39" t="str">
        <f>VLOOKUP('Data 1'!$B358,'Data 2'!$A$1:$F$46,MATCH('Data 1'!G$1,'Data 2'!$A$1:$F$1,0),0)</f>
        <v>Product08</v>
      </c>
      <c r="H358" s="39" t="str">
        <f>VLOOKUP('Data 1'!$B358,'Data 2'!$A$1:$F$46,MATCH('Data 1'!H$1,'Data 2'!$A$1:$F$1,0),0)</f>
        <v>Category01</v>
      </c>
      <c r="I358" s="39" t="str">
        <f>VLOOKUP('Data 1'!$B358,'Data 2'!$A$1:$F$46,MATCH('Data 1'!I$1,'Data 2'!$A$1:$F$1,0),0)</f>
        <v>Kg</v>
      </c>
      <c r="J358" s="39">
        <f>VLOOKUP('Data 1'!$B358,'Data 2'!$A$1:$F$46,MATCH('Data 1'!J$1,'Data 2'!$A$1:$F$1,0),0)</f>
        <v>83</v>
      </c>
      <c r="K358" s="39">
        <f>VLOOKUP('Data 1'!$B358,'Data 2'!$A$1:$F$46,MATCH('Data 1'!K$1,'Data 2'!$A$1:$F$1,0),0)</f>
        <v>94.62</v>
      </c>
      <c r="L358" s="40">
        <f>SUM('Data 1'!$J358*'Data 1'!$C358)</f>
        <v>1162</v>
      </c>
      <c r="M358" s="40">
        <f>'Data 1'!$C358*'Data 1'!$K358</f>
        <v>1324.68</v>
      </c>
      <c r="N358" s="40">
        <f>'Data 1'!$M358-'Data 1'!$L358</f>
        <v>162.68000000000006</v>
      </c>
      <c r="O358" s="37">
        <f>DAY('Data 1'!$A358)</f>
        <v>14</v>
      </c>
      <c r="P358" s="37" t="str">
        <f>TEXT('Data 1'!$A358,"mmm")</f>
        <v>May</v>
      </c>
      <c r="Q358" s="41">
        <f>YEAR('Data 1'!$A358)</f>
        <v>2022</v>
      </c>
    </row>
    <row r="359" spans="1:17" x14ac:dyDescent="0.3">
      <c r="A359" s="35">
        <v>44696</v>
      </c>
      <c r="B359" s="36" t="s">
        <v>33</v>
      </c>
      <c r="C359" s="37">
        <v>5</v>
      </c>
      <c r="D359" s="37" t="s">
        <v>17</v>
      </c>
      <c r="E359" s="37" t="s">
        <v>17</v>
      </c>
      <c r="F359" s="38">
        <v>0</v>
      </c>
      <c r="G359" s="42" t="str">
        <f>VLOOKUP('Data 1'!$B359,'Data 2'!$A$1:$F$46,MATCH('Data 1'!G$1,'Data 2'!$A$1:$F$1,0),0)</f>
        <v>Product20</v>
      </c>
      <c r="H359" s="42" t="str">
        <f>VLOOKUP('Data 1'!$B359,'Data 2'!$A$1:$F$46,MATCH('Data 1'!H$1,'Data 2'!$A$1:$F$1,0),0)</f>
        <v>Category03</v>
      </c>
      <c r="I359" s="42" t="str">
        <f>VLOOKUP('Data 1'!$B359,'Data 2'!$A$1:$F$46,MATCH('Data 1'!I$1,'Data 2'!$A$1:$F$1,0),0)</f>
        <v>Lt</v>
      </c>
      <c r="J359" s="42">
        <f>VLOOKUP('Data 1'!$B359,'Data 2'!$A$1:$F$46,MATCH('Data 1'!J$1,'Data 2'!$A$1:$F$1,0),0)</f>
        <v>61</v>
      </c>
      <c r="K359" s="42">
        <f>VLOOKUP('Data 1'!$B359,'Data 2'!$A$1:$F$46,MATCH('Data 1'!K$1,'Data 2'!$A$1:$F$1,0),0)</f>
        <v>76.25</v>
      </c>
      <c r="L359" s="40">
        <f>SUM('Data 1'!$J359*'Data 1'!$C359)</f>
        <v>305</v>
      </c>
      <c r="M359" s="40">
        <f>'Data 1'!$C359*'Data 1'!$K359</f>
        <v>381.25</v>
      </c>
      <c r="N359" s="40">
        <f>'Data 1'!$M359-'Data 1'!$L359</f>
        <v>76.25</v>
      </c>
      <c r="O359" s="37">
        <f>DAY('Data 1'!$A359)</f>
        <v>15</v>
      </c>
      <c r="P359" s="37" t="str">
        <f>TEXT('Data 1'!$A359,"mmm")</f>
        <v>May</v>
      </c>
      <c r="Q359" s="41">
        <f>YEAR('Data 1'!$A359)</f>
        <v>2022</v>
      </c>
    </row>
    <row r="360" spans="1:17" x14ac:dyDescent="0.3">
      <c r="A360" s="35">
        <v>44697</v>
      </c>
      <c r="B360" s="36" t="s">
        <v>39</v>
      </c>
      <c r="C360" s="37">
        <v>13</v>
      </c>
      <c r="D360" s="37" t="s">
        <v>21</v>
      </c>
      <c r="E360" s="37" t="s">
        <v>19</v>
      </c>
      <c r="F360" s="38">
        <v>0</v>
      </c>
      <c r="G360" s="39" t="str">
        <f>VLOOKUP('Data 1'!$B360,'Data 2'!$A$1:$F$46,MATCH('Data 1'!G$1,'Data 2'!$A$1:$F$1,0),0)</f>
        <v>Product10</v>
      </c>
      <c r="H360" s="39" t="str">
        <f>VLOOKUP('Data 1'!$B360,'Data 2'!$A$1:$F$46,MATCH('Data 1'!H$1,'Data 2'!$A$1:$F$1,0),0)</f>
        <v>Category02</v>
      </c>
      <c r="I360" s="39" t="str">
        <f>VLOOKUP('Data 1'!$B360,'Data 2'!$A$1:$F$46,MATCH('Data 1'!I$1,'Data 2'!$A$1:$F$1,0),0)</f>
        <v>Ft</v>
      </c>
      <c r="J360" s="39">
        <f>VLOOKUP('Data 1'!$B360,'Data 2'!$A$1:$F$46,MATCH('Data 1'!J$1,'Data 2'!$A$1:$F$1,0),0)</f>
        <v>148</v>
      </c>
      <c r="K360" s="39">
        <f>VLOOKUP('Data 1'!$B360,'Data 2'!$A$1:$F$46,MATCH('Data 1'!K$1,'Data 2'!$A$1:$F$1,0),0)</f>
        <v>164.28</v>
      </c>
      <c r="L360" s="40">
        <f>SUM('Data 1'!$J360*'Data 1'!$C360)</f>
        <v>1924</v>
      </c>
      <c r="M360" s="40">
        <f>'Data 1'!$C360*'Data 1'!$K360</f>
        <v>2135.64</v>
      </c>
      <c r="N360" s="40">
        <f>'Data 1'!$M360-'Data 1'!$L360</f>
        <v>211.63999999999987</v>
      </c>
      <c r="O360" s="37">
        <f>DAY('Data 1'!$A360)</f>
        <v>16</v>
      </c>
      <c r="P360" s="37" t="str">
        <f>TEXT('Data 1'!$A360,"mmm")</f>
        <v>May</v>
      </c>
      <c r="Q360" s="41">
        <f>YEAR('Data 1'!$A360)</f>
        <v>2022</v>
      </c>
    </row>
    <row r="361" spans="1:17" x14ac:dyDescent="0.3">
      <c r="A361" s="35">
        <v>44697</v>
      </c>
      <c r="B361" s="36" t="s">
        <v>24</v>
      </c>
      <c r="C361" s="37">
        <v>13</v>
      </c>
      <c r="D361" s="37" t="s">
        <v>17</v>
      </c>
      <c r="E361" s="37" t="s">
        <v>17</v>
      </c>
      <c r="F361" s="38">
        <v>0</v>
      </c>
      <c r="G361" s="42" t="str">
        <f>VLOOKUP('Data 1'!$B361,'Data 2'!$A$1:$F$46,MATCH('Data 1'!G$1,'Data 2'!$A$1:$F$1,0),0)</f>
        <v>Product31</v>
      </c>
      <c r="H361" s="42" t="str">
        <f>VLOOKUP('Data 1'!$B361,'Data 2'!$A$1:$F$46,MATCH('Data 1'!H$1,'Data 2'!$A$1:$F$1,0),0)</f>
        <v>Category04</v>
      </c>
      <c r="I361" s="42" t="str">
        <f>VLOOKUP('Data 1'!$B361,'Data 2'!$A$1:$F$46,MATCH('Data 1'!I$1,'Data 2'!$A$1:$F$1,0),0)</f>
        <v>Kg</v>
      </c>
      <c r="J361" s="42">
        <f>VLOOKUP('Data 1'!$B361,'Data 2'!$A$1:$F$46,MATCH('Data 1'!J$1,'Data 2'!$A$1:$F$1,0),0)</f>
        <v>93</v>
      </c>
      <c r="K361" s="42">
        <f>VLOOKUP('Data 1'!$B361,'Data 2'!$A$1:$F$46,MATCH('Data 1'!K$1,'Data 2'!$A$1:$F$1,0),0)</f>
        <v>104.16</v>
      </c>
      <c r="L361" s="40">
        <f>SUM('Data 1'!$J361*'Data 1'!$C361)</f>
        <v>1209</v>
      </c>
      <c r="M361" s="40">
        <f>'Data 1'!$C361*'Data 1'!$K361</f>
        <v>1354.08</v>
      </c>
      <c r="N361" s="40">
        <f>'Data 1'!$M361-'Data 1'!$L361</f>
        <v>145.07999999999993</v>
      </c>
      <c r="O361" s="37">
        <f>DAY('Data 1'!$A361)</f>
        <v>16</v>
      </c>
      <c r="P361" s="37" t="str">
        <f>TEXT('Data 1'!$A361,"mmm")</f>
        <v>May</v>
      </c>
      <c r="Q361" s="41">
        <f>YEAR('Data 1'!$A361)</f>
        <v>2022</v>
      </c>
    </row>
    <row r="362" spans="1:17" x14ac:dyDescent="0.3">
      <c r="A362" s="35">
        <v>44698</v>
      </c>
      <c r="B362" s="36" t="s">
        <v>45</v>
      </c>
      <c r="C362" s="37">
        <v>8</v>
      </c>
      <c r="D362" s="37" t="s">
        <v>21</v>
      </c>
      <c r="E362" s="37" t="s">
        <v>19</v>
      </c>
      <c r="F362" s="38">
        <v>0</v>
      </c>
      <c r="G362" s="39" t="str">
        <f>VLOOKUP('Data 1'!$B362,'Data 2'!$A$1:$F$46,MATCH('Data 1'!G$1,'Data 2'!$A$1:$F$1,0),0)</f>
        <v>Product27</v>
      </c>
      <c r="H362" s="39" t="str">
        <f>VLOOKUP('Data 1'!$B362,'Data 2'!$A$1:$F$46,MATCH('Data 1'!H$1,'Data 2'!$A$1:$F$1,0),0)</f>
        <v>Category04</v>
      </c>
      <c r="I362" s="39" t="str">
        <f>VLOOKUP('Data 1'!$B362,'Data 2'!$A$1:$F$46,MATCH('Data 1'!I$1,'Data 2'!$A$1:$F$1,0),0)</f>
        <v>Lt</v>
      </c>
      <c r="J362" s="39">
        <f>VLOOKUP('Data 1'!$B362,'Data 2'!$A$1:$F$46,MATCH('Data 1'!J$1,'Data 2'!$A$1:$F$1,0),0)</f>
        <v>48</v>
      </c>
      <c r="K362" s="39">
        <f>VLOOKUP('Data 1'!$B362,'Data 2'!$A$1:$F$46,MATCH('Data 1'!K$1,'Data 2'!$A$1:$F$1,0),0)</f>
        <v>57.120000000000005</v>
      </c>
      <c r="L362" s="40">
        <f>SUM('Data 1'!$J362*'Data 1'!$C362)</f>
        <v>384</v>
      </c>
      <c r="M362" s="40">
        <f>'Data 1'!$C362*'Data 1'!$K362</f>
        <v>456.96000000000004</v>
      </c>
      <c r="N362" s="40">
        <f>'Data 1'!$M362-'Data 1'!$L362</f>
        <v>72.960000000000036</v>
      </c>
      <c r="O362" s="37">
        <f>DAY('Data 1'!$A362)</f>
        <v>17</v>
      </c>
      <c r="P362" s="37" t="str">
        <f>TEXT('Data 1'!$A362,"mmm")</f>
        <v>May</v>
      </c>
      <c r="Q362" s="41">
        <f>YEAR('Data 1'!$A362)</f>
        <v>2022</v>
      </c>
    </row>
    <row r="363" spans="1:17" x14ac:dyDescent="0.3">
      <c r="A363" s="35">
        <v>44699</v>
      </c>
      <c r="B363" s="36" t="s">
        <v>45</v>
      </c>
      <c r="C363" s="37">
        <v>4</v>
      </c>
      <c r="D363" s="37" t="s">
        <v>16</v>
      </c>
      <c r="E363" s="37" t="s">
        <v>17</v>
      </c>
      <c r="F363" s="38">
        <v>0</v>
      </c>
      <c r="G363" s="42" t="str">
        <f>VLOOKUP('Data 1'!$B363,'Data 2'!$A$1:$F$46,MATCH('Data 1'!G$1,'Data 2'!$A$1:$F$1,0),0)</f>
        <v>Product27</v>
      </c>
      <c r="H363" s="42" t="str">
        <f>VLOOKUP('Data 1'!$B363,'Data 2'!$A$1:$F$46,MATCH('Data 1'!H$1,'Data 2'!$A$1:$F$1,0),0)</f>
        <v>Category04</v>
      </c>
      <c r="I363" s="42" t="str">
        <f>VLOOKUP('Data 1'!$B363,'Data 2'!$A$1:$F$46,MATCH('Data 1'!I$1,'Data 2'!$A$1:$F$1,0),0)</f>
        <v>Lt</v>
      </c>
      <c r="J363" s="42">
        <f>VLOOKUP('Data 1'!$B363,'Data 2'!$A$1:$F$46,MATCH('Data 1'!J$1,'Data 2'!$A$1:$F$1,0),0)</f>
        <v>48</v>
      </c>
      <c r="K363" s="42">
        <f>VLOOKUP('Data 1'!$B363,'Data 2'!$A$1:$F$46,MATCH('Data 1'!K$1,'Data 2'!$A$1:$F$1,0),0)</f>
        <v>57.120000000000005</v>
      </c>
      <c r="L363" s="40">
        <f>SUM('Data 1'!$J363*'Data 1'!$C363)</f>
        <v>192</v>
      </c>
      <c r="M363" s="40">
        <f>'Data 1'!$C363*'Data 1'!$K363</f>
        <v>228.48000000000002</v>
      </c>
      <c r="N363" s="40">
        <f>'Data 1'!$M363-'Data 1'!$L363</f>
        <v>36.480000000000018</v>
      </c>
      <c r="O363" s="37">
        <f>DAY('Data 1'!$A363)</f>
        <v>18</v>
      </c>
      <c r="P363" s="37" t="str">
        <f>TEXT('Data 1'!$A363,"mmm")</f>
        <v>May</v>
      </c>
      <c r="Q363" s="41">
        <f>YEAR('Data 1'!$A363)</f>
        <v>2022</v>
      </c>
    </row>
    <row r="364" spans="1:17" x14ac:dyDescent="0.3">
      <c r="A364" s="35">
        <v>44699</v>
      </c>
      <c r="B364" s="36" t="s">
        <v>18</v>
      </c>
      <c r="C364" s="37">
        <v>8</v>
      </c>
      <c r="D364" s="37" t="s">
        <v>16</v>
      </c>
      <c r="E364" s="37" t="s">
        <v>17</v>
      </c>
      <c r="F364" s="38">
        <v>0</v>
      </c>
      <c r="G364" s="39" t="str">
        <f>VLOOKUP('Data 1'!$B364,'Data 2'!$A$1:$F$46,MATCH('Data 1'!G$1,'Data 2'!$A$1:$F$1,0),0)</f>
        <v>Product38</v>
      </c>
      <c r="H364" s="39" t="str">
        <f>VLOOKUP('Data 1'!$B364,'Data 2'!$A$1:$F$46,MATCH('Data 1'!H$1,'Data 2'!$A$1:$F$1,0),0)</f>
        <v>Category05</v>
      </c>
      <c r="I364" s="39" t="str">
        <f>VLOOKUP('Data 1'!$B364,'Data 2'!$A$1:$F$46,MATCH('Data 1'!I$1,'Data 2'!$A$1:$F$1,0),0)</f>
        <v>Kg</v>
      </c>
      <c r="J364" s="39">
        <f>VLOOKUP('Data 1'!$B364,'Data 2'!$A$1:$F$46,MATCH('Data 1'!J$1,'Data 2'!$A$1:$F$1,0),0)</f>
        <v>72</v>
      </c>
      <c r="K364" s="39">
        <f>VLOOKUP('Data 1'!$B364,'Data 2'!$A$1:$F$46,MATCH('Data 1'!K$1,'Data 2'!$A$1:$F$1,0),0)</f>
        <v>79.92</v>
      </c>
      <c r="L364" s="40">
        <f>SUM('Data 1'!$J364*'Data 1'!$C364)</f>
        <v>576</v>
      </c>
      <c r="M364" s="40">
        <f>'Data 1'!$C364*'Data 1'!$K364</f>
        <v>639.36</v>
      </c>
      <c r="N364" s="40">
        <f>'Data 1'!$M364-'Data 1'!$L364</f>
        <v>63.360000000000014</v>
      </c>
      <c r="O364" s="37">
        <f>DAY('Data 1'!$A364)</f>
        <v>18</v>
      </c>
      <c r="P364" s="37" t="str">
        <f>TEXT('Data 1'!$A364,"mmm")</f>
        <v>May</v>
      </c>
      <c r="Q364" s="41">
        <f>YEAR('Data 1'!$A364)</f>
        <v>2022</v>
      </c>
    </row>
    <row r="365" spans="1:17" x14ac:dyDescent="0.3">
      <c r="A365" s="35">
        <v>44701</v>
      </c>
      <c r="B365" s="36" t="s">
        <v>30</v>
      </c>
      <c r="C365" s="37">
        <v>15</v>
      </c>
      <c r="D365" s="37" t="s">
        <v>17</v>
      </c>
      <c r="E365" s="37" t="s">
        <v>19</v>
      </c>
      <c r="F365" s="38">
        <v>0</v>
      </c>
      <c r="G365" s="42" t="str">
        <f>VLOOKUP('Data 1'!$B365,'Data 2'!$A$1:$F$46,MATCH('Data 1'!G$1,'Data 2'!$A$1:$F$1,0),0)</f>
        <v>Product44</v>
      </c>
      <c r="H365" s="42" t="str">
        <f>VLOOKUP('Data 1'!$B365,'Data 2'!$A$1:$F$46,MATCH('Data 1'!H$1,'Data 2'!$A$1:$F$1,0),0)</f>
        <v>Category05</v>
      </c>
      <c r="I365" s="42" t="str">
        <f>VLOOKUP('Data 1'!$B365,'Data 2'!$A$1:$F$46,MATCH('Data 1'!I$1,'Data 2'!$A$1:$F$1,0),0)</f>
        <v>Kg</v>
      </c>
      <c r="J365" s="42">
        <f>VLOOKUP('Data 1'!$B365,'Data 2'!$A$1:$F$46,MATCH('Data 1'!J$1,'Data 2'!$A$1:$F$1,0),0)</f>
        <v>76</v>
      </c>
      <c r="K365" s="42">
        <f>VLOOKUP('Data 1'!$B365,'Data 2'!$A$1:$F$46,MATCH('Data 1'!K$1,'Data 2'!$A$1:$F$1,0),0)</f>
        <v>82.08</v>
      </c>
      <c r="L365" s="40">
        <f>SUM('Data 1'!$J365*'Data 1'!$C365)</f>
        <v>1140</v>
      </c>
      <c r="M365" s="40">
        <f>'Data 1'!$C365*'Data 1'!$K365</f>
        <v>1231.2</v>
      </c>
      <c r="N365" s="40">
        <f>'Data 1'!$M365-'Data 1'!$L365</f>
        <v>91.200000000000045</v>
      </c>
      <c r="O365" s="37">
        <f>DAY('Data 1'!$A365)</f>
        <v>20</v>
      </c>
      <c r="P365" s="37" t="str">
        <f>TEXT('Data 1'!$A365,"mmm")</f>
        <v>May</v>
      </c>
      <c r="Q365" s="41">
        <f>YEAR('Data 1'!$A365)</f>
        <v>2022</v>
      </c>
    </row>
    <row r="366" spans="1:17" x14ac:dyDescent="0.3">
      <c r="A366" s="35">
        <v>44703</v>
      </c>
      <c r="B366" s="36" t="s">
        <v>46</v>
      </c>
      <c r="C366" s="37">
        <v>12</v>
      </c>
      <c r="D366" s="37" t="s">
        <v>21</v>
      </c>
      <c r="E366" s="37" t="s">
        <v>17</v>
      </c>
      <c r="F366" s="38">
        <v>0</v>
      </c>
      <c r="G366" s="39" t="str">
        <f>VLOOKUP('Data 1'!$B366,'Data 2'!$A$1:$F$46,MATCH('Data 1'!G$1,'Data 2'!$A$1:$F$1,0),0)</f>
        <v>Product15</v>
      </c>
      <c r="H366" s="39" t="str">
        <f>VLOOKUP('Data 1'!$B366,'Data 2'!$A$1:$F$46,MATCH('Data 1'!H$1,'Data 2'!$A$1:$F$1,0),0)</f>
        <v>Category02</v>
      </c>
      <c r="I366" s="39" t="str">
        <f>VLOOKUP('Data 1'!$B366,'Data 2'!$A$1:$F$46,MATCH('Data 1'!I$1,'Data 2'!$A$1:$F$1,0),0)</f>
        <v>No.</v>
      </c>
      <c r="J366" s="39">
        <f>VLOOKUP('Data 1'!$B366,'Data 2'!$A$1:$F$46,MATCH('Data 1'!J$1,'Data 2'!$A$1:$F$1,0),0)</f>
        <v>12</v>
      </c>
      <c r="K366" s="39">
        <f>VLOOKUP('Data 1'!$B366,'Data 2'!$A$1:$F$46,MATCH('Data 1'!K$1,'Data 2'!$A$1:$F$1,0),0)</f>
        <v>15.719999999999999</v>
      </c>
      <c r="L366" s="40">
        <f>SUM('Data 1'!$J366*'Data 1'!$C366)</f>
        <v>144</v>
      </c>
      <c r="M366" s="40">
        <f>'Data 1'!$C366*'Data 1'!$K366</f>
        <v>188.64</v>
      </c>
      <c r="N366" s="40">
        <f>'Data 1'!$M366-'Data 1'!$L366</f>
        <v>44.639999999999986</v>
      </c>
      <c r="O366" s="37">
        <f>DAY('Data 1'!$A366)</f>
        <v>22</v>
      </c>
      <c r="P366" s="37" t="str">
        <f>TEXT('Data 1'!$A366,"mmm")</f>
        <v>May</v>
      </c>
      <c r="Q366" s="41">
        <f>YEAR('Data 1'!$A366)</f>
        <v>2022</v>
      </c>
    </row>
    <row r="367" spans="1:17" x14ac:dyDescent="0.3">
      <c r="A367" s="35">
        <v>44706</v>
      </c>
      <c r="B367" s="36" t="s">
        <v>48</v>
      </c>
      <c r="C367" s="37">
        <v>7</v>
      </c>
      <c r="D367" s="37" t="s">
        <v>17</v>
      </c>
      <c r="E367" s="37" t="s">
        <v>17</v>
      </c>
      <c r="F367" s="38">
        <v>0</v>
      </c>
      <c r="G367" s="42" t="str">
        <f>VLOOKUP('Data 1'!$B367,'Data 2'!$A$1:$F$46,MATCH('Data 1'!G$1,'Data 2'!$A$1:$F$1,0),0)</f>
        <v>Product02</v>
      </c>
      <c r="H367" s="42" t="str">
        <f>VLOOKUP('Data 1'!$B367,'Data 2'!$A$1:$F$46,MATCH('Data 1'!H$1,'Data 2'!$A$1:$F$1,0),0)</f>
        <v>Category01</v>
      </c>
      <c r="I367" s="42" t="str">
        <f>VLOOKUP('Data 1'!$B367,'Data 2'!$A$1:$F$46,MATCH('Data 1'!I$1,'Data 2'!$A$1:$F$1,0),0)</f>
        <v>Kg</v>
      </c>
      <c r="J367" s="42">
        <f>VLOOKUP('Data 1'!$B367,'Data 2'!$A$1:$F$46,MATCH('Data 1'!J$1,'Data 2'!$A$1:$F$1,0),0)</f>
        <v>105</v>
      </c>
      <c r="K367" s="42">
        <f>VLOOKUP('Data 1'!$B367,'Data 2'!$A$1:$F$46,MATCH('Data 1'!K$1,'Data 2'!$A$1:$F$1,0),0)</f>
        <v>142.80000000000001</v>
      </c>
      <c r="L367" s="40">
        <f>SUM('Data 1'!$J367*'Data 1'!$C367)</f>
        <v>735</v>
      </c>
      <c r="M367" s="40">
        <f>'Data 1'!$C367*'Data 1'!$K367</f>
        <v>999.60000000000014</v>
      </c>
      <c r="N367" s="40">
        <f>'Data 1'!$M367-'Data 1'!$L367</f>
        <v>264.60000000000014</v>
      </c>
      <c r="O367" s="37">
        <f>DAY('Data 1'!$A367)</f>
        <v>25</v>
      </c>
      <c r="P367" s="37" t="str">
        <f>TEXT('Data 1'!$A367,"mmm")</f>
        <v>May</v>
      </c>
      <c r="Q367" s="41">
        <f>YEAR('Data 1'!$A367)</f>
        <v>2022</v>
      </c>
    </row>
    <row r="368" spans="1:17" x14ac:dyDescent="0.3">
      <c r="A368" s="35">
        <v>44707</v>
      </c>
      <c r="B368" s="36" t="s">
        <v>52</v>
      </c>
      <c r="C368" s="37">
        <v>2</v>
      </c>
      <c r="D368" s="37" t="s">
        <v>21</v>
      </c>
      <c r="E368" s="37" t="s">
        <v>17</v>
      </c>
      <c r="F368" s="38">
        <v>0</v>
      </c>
      <c r="G368" s="39" t="str">
        <f>VLOOKUP('Data 1'!$B368,'Data 2'!$A$1:$F$46,MATCH('Data 1'!G$1,'Data 2'!$A$1:$F$1,0),0)</f>
        <v>Product28</v>
      </c>
      <c r="H368" s="39" t="str">
        <f>VLOOKUP('Data 1'!$B368,'Data 2'!$A$1:$F$46,MATCH('Data 1'!H$1,'Data 2'!$A$1:$F$1,0),0)</f>
        <v>Category04</v>
      </c>
      <c r="I368" s="39" t="str">
        <f>VLOOKUP('Data 1'!$B368,'Data 2'!$A$1:$F$46,MATCH('Data 1'!I$1,'Data 2'!$A$1:$F$1,0),0)</f>
        <v>No.</v>
      </c>
      <c r="J368" s="39">
        <f>VLOOKUP('Data 1'!$B368,'Data 2'!$A$1:$F$46,MATCH('Data 1'!J$1,'Data 2'!$A$1:$F$1,0),0)</f>
        <v>37</v>
      </c>
      <c r="K368" s="39">
        <f>VLOOKUP('Data 1'!$B368,'Data 2'!$A$1:$F$46,MATCH('Data 1'!K$1,'Data 2'!$A$1:$F$1,0),0)</f>
        <v>41.81</v>
      </c>
      <c r="L368" s="40">
        <f>SUM('Data 1'!$J368*'Data 1'!$C368)</f>
        <v>74</v>
      </c>
      <c r="M368" s="40">
        <f>'Data 1'!$C368*'Data 1'!$K368</f>
        <v>83.62</v>
      </c>
      <c r="N368" s="40">
        <f>'Data 1'!$M368-'Data 1'!$L368</f>
        <v>9.6200000000000045</v>
      </c>
      <c r="O368" s="37">
        <f>DAY('Data 1'!$A368)</f>
        <v>26</v>
      </c>
      <c r="P368" s="37" t="str">
        <f>TEXT('Data 1'!$A368,"mmm")</f>
        <v>May</v>
      </c>
      <c r="Q368" s="41">
        <f>YEAR('Data 1'!$A368)</f>
        <v>2022</v>
      </c>
    </row>
    <row r="369" spans="1:17" x14ac:dyDescent="0.3">
      <c r="A369" s="35">
        <v>44707</v>
      </c>
      <c r="B369" s="36" t="s">
        <v>45</v>
      </c>
      <c r="C369" s="37">
        <v>2</v>
      </c>
      <c r="D369" s="37" t="s">
        <v>17</v>
      </c>
      <c r="E369" s="37" t="s">
        <v>17</v>
      </c>
      <c r="F369" s="38">
        <v>0</v>
      </c>
      <c r="G369" s="42" t="str">
        <f>VLOOKUP('Data 1'!$B369,'Data 2'!$A$1:$F$46,MATCH('Data 1'!G$1,'Data 2'!$A$1:$F$1,0),0)</f>
        <v>Product27</v>
      </c>
      <c r="H369" s="42" t="str">
        <f>VLOOKUP('Data 1'!$B369,'Data 2'!$A$1:$F$46,MATCH('Data 1'!H$1,'Data 2'!$A$1:$F$1,0),0)</f>
        <v>Category04</v>
      </c>
      <c r="I369" s="42" t="str">
        <f>VLOOKUP('Data 1'!$B369,'Data 2'!$A$1:$F$46,MATCH('Data 1'!I$1,'Data 2'!$A$1:$F$1,0),0)</f>
        <v>Lt</v>
      </c>
      <c r="J369" s="42">
        <f>VLOOKUP('Data 1'!$B369,'Data 2'!$A$1:$F$46,MATCH('Data 1'!J$1,'Data 2'!$A$1:$F$1,0),0)</f>
        <v>48</v>
      </c>
      <c r="K369" s="42">
        <f>VLOOKUP('Data 1'!$B369,'Data 2'!$A$1:$F$46,MATCH('Data 1'!K$1,'Data 2'!$A$1:$F$1,0),0)</f>
        <v>57.120000000000005</v>
      </c>
      <c r="L369" s="40">
        <f>SUM('Data 1'!$J369*'Data 1'!$C369)</f>
        <v>96</v>
      </c>
      <c r="M369" s="40">
        <f>'Data 1'!$C369*'Data 1'!$K369</f>
        <v>114.24000000000001</v>
      </c>
      <c r="N369" s="40">
        <f>'Data 1'!$M369-'Data 1'!$L369</f>
        <v>18.240000000000009</v>
      </c>
      <c r="O369" s="37">
        <f>DAY('Data 1'!$A369)</f>
        <v>26</v>
      </c>
      <c r="P369" s="37" t="str">
        <f>TEXT('Data 1'!$A369,"mmm")</f>
        <v>May</v>
      </c>
      <c r="Q369" s="41">
        <f>YEAR('Data 1'!$A369)</f>
        <v>2022</v>
      </c>
    </row>
    <row r="370" spans="1:17" x14ac:dyDescent="0.3">
      <c r="A370" s="35">
        <v>44709</v>
      </c>
      <c r="B370" s="36" t="s">
        <v>60</v>
      </c>
      <c r="C370" s="37">
        <v>10</v>
      </c>
      <c r="D370" s="37" t="s">
        <v>16</v>
      </c>
      <c r="E370" s="37" t="s">
        <v>19</v>
      </c>
      <c r="F370" s="38">
        <v>0</v>
      </c>
      <c r="G370" s="39" t="str">
        <f>VLOOKUP('Data 1'!$B370,'Data 2'!$A$1:$F$46,MATCH('Data 1'!G$1,'Data 2'!$A$1:$F$1,0),0)</f>
        <v>Product41</v>
      </c>
      <c r="H370" s="39" t="str">
        <f>VLOOKUP('Data 1'!$B370,'Data 2'!$A$1:$F$46,MATCH('Data 1'!H$1,'Data 2'!$A$1:$F$1,0),0)</f>
        <v>Category05</v>
      </c>
      <c r="I370" s="39" t="str">
        <f>VLOOKUP('Data 1'!$B370,'Data 2'!$A$1:$F$46,MATCH('Data 1'!I$1,'Data 2'!$A$1:$F$1,0),0)</f>
        <v>Ft</v>
      </c>
      <c r="J370" s="39">
        <f>VLOOKUP('Data 1'!$B370,'Data 2'!$A$1:$F$46,MATCH('Data 1'!J$1,'Data 2'!$A$1:$F$1,0),0)</f>
        <v>138</v>
      </c>
      <c r="K370" s="39">
        <f>VLOOKUP('Data 1'!$B370,'Data 2'!$A$1:$F$46,MATCH('Data 1'!K$1,'Data 2'!$A$1:$F$1,0),0)</f>
        <v>173.88</v>
      </c>
      <c r="L370" s="40">
        <f>SUM('Data 1'!$J370*'Data 1'!$C370)</f>
        <v>1380</v>
      </c>
      <c r="M370" s="40">
        <f>'Data 1'!$C370*'Data 1'!$K370</f>
        <v>1738.8</v>
      </c>
      <c r="N370" s="40">
        <f>'Data 1'!$M370-'Data 1'!$L370</f>
        <v>358.79999999999995</v>
      </c>
      <c r="O370" s="37">
        <f>DAY('Data 1'!$A370)</f>
        <v>28</v>
      </c>
      <c r="P370" s="37" t="str">
        <f>TEXT('Data 1'!$A370,"mmm")</f>
        <v>May</v>
      </c>
      <c r="Q370" s="41">
        <f>YEAR('Data 1'!$A370)</f>
        <v>2022</v>
      </c>
    </row>
    <row r="371" spans="1:17" x14ac:dyDescent="0.3">
      <c r="A371" s="35">
        <v>44709</v>
      </c>
      <c r="B371" s="36" t="s">
        <v>44</v>
      </c>
      <c r="C371" s="37">
        <v>5</v>
      </c>
      <c r="D371" s="37" t="s">
        <v>16</v>
      </c>
      <c r="E371" s="37" t="s">
        <v>17</v>
      </c>
      <c r="F371" s="38">
        <v>0</v>
      </c>
      <c r="G371" s="42" t="str">
        <f>VLOOKUP('Data 1'!$B371,'Data 2'!$A$1:$F$46,MATCH('Data 1'!G$1,'Data 2'!$A$1:$F$1,0),0)</f>
        <v>Product08</v>
      </c>
      <c r="H371" s="42" t="str">
        <f>VLOOKUP('Data 1'!$B371,'Data 2'!$A$1:$F$46,MATCH('Data 1'!H$1,'Data 2'!$A$1:$F$1,0),0)</f>
        <v>Category01</v>
      </c>
      <c r="I371" s="42" t="str">
        <f>VLOOKUP('Data 1'!$B371,'Data 2'!$A$1:$F$46,MATCH('Data 1'!I$1,'Data 2'!$A$1:$F$1,0),0)</f>
        <v>Kg</v>
      </c>
      <c r="J371" s="42">
        <f>VLOOKUP('Data 1'!$B371,'Data 2'!$A$1:$F$46,MATCH('Data 1'!J$1,'Data 2'!$A$1:$F$1,0),0)</f>
        <v>83</v>
      </c>
      <c r="K371" s="42">
        <f>VLOOKUP('Data 1'!$B371,'Data 2'!$A$1:$F$46,MATCH('Data 1'!K$1,'Data 2'!$A$1:$F$1,0),0)</f>
        <v>94.62</v>
      </c>
      <c r="L371" s="40">
        <f>SUM('Data 1'!$J371*'Data 1'!$C371)</f>
        <v>415</v>
      </c>
      <c r="M371" s="40">
        <f>'Data 1'!$C371*'Data 1'!$K371</f>
        <v>473.1</v>
      </c>
      <c r="N371" s="40">
        <f>'Data 1'!$M371-'Data 1'!$L371</f>
        <v>58.100000000000023</v>
      </c>
      <c r="O371" s="37">
        <f>DAY('Data 1'!$A371)</f>
        <v>28</v>
      </c>
      <c r="P371" s="37" t="str">
        <f>TEXT('Data 1'!$A371,"mmm")</f>
        <v>May</v>
      </c>
      <c r="Q371" s="41">
        <f>YEAR('Data 1'!$A371)</f>
        <v>2022</v>
      </c>
    </row>
    <row r="372" spans="1:17" x14ac:dyDescent="0.3">
      <c r="A372" s="35">
        <v>44709</v>
      </c>
      <c r="B372" s="36" t="s">
        <v>39</v>
      </c>
      <c r="C372" s="37">
        <v>9</v>
      </c>
      <c r="D372" s="37" t="s">
        <v>17</v>
      </c>
      <c r="E372" s="37" t="s">
        <v>19</v>
      </c>
      <c r="F372" s="38">
        <v>0</v>
      </c>
      <c r="G372" s="39" t="str">
        <f>VLOOKUP('Data 1'!$B372,'Data 2'!$A$1:$F$46,MATCH('Data 1'!G$1,'Data 2'!$A$1:$F$1,0),0)</f>
        <v>Product10</v>
      </c>
      <c r="H372" s="39" t="str">
        <f>VLOOKUP('Data 1'!$B372,'Data 2'!$A$1:$F$46,MATCH('Data 1'!H$1,'Data 2'!$A$1:$F$1,0),0)</f>
        <v>Category02</v>
      </c>
      <c r="I372" s="39" t="str">
        <f>VLOOKUP('Data 1'!$B372,'Data 2'!$A$1:$F$46,MATCH('Data 1'!I$1,'Data 2'!$A$1:$F$1,0),0)</f>
        <v>Ft</v>
      </c>
      <c r="J372" s="39">
        <f>VLOOKUP('Data 1'!$B372,'Data 2'!$A$1:$F$46,MATCH('Data 1'!J$1,'Data 2'!$A$1:$F$1,0),0)</f>
        <v>148</v>
      </c>
      <c r="K372" s="39">
        <f>VLOOKUP('Data 1'!$B372,'Data 2'!$A$1:$F$46,MATCH('Data 1'!K$1,'Data 2'!$A$1:$F$1,0),0)</f>
        <v>164.28</v>
      </c>
      <c r="L372" s="40">
        <f>SUM('Data 1'!$J372*'Data 1'!$C372)</f>
        <v>1332</v>
      </c>
      <c r="M372" s="40">
        <f>'Data 1'!$C372*'Data 1'!$K372</f>
        <v>1478.52</v>
      </c>
      <c r="N372" s="40">
        <f>'Data 1'!$M372-'Data 1'!$L372</f>
        <v>146.51999999999998</v>
      </c>
      <c r="O372" s="37">
        <f>DAY('Data 1'!$A372)</f>
        <v>28</v>
      </c>
      <c r="P372" s="37" t="str">
        <f>TEXT('Data 1'!$A372,"mmm")</f>
        <v>May</v>
      </c>
      <c r="Q372" s="41">
        <f>YEAR('Data 1'!$A372)</f>
        <v>2022</v>
      </c>
    </row>
    <row r="373" spans="1:17" x14ac:dyDescent="0.3">
      <c r="A373" s="35">
        <v>44709</v>
      </c>
      <c r="B373" s="36" t="s">
        <v>22</v>
      </c>
      <c r="C373" s="37">
        <v>12</v>
      </c>
      <c r="D373" s="37" t="s">
        <v>17</v>
      </c>
      <c r="E373" s="37" t="s">
        <v>17</v>
      </c>
      <c r="F373" s="38">
        <v>0</v>
      </c>
      <c r="G373" s="42" t="str">
        <f>VLOOKUP('Data 1'!$B373,'Data 2'!$A$1:$F$46,MATCH('Data 1'!G$1,'Data 2'!$A$1:$F$1,0),0)</f>
        <v>Product04</v>
      </c>
      <c r="H373" s="42" t="str">
        <f>VLOOKUP('Data 1'!$B373,'Data 2'!$A$1:$F$46,MATCH('Data 1'!H$1,'Data 2'!$A$1:$F$1,0),0)</f>
        <v>Category01</v>
      </c>
      <c r="I373" s="42" t="str">
        <f>VLOOKUP('Data 1'!$B373,'Data 2'!$A$1:$F$46,MATCH('Data 1'!I$1,'Data 2'!$A$1:$F$1,0),0)</f>
        <v>Lt</v>
      </c>
      <c r="J373" s="42">
        <f>VLOOKUP('Data 1'!$B373,'Data 2'!$A$1:$F$46,MATCH('Data 1'!J$1,'Data 2'!$A$1:$F$1,0),0)</f>
        <v>44</v>
      </c>
      <c r="K373" s="42">
        <f>VLOOKUP('Data 1'!$B373,'Data 2'!$A$1:$F$46,MATCH('Data 1'!K$1,'Data 2'!$A$1:$F$1,0),0)</f>
        <v>48.84</v>
      </c>
      <c r="L373" s="40">
        <f>SUM('Data 1'!$J373*'Data 1'!$C373)</f>
        <v>528</v>
      </c>
      <c r="M373" s="40">
        <f>'Data 1'!$C373*'Data 1'!$K373</f>
        <v>586.08000000000004</v>
      </c>
      <c r="N373" s="40">
        <f>'Data 1'!$M373-'Data 1'!$L373</f>
        <v>58.080000000000041</v>
      </c>
      <c r="O373" s="37">
        <f>DAY('Data 1'!$A373)</f>
        <v>28</v>
      </c>
      <c r="P373" s="37" t="str">
        <f>TEXT('Data 1'!$A373,"mmm")</f>
        <v>May</v>
      </c>
      <c r="Q373" s="41">
        <f>YEAR('Data 1'!$A373)</f>
        <v>2022</v>
      </c>
    </row>
    <row r="374" spans="1:17" x14ac:dyDescent="0.3">
      <c r="A374" s="35">
        <v>44709</v>
      </c>
      <c r="B374" s="36" t="s">
        <v>33</v>
      </c>
      <c r="C374" s="37">
        <v>14</v>
      </c>
      <c r="D374" s="37" t="s">
        <v>21</v>
      </c>
      <c r="E374" s="37" t="s">
        <v>19</v>
      </c>
      <c r="F374" s="38">
        <v>0</v>
      </c>
      <c r="G374" s="39" t="str">
        <f>VLOOKUP('Data 1'!$B374,'Data 2'!$A$1:$F$46,MATCH('Data 1'!G$1,'Data 2'!$A$1:$F$1,0),0)</f>
        <v>Product20</v>
      </c>
      <c r="H374" s="39" t="str">
        <f>VLOOKUP('Data 1'!$B374,'Data 2'!$A$1:$F$46,MATCH('Data 1'!H$1,'Data 2'!$A$1:$F$1,0),0)</f>
        <v>Category03</v>
      </c>
      <c r="I374" s="39" t="str">
        <f>VLOOKUP('Data 1'!$B374,'Data 2'!$A$1:$F$46,MATCH('Data 1'!I$1,'Data 2'!$A$1:$F$1,0),0)</f>
        <v>Lt</v>
      </c>
      <c r="J374" s="39">
        <f>VLOOKUP('Data 1'!$B374,'Data 2'!$A$1:$F$46,MATCH('Data 1'!J$1,'Data 2'!$A$1:$F$1,0),0)</f>
        <v>61</v>
      </c>
      <c r="K374" s="39">
        <f>VLOOKUP('Data 1'!$B374,'Data 2'!$A$1:$F$46,MATCH('Data 1'!K$1,'Data 2'!$A$1:$F$1,0),0)</f>
        <v>76.25</v>
      </c>
      <c r="L374" s="40">
        <f>SUM('Data 1'!$J374*'Data 1'!$C374)</f>
        <v>854</v>
      </c>
      <c r="M374" s="40">
        <f>'Data 1'!$C374*'Data 1'!$K374</f>
        <v>1067.5</v>
      </c>
      <c r="N374" s="40">
        <f>'Data 1'!$M374-'Data 1'!$L374</f>
        <v>213.5</v>
      </c>
      <c r="O374" s="37">
        <f>DAY('Data 1'!$A374)</f>
        <v>28</v>
      </c>
      <c r="P374" s="37" t="str">
        <f>TEXT('Data 1'!$A374,"mmm")</f>
        <v>May</v>
      </c>
      <c r="Q374" s="41">
        <f>YEAR('Data 1'!$A374)</f>
        <v>2022</v>
      </c>
    </row>
    <row r="375" spans="1:17" x14ac:dyDescent="0.3">
      <c r="A375" s="35">
        <v>44711</v>
      </c>
      <c r="B375" s="36" t="s">
        <v>30</v>
      </c>
      <c r="C375" s="37">
        <v>9</v>
      </c>
      <c r="D375" s="37" t="s">
        <v>21</v>
      </c>
      <c r="E375" s="37" t="s">
        <v>17</v>
      </c>
      <c r="F375" s="38">
        <v>0</v>
      </c>
      <c r="G375" s="42" t="str">
        <f>VLOOKUP('Data 1'!$B375,'Data 2'!$A$1:$F$46,MATCH('Data 1'!G$1,'Data 2'!$A$1:$F$1,0),0)</f>
        <v>Product44</v>
      </c>
      <c r="H375" s="42" t="str">
        <f>VLOOKUP('Data 1'!$B375,'Data 2'!$A$1:$F$46,MATCH('Data 1'!H$1,'Data 2'!$A$1:$F$1,0),0)</f>
        <v>Category05</v>
      </c>
      <c r="I375" s="42" t="str">
        <f>VLOOKUP('Data 1'!$B375,'Data 2'!$A$1:$F$46,MATCH('Data 1'!I$1,'Data 2'!$A$1:$F$1,0),0)</f>
        <v>Kg</v>
      </c>
      <c r="J375" s="42">
        <f>VLOOKUP('Data 1'!$B375,'Data 2'!$A$1:$F$46,MATCH('Data 1'!J$1,'Data 2'!$A$1:$F$1,0),0)</f>
        <v>76</v>
      </c>
      <c r="K375" s="42">
        <f>VLOOKUP('Data 1'!$B375,'Data 2'!$A$1:$F$46,MATCH('Data 1'!K$1,'Data 2'!$A$1:$F$1,0),0)</f>
        <v>82.08</v>
      </c>
      <c r="L375" s="40">
        <f>SUM('Data 1'!$J375*'Data 1'!$C375)</f>
        <v>684</v>
      </c>
      <c r="M375" s="40">
        <f>'Data 1'!$C375*'Data 1'!$K375</f>
        <v>738.72</v>
      </c>
      <c r="N375" s="40">
        <f>'Data 1'!$M375-'Data 1'!$L375</f>
        <v>54.720000000000027</v>
      </c>
      <c r="O375" s="37">
        <f>DAY('Data 1'!$A375)</f>
        <v>30</v>
      </c>
      <c r="P375" s="37" t="str">
        <f>TEXT('Data 1'!$A375,"mmm")</f>
        <v>May</v>
      </c>
      <c r="Q375" s="41">
        <f>YEAR('Data 1'!$A375)</f>
        <v>2022</v>
      </c>
    </row>
    <row r="376" spans="1:17" x14ac:dyDescent="0.3">
      <c r="A376" s="35">
        <v>44711</v>
      </c>
      <c r="B376" s="36" t="s">
        <v>43</v>
      </c>
      <c r="C376" s="37">
        <v>4</v>
      </c>
      <c r="D376" s="37" t="s">
        <v>16</v>
      </c>
      <c r="E376" s="37" t="s">
        <v>19</v>
      </c>
      <c r="F376" s="38">
        <v>0</v>
      </c>
      <c r="G376" s="39" t="str">
        <f>VLOOKUP('Data 1'!$B376,'Data 2'!$A$1:$F$46,MATCH('Data 1'!G$1,'Data 2'!$A$1:$F$1,0),0)</f>
        <v>Product05</v>
      </c>
      <c r="H376" s="39" t="str">
        <f>VLOOKUP('Data 1'!$B376,'Data 2'!$A$1:$F$46,MATCH('Data 1'!H$1,'Data 2'!$A$1:$F$1,0),0)</f>
        <v>Category01</v>
      </c>
      <c r="I376" s="39" t="str">
        <f>VLOOKUP('Data 1'!$B376,'Data 2'!$A$1:$F$46,MATCH('Data 1'!I$1,'Data 2'!$A$1:$F$1,0),0)</f>
        <v>Ft</v>
      </c>
      <c r="J376" s="39">
        <f>VLOOKUP('Data 1'!$B376,'Data 2'!$A$1:$F$46,MATCH('Data 1'!J$1,'Data 2'!$A$1:$F$1,0),0)</f>
        <v>133</v>
      </c>
      <c r="K376" s="39">
        <f>VLOOKUP('Data 1'!$B376,'Data 2'!$A$1:$F$46,MATCH('Data 1'!K$1,'Data 2'!$A$1:$F$1,0),0)</f>
        <v>155.61000000000001</v>
      </c>
      <c r="L376" s="40">
        <f>SUM('Data 1'!$J376*'Data 1'!$C376)</f>
        <v>532</v>
      </c>
      <c r="M376" s="40">
        <f>'Data 1'!$C376*'Data 1'!$K376</f>
        <v>622.44000000000005</v>
      </c>
      <c r="N376" s="40">
        <f>'Data 1'!$M376-'Data 1'!$L376</f>
        <v>90.440000000000055</v>
      </c>
      <c r="O376" s="37">
        <f>DAY('Data 1'!$A376)</f>
        <v>30</v>
      </c>
      <c r="P376" s="37" t="str">
        <f>TEXT('Data 1'!$A376,"mmm")</f>
        <v>May</v>
      </c>
      <c r="Q376" s="41">
        <f>YEAR('Data 1'!$A376)</f>
        <v>2022</v>
      </c>
    </row>
    <row r="377" spans="1:17" x14ac:dyDescent="0.3">
      <c r="A377" s="35">
        <v>44711</v>
      </c>
      <c r="B377" s="36" t="s">
        <v>57</v>
      </c>
      <c r="C377" s="37">
        <v>3</v>
      </c>
      <c r="D377" s="37" t="s">
        <v>17</v>
      </c>
      <c r="E377" s="37" t="s">
        <v>19</v>
      </c>
      <c r="F377" s="38">
        <v>0</v>
      </c>
      <c r="G377" s="42" t="str">
        <f>VLOOKUP('Data 1'!$B377,'Data 2'!$A$1:$F$46,MATCH('Data 1'!G$1,'Data 2'!$A$1:$F$1,0),0)</f>
        <v>Product33</v>
      </c>
      <c r="H377" s="42" t="str">
        <f>VLOOKUP('Data 1'!$B377,'Data 2'!$A$1:$F$46,MATCH('Data 1'!H$1,'Data 2'!$A$1:$F$1,0),0)</f>
        <v>Category04</v>
      </c>
      <c r="I377" s="42" t="str">
        <f>VLOOKUP('Data 1'!$B377,'Data 2'!$A$1:$F$46,MATCH('Data 1'!I$1,'Data 2'!$A$1:$F$1,0),0)</f>
        <v>Kg</v>
      </c>
      <c r="J377" s="42">
        <f>VLOOKUP('Data 1'!$B377,'Data 2'!$A$1:$F$46,MATCH('Data 1'!J$1,'Data 2'!$A$1:$F$1,0),0)</f>
        <v>95</v>
      </c>
      <c r="K377" s="42">
        <f>VLOOKUP('Data 1'!$B377,'Data 2'!$A$1:$F$46,MATCH('Data 1'!K$1,'Data 2'!$A$1:$F$1,0),0)</f>
        <v>119.7</v>
      </c>
      <c r="L377" s="40">
        <f>SUM('Data 1'!$J377*'Data 1'!$C377)</f>
        <v>285</v>
      </c>
      <c r="M377" s="40">
        <f>'Data 1'!$C377*'Data 1'!$K377</f>
        <v>359.1</v>
      </c>
      <c r="N377" s="40">
        <f>'Data 1'!$M377-'Data 1'!$L377</f>
        <v>74.100000000000023</v>
      </c>
      <c r="O377" s="37">
        <f>DAY('Data 1'!$A377)</f>
        <v>30</v>
      </c>
      <c r="P377" s="37" t="str">
        <f>TEXT('Data 1'!$A377,"mmm")</f>
        <v>May</v>
      </c>
      <c r="Q377" s="41">
        <f>YEAR('Data 1'!$A377)</f>
        <v>2022</v>
      </c>
    </row>
    <row r="378" spans="1:17" x14ac:dyDescent="0.3">
      <c r="A378" s="35">
        <v>44715</v>
      </c>
      <c r="B378" s="36" t="s">
        <v>44</v>
      </c>
      <c r="C378" s="37">
        <v>14</v>
      </c>
      <c r="D378" s="37" t="s">
        <v>17</v>
      </c>
      <c r="E378" s="37" t="s">
        <v>17</v>
      </c>
      <c r="F378" s="38">
        <v>0</v>
      </c>
      <c r="G378" s="39" t="str">
        <f>VLOOKUP('Data 1'!$B378,'Data 2'!$A$1:$F$46,MATCH('Data 1'!G$1,'Data 2'!$A$1:$F$1,0),0)</f>
        <v>Product08</v>
      </c>
      <c r="H378" s="39" t="str">
        <f>VLOOKUP('Data 1'!$B378,'Data 2'!$A$1:$F$46,MATCH('Data 1'!H$1,'Data 2'!$A$1:$F$1,0),0)</f>
        <v>Category01</v>
      </c>
      <c r="I378" s="39" t="str">
        <f>VLOOKUP('Data 1'!$B378,'Data 2'!$A$1:$F$46,MATCH('Data 1'!I$1,'Data 2'!$A$1:$F$1,0),0)</f>
        <v>Kg</v>
      </c>
      <c r="J378" s="39">
        <f>VLOOKUP('Data 1'!$B378,'Data 2'!$A$1:$F$46,MATCH('Data 1'!J$1,'Data 2'!$A$1:$F$1,0),0)</f>
        <v>83</v>
      </c>
      <c r="K378" s="39">
        <f>VLOOKUP('Data 1'!$B378,'Data 2'!$A$1:$F$46,MATCH('Data 1'!K$1,'Data 2'!$A$1:$F$1,0),0)</f>
        <v>94.62</v>
      </c>
      <c r="L378" s="40">
        <f>SUM('Data 1'!$J378*'Data 1'!$C378)</f>
        <v>1162</v>
      </c>
      <c r="M378" s="40">
        <f>'Data 1'!$C378*'Data 1'!$K378</f>
        <v>1324.68</v>
      </c>
      <c r="N378" s="40">
        <f>'Data 1'!$M378-'Data 1'!$L378</f>
        <v>162.68000000000006</v>
      </c>
      <c r="O378" s="37">
        <f>DAY('Data 1'!$A378)</f>
        <v>3</v>
      </c>
      <c r="P378" s="37" t="str">
        <f>TEXT('Data 1'!$A378,"mmm")</f>
        <v>Jun</v>
      </c>
      <c r="Q378" s="41">
        <f>YEAR('Data 1'!$A378)</f>
        <v>2022</v>
      </c>
    </row>
    <row r="379" spans="1:17" x14ac:dyDescent="0.3">
      <c r="A379" s="35">
        <v>44722</v>
      </c>
      <c r="B379" s="36" t="s">
        <v>52</v>
      </c>
      <c r="C379" s="37">
        <v>8</v>
      </c>
      <c r="D379" s="37" t="s">
        <v>16</v>
      </c>
      <c r="E379" s="37" t="s">
        <v>17</v>
      </c>
      <c r="F379" s="38">
        <v>0</v>
      </c>
      <c r="G379" s="42" t="str">
        <f>VLOOKUP('Data 1'!$B379,'Data 2'!$A$1:$F$46,MATCH('Data 1'!G$1,'Data 2'!$A$1:$F$1,0),0)</f>
        <v>Product28</v>
      </c>
      <c r="H379" s="42" t="str">
        <f>VLOOKUP('Data 1'!$B379,'Data 2'!$A$1:$F$46,MATCH('Data 1'!H$1,'Data 2'!$A$1:$F$1,0),0)</f>
        <v>Category04</v>
      </c>
      <c r="I379" s="42" t="str">
        <f>VLOOKUP('Data 1'!$B379,'Data 2'!$A$1:$F$46,MATCH('Data 1'!I$1,'Data 2'!$A$1:$F$1,0),0)</f>
        <v>No.</v>
      </c>
      <c r="J379" s="42">
        <f>VLOOKUP('Data 1'!$B379,'Data 2'!$A$1:$F$46,MATCH('Data 1'!J$1,'Data 2'!$A$1:$F$1,0),0)</f>
        <v>37</v>
      </c>
      <c r="K379" s="42">
        <f>VLOOKUP('Data 1'!$B379,'Data 2'!$A$1:$F$46,MATCH('Data 1'!K$1,'Data 2'!$A$1:$F$1,0),0)</f>
        <v>41.81</v>
      </c>
      <c r="L379" s="40">
        <f>SUM('Data 1'!$J379*'Data 1'!$C379)</f>
        <v>296</v>
      </c>
      <c r="M379" s="40">
        <f>'Data 1'!$C379*'Data 1'!$K379</f>
        <v>334.48</v>
      </c>
      <c r="N379" s="40">
        <f>'Data 1'!$M379-'Data 1'!$L379</f>
        <v>38.480000000000018</v>
      </c>
      <c r="O379" s="37">
        <f>DAY('Data 1'!$A379)</f>
        <v>10</v>
      </c>
      <c r="P379" s="37" t="str">
        <f>TEXT('Data 1'!$A379,"mmm")</f>
        <v>Jun</v>
      </c>
      <c r="Q379" s="41">
        <f>YEAR('Data 1'!$A379)</f>
        <v>2022</v>
      </c>
    </row>
    <row r="380" spans="1:17" x14ac:dyDescent="0.3">
      <c r="A380" s="35">
        <v>44723</v>
      </c>
      <c r="B380" s="36" t="s">
        <v>53</v>
      </c>
      <c r="C380" s="37">
        <v>13</v>
      </c>
      <c r="D380" s="37" t="s">
        <v>17</v>
      </c>
      <c r="E380" s="37" t="s">
        <v>19</v>
      </c>
      <c r="F380" s="38">
        <v>0</v>
      </c>
      <c r="G380" s="39" t="str">
        <f>VLOOKUP('Data 1'!$B380,'Data 2'!$A$1:$F$46,MATCH('Data 1'!G$1,'Data 2'!$A$1:$F$1,0),0)</f>
        <v>Product39</v>
      </c>
      <c r="H380" s="39" t="str">
        <f>VLOOKUP('Data 1'!$B380,'Data 2'!$A$1:$F$46,MATCH('Data 1'!H$1,'Data 2'!$A$1:$F$1,0),0)</f>
        <v>Category05</v>
      </c>
      <c r="I380" s="39" t="str">
        <f>VLOOKUP('Data 1'!$B380,'Data 2'!$A$1:$F$46,MATCH('Data 1'!I$1,'Data 2'!$A$1:$F$1,0),0)</f>
        <v>No.</v>
      </c>
      <c r="J380" s="39">
        <f>VLOOKUP('Data 1'!$B380,'Data 2'!$A$1:$F$46,MATCH('Data 1'!J$1,'Data 2'!$A$1:$F$1,0),0)</f>
        <v>37</v>
      </c>
      <c r="K380" s="39">
        <f>VLOOKUP('Data 1'!$B380,'Data 2'!$A$1:$F$46,MATCH('Data 1'!K$1,'Data 2'!$A$1:$F$1,0),0)</f>
        <v>42.55</v>
      </c>
      <c r="L380" s="40">
        <f>SUM('Data 1'!$J380*'Data 1'!$C380)</f>
        <v>481</v>
      </c>
      <c r="M380" s="40">
        <f>'Data 1'!$C380*'Data 1'!$K380</f>
        <v>553.15</v>
      </c>
      <c r="N380" s="40">
        <f>'Data 1'!$M380-'Data 1'!$L380</f>
        <v>72.149999999999977</v>
      </c>
      <c r="O380" s="37">
        <f>DAY('Data 1'!$A380)</f>
        <v>11</v>
      </c>
      <c r="P380" s="37" t="str">
        <f>TEXT('Data 1'!$A380,"mmm")</f>
        <v>Jun</v>
      </c>
      <c r="Q380" s="41">
        <f>YEAR('Data 1'!$A380)</f>
        <v>2022</v>
      </c>
    </row>
    <row r="381" spans="1:17" x14ac:dyDescent="0.3">
      <c r="A381" s="35">
        <v>44723</v>
      </c>
      <c r="B381" s="36" t="s">
        <v>51</v>
      </c>
      <c r="C381" s="37">
        <v>6</v>
      </c>
      <c r="D381" s="37" t="s">
        <v>21</v>
      </c>
      <c r="E381" s="37" t="s">
        <v>17</v>
      </c>
      <c r="F381" s="38">
        <v>0</v>
      </c>
      <c r="G381" s="42" t="str">
        <f>VLOOKUP('Data 1'!$B381,'Data 2'!$A$1:$F$46,MATCH('Data 1'!G$1,'Data 2'!$A$1:$F$1,0),0)</f>
        <v>Product21</v>
      </c>
      <c r="H381" s="42" t="str">
        <f>VLOOKUP('Data 1'!$B381,'Data 2'!$A$1:$F$46,MATCH('Data 1'!H$1,'Data 2'!$A$1:$F$1,0),0)</f>
        <v>Category03</v>
      </c>
      <c r="I381" s="42" t="str">
        <f>VLOOKUP('Data 1'!$B381,'Data 2'!$A$1:$F$46,MATCH('Data 1'!I$1,'Data 2'!$A$1:$F$1,0),0)</f>
        <v>Ft</v>
      </c>
      <c r="J381" s="42">
        <f>VLOOKUP('Data 1'!$B381,'Data 2'!$A$1:$F$46,MATCH('Data 1'!J$1,'Data 2'!$A$1:$F$1,0),0)</f>
        <v>126</v>
      </c>
      <c r="K381" s="42">
        <f>VLOOKUP('Data 1'!$B381,'Data 2'!$A$1:$F$46,MATCH('Data 1'!K$1,'Data 2'!$A$1:$F$1,0),0)</f>
        <v>162.54</v>
      </c>
      <c r="L381" s="40">
        <f>SUM('Data 1'!$J381*'Data 1'!$C381)</f>
        <v>756</v>
      </c>
      <c r="M381" s="40">
        <f>'Data 1'!$C381*'Data 1'!$K381</f>
        <v>975.24</v>
      </c>
      <c r="N381" s="40">
        <f>'Data 1'!$M381-'Data 1'!$L381</f>
        <v>219.24</v>
      </c>
      <c r="O381" s="37">
        <f>DAY('Data 1'!$A381)</f>
        <v>11</v>
      </c>
      <c r="P381" s="37" t="str">
        <f>TEXT('Data 1'!$A381,"mmm")</f>
        <v>Jun</v>
      </c>
      <c r="Q381" s="41">
        <f>YEAR('Data 1'!$A381)</f>
        <v>2022</v>
      </c>
    </row>
    <row r="382" spans="1:17" x14ac:dyDescent="0.3">
      <c r="A382" s="35">
        <v>44725</v>
      </c>
      <c r="B382" s="36" t="s">
        <v>61</v>
      </c>
      <c r="C382" s="37">
        <v>6</v>
      </c>
      <c r="D382" s="37" t="s">
        <v>21</v>
      </c>
      <c r="E382" s="37" t="s">
        <v>19</v>
      </c>
      <c r="F382" s="38">
        <v>0</v>
      </c>
      <c r="G382" s="39" t="str">
        <f>VLOOKUP('Data 1'!$B382,'Data 2'!$A$1:$F$46,MATCH('Data 1'!G$1,'Data 2'!$A$1:$F$1,0),0)</f>
        <v>Product26</v>
      </c>
      <c r="H382" s="39" t="str">
        <f>VLOOKUP('Data 1'!$B382,'Data 2'!$A$1:$F$46,MATCH('Data 1'!H$1,'Data 2'!$A$1:$F$1,0),0)</f>
        <v>Category04</v>
      </c>
      <c r="I382" s="39" t="str">
        <f>VLOOKUP('Data 1'!$B382,'Data 2'!$A$1:$F$46,MATCH('Data 1'!I$1,'Data 2'!$A$1:$F$1,0),0)</f>
        <v>No.</v>
      </c>
      <c r="J382" s="39">
        <f>VLOOKUP('Data 1'!$B382,'Data 2'!$A$1:$F$46,MATCH('Data 1'!J$1,'Data 2'!$A$1:$F$1,0),0)</f>
        <v>18</v>
      </c>
      <c r="K382" s="39">
        <f>VLOOKUP('Data 1'!$B382,'Data 2'!$A$1:$F$46,MATCH('Data 1'!K$1,'Data 2'!$A$1:$F$1,0),0)</f>
        <v>24.66</v>
      </c>
      <c r="L382" s="40">
        <f>SUM('Data 1'!$J382*'Data 1'!$C382)</f>
        <v>108</v>
      </c>
      <c r="M382" s="40">
        <f>'Data 1'!$C382*'Data 1'!$K382</f>
        <v>147.96</v>
      </c>
      <c r="N382" s="40">
        <f>'Data 1'!$M382-'Data 1'!$L382</f>
        <v>39.960000000000008</v>
      </c>
      <c r="O382" s="37">
        <f>DAY('Data 1'!$A382)</f>
        <v>13</v>
      </c>
      <c r="P382" s="37" t="str">
        <f>TEXT('Data 1'!$A382,"mmm")</f>
        <v>Jun</v>
      </c>
      <c r="Q382" s="41">
        <f>YEAR('Data 1'!$A382)</f>
        <v>2022</v>
      </c>
    </row>
    <row r="383" spans="1:17" x14ac:dyDescent="0.3">
      <c r="A383" s="35">
        <v>44727</v>
      </c>
      <c r="B383" s="36" t="s">
        <v>29</v>
      </c>
      <c r="C383" s="37">
        <v>15</v>
      </c>
      <c r="D383" s="37" t="s">
        <v>16</v>
      </c>
      <c r="E383" s="37" t="s">
        <v>17</v>
      </c>
      <c r="F383" s="38">
        <v>0</v>
      </c>
      <c r="G383" s="42" t="str">
        <f>VLOOKUP('Data 1'!$B383,'Data 2'!$A$1:$F$46,MATCH('Data 1'!G$1,'Data 2'!$A$1:$F$1,0),0)</f>
        <v>Product42</v>
      </c>
      <c r="H383" s="42" t="str">
        <f>VLOOKUP('Data 1'!$B383,'Data 2'!$A$1:$F$46,MATCH('Data 1'!H$1,'Data 2'!$A$1:$F$1,0),0)</f>
        <v>Category05</v>
      </c>
      <c r="I383" s="42" t="str">
        <f>VLOOKUP('Data 1'!$B383,'Data 2'!$A$1:$F$46,MATCH('Data 1'!I$1,'Data 2'!$A$1:$F$1,0),0)</f>
        <v>Ft</v>
      </c>
      <c r="J383" s="42">
        <f>VLOOKUP('Data 1'!$B383,'Data 2'!$A$1:$F$46,MATCH('Data 1'!J$1,'Data 2'!$A$1:$F$1,0),0)</f>
        <v>120</v>
      </c>
      <c r="K383" s="42">
        <f>VLOOKUP('Data 1'!$B383,'Data 2'!$A$1:$F$46,MATCH('Data 1'!K$1,'Data 2'!$A$1:$F$1,0),0)</f>
        <v>162</v>
      </c>
      <c r="L383" s="40">
        <f>SUM('Data 1'!$J383*'Data 1'!$C383)</f>
        <v>1800</v>
      </c>
      <c r="M383" s="40">
        <f>'Data 1'!$C383*'Data 1'!$K383</f>
        <v>2430</v>
      </c>
      <c r="N383" s="40">
        <f>'Data 1'!$M383-'Data 1'!$L383</f>
        <v>630</v>
      </c>
      <c r="O383" s="37">
        <f>DAY('Data 1'!$A383)</f>
        <v>15</v>
      </c>
      <c r="P383" s="37" t="str">
        <f>TEXT('Data 1'!$A383,"mmm")</f>
        <v>Jun</v>
      </c>
      <c r="Q383" s="41">
        <f>YEAR('Data 1'!$A383)</f>
        <v>2022</v>
      </c>
    </row>
    <row r="384" spans="1:17" x14ac:dyDescent="0.3">
      <c r="A384" s="35">
        <v>44728</v>
      </c>
      <c r="B384" s="36" t="s">
        <v>38</v>
      </c>
      <c r="C384" s="37">
        <v>15</v>
      </c>
      <c r="D384" s="37" t="s">
        <v>17</v>
      </c>
      <c r="E384" s="37" t="s">
        <v>19</v>
      </c>
      <c r="F384" s="38">
        <v>0</v>
      </c>
      <c r="G384" s="39" t="str">
        <f>VLOOKUP('Data 1'!$B384,'Data 2'!$A$1:$F$46,MATCH('Data 1'!G$1,'Data 2'!$A$1:$F$1,0),0)</f>
        <v>Product29</v>
      </c>
      <c r="H384" s="39" t="str">
        <f>VLOOKUP('Data 1'!$B384,'Data 2'!$A$1:$F$46,MATCH('Data 1'!H$1,'Data 2'!$A$1:$F$1,0),0)</f>
        <v>Category04</v>
      </c>
      <c r="I384" s="39" t="str">
        <f>VLOOKUP('Data 1'!$B384,'Data 2'!$A$1:$F$46,MATCH('Data 1'!I$1,'Data 2'!$A$1:$F$1,0),0)</f>
        <v>Lt</v>
      </c>
      <c r="J384" s="39">
        <f>VLOOKUP('Data 1'!$B384,'Data 2'!$A$1:$F$46,MATCH('Data 1'!J$1,'Data 2'!$A$1:$F$1,0),0)</f>
        <v>47</v>
      </c>
      <c r="K384" s="39">
        <f>VLOOKUP('Data 1'!$B384,'Data 2'!$A$1:$F$46,MATCH('Data 1'!K$1,'Data 2'!$A$1:$F$1,0),0)</f>
        <v>53.11</v>
      </c>
      <c r="L384" s="40">
        <f>SUM('Data 1'!$J384*'Data 1'!$C384)</f>
        <v>705</v>
      </c>
      <c r="M384" s="40">
        <f>'Data 1'!$C384*'Data 1'!$K384</f>
        <v>796.65</v>
      </c>
      <c r="N384" s="40">
        <f>'Data 1'!$M384-'Data 1'!$L384</f>
        <v>91.649999999999977</v>
      </c>
      <c r="O384" s="37">
        <f>DAY('Data 1'!$A384)</f>
        <v>16</v>
      </c>
      <c r="P384" s="37" t="str">
        <f>TEXT('Data 1'!$A384,"mmm")</f>
        <v>Jun</v>
      </c>
      <c r="Q384" s="41">
        <f>YEAR('Data 1'!$A384)</f>
        <v>2022</v>
      </c>
    </row>
    <row r="385" spans="1:17" x14ac:dyDescent="0.3">
      <c r="A385" s="35">
        <v>44731</v>
      </c>
      <c r="B385" s="36" t="s">
        <v>48</v>
      </c>
      <c r="C385" s="37">
        <v>8</v>
      </c>
      <c r="D385" s="37" t="s">
        <v>21</v>
      </c>
      <c r="E385" s="37" t="s">
        <v>19</v>
      </c>
      <c r="F385" s="38">
        <v>0</v>
      </c>
      <c r="G385" s="42" t="str">
        <f>VLOOKUP('Data 1'!$B385,'Data 2'!$A$1:$F$46,MATCH('Data 1'!G$1,'Data 2'!$A$1:$F$1,0),0)</f>
        <v>Product02</v>
      </c>
      <c r="H385" s="42" t="str">
        <f>VLOOKUP('Data 1'!$B385,'Data 2'!$A$1:$F$46,MATCH('Data 1'!H$1,'Data 2'!$A$1:$F$1,0),0)</f>
        <v>Category01</v>
      </c>
      <c r="I385" s="42" t="str">
        <f>VLOOKUP('Data 1'!$B385,'Data 2'!$A$1:$F$46,MATCH('Data 1'!I$1,'Data 2'!$A$1:$F$1,0),0)</f>
        <v>Kg</v>
      </c>
      <c r="J385" s="42">
        <f>VLOOKUP('Data 1'!$B385,'Data 2'!$A$1:$F$46,MATCH('Data 1'!J$1,'Data 2'!$A$1:$F$1,0),0)</f>
        <v>105</v>
      </c>
      <c r="K385" s="42">
        <f>VLOOKUP('Data 1'!$B385,'Data 2'!$A$1:$F$46,MATCH('Data 1'!K$1,'Data 2'!$A$1:$F$1,0),0)</f>
        <v>142.80000000000001</v>
      </c>
      <c r="L385" s="40">
        <f>SUM('Data 1'!$J385*'Data 1'!$C385)</f>
        <v>840</v>
      </c>
      <c r="M385" s="40">
        <f>'Data 1'!$C385*'Data 1'!$K385</f>
        <v>1142.4000000000001</v>
      </c>
      <c r="N385" s="40">
        <f>'Data 1'!$M385-'Data 1'!$L385</f>
        <v>302.40000000000009</v>
      </c>
      <c r="O385" s="37">
        <f>DAY('Data 1'!$A385)</f>
        <v>19</v>
      </c>
      <c r="P385" s="37" t="str">
        <f>TEXT('Data 1'!$A385,"mmm")</f>
        <v>Jun</v>
      </c>
      <c r="Q385" s="41">
        <f>YEAR('Data 1'!$A385)</f>
        <v>2022</v>
      </c>
    </row>
    <row r="386" spans="1:17" x14ac:dyDescent="0.3">
      <c r="A386" s="35">
        <v>44733</v>
      </c>
      <c r="B386" s="36" t="s">
        <v>58</v>
      </c>
      <c r="C386" s="37">
        <v>14</v>
      </c>
      <c r="D386" s="37" t="s">
        <v>21</v>
      </c>
      <c r="E386" s="37" t="s">
        <v>19</v>
      </c>
      <c r="F386" s="38">
        <v>0</v>
      </c>
      <c r="G386" s="39" t="str">
        <f>VLOOKUP('Data 1'!$B386,'Data 2'!$A$1:$F$46,MATCH('Data 1'!G$1,'Data 2'!$A$1:$F$1,0),0)</f>
        <v>Product17</v>
      </c>
      <c r="H386" s="39" t="str">
        <f>VLOOKUP('Data 1'!$B386,'Data 2'!$A$1:$F$46,MATCH('Data 1'!H$1,'Data 2'!$A$1:$F$1,0),0)</f>
        <v>Category02</v>
      </c>
      <c r="I386" s="39" t="str">
        <f>VLOOKUP('Data 1'!$B386,'Data 2'!$A$1:$F$46,MATCH('Data 1'!I$1,'Data 2'!$A$1:$F$1,0),0)</f>
        <v>Ft</v>
      </c>
      <c r="J386" s="39">
        <f>VLOOKUP('Data 1'!$B386,'Data 2'!$A$1:$F$46,MATCH('Data 1'!J$1,'Data 2'!$A$1:$F$1,0),0)</f>
        <v>134</v>
      </c>
      <c r="K386" s="39">
        <f>VLOOKUP('Data 1'!$B386,'Data 2'!$A$1:$F$46,MATCH('Data 1'!K$1,'Data 2'!$A$1:$F$1,0),0)</f>
        <v>156.78</v>
      </c>
      <c r="L386" s="40">
        <f>SUM('Data 1'!$J386*'Data 1'!$C386)</f>
        <v>1876</v>
      </c>
      <c r="M386" s="40">
        <f>'Data 1'!$C386*'Data 1'!$K386</f>
        <v>2194.92</v>
      </c>
      <c r="N386" s="40">
        <f>'Data 1'!$M386-'Data 1'!$L386</f>
        <v>318.92000000000007</v>
      </c>
      <c r="O386" s="37">
        <f>DAY('Data 1'!$A386)</f>
        <v>21</v>
      </c>
      <c r="P386" s="37" t="str">
        <f>TEXT('Data 1'!$A386,"mmm")</f>
        <v>Jun</v>
      </c>
      <c r="Q386" s="41">
        <f>YEAR('Data 1'!$A386)</f>
        <v>2022</v>
      </c>
    </row>
    <row r="387" spans="1:17" x14ac:dyDescent="0.3">
      <c r="A387" s="35">
        <v>44734</v>
      </c>
      <c r="B387" s="36" t="s">
        <v>36</v>
      </c>
      <c r="C387" s="37">
        <v>10</v>
      </c>
      <c r="D387" s="37" t="s">
        <v>17</v>
      </c>
      <c r="E387" s="37" t="s">
        <v>19</v>
      </c>
      <c r="F387" s="38">
        <v>0</v>
      </c>
      <c r="G387" s="42" t="str">
        <f>VLOOKUP('Data 1'!$B387,'Data 2'!$A$1:$F$46,MATCH('Data 1'!G$1,'Data 2'!$A$1:$F$1,0),0)</f>
        <v>Product40</v>
      </c>
      <c r="H387" s="42" t="str">
        <f>VLOOKUP('Data 1'!$B387,'Data 2'!$A$1:$F$46,MATCH('Data 1'!H$1,'Data 2'!$A$1:$F$1,0),0)</f>
        <v>Category05</v>
      </c>
      <c r="I387" s="42" t="str">
        <f>VLOOKUP('Data 1'!$B387,'Data 2'!$A$1:$F$46,MATCH('Data 1'!I$1,'Data 2'!$A$1:$F$1,0),0)</f>
        <v>Kg</v>
      </c>
      <c r="J387" s="42">
        <f>VLOOKUP('Data 1'!$B387,'Data 2'!$A$1:$F$46,MATCH('Data 1'!J$1,'Data 2'!$A$1:$F$1,0),0)</f>
        <v>90</v>
      </c>
      <c r="K387" s="42">
        <f>VLOOKUP('Data 1'!$B387,'Data 2'!$A$1:$F$46,MATCH('Data 1'!K$1,'Data 2'!$A$1:$F$1,0),0)</f>
        <v>115.2</v>
      </c>
      <c r="L387" s="40">
        <f>SUM('Data 1'!$J387*'Data 1'!$C387)</f>
        <v>900</v>
      </c>
      <c r="M387" s="40">
        <f>'Data 1'!$C387*'Data 1'!$K387</f>
        <v>1152</v>
      </c>
      <c r="N387" s="40">
        <f>'Data 1'!$M387-'Data 1'!$L387</f>
        <v>252</v>
      </c>
      <c r="O387" s="37">
        <f>DAY('Data 1'!$A387)</f>
        <v>22</v>
      </c>
      <c r="P387" s="37" t="str">
        <f>TEXT('Data 1'!$A387,"mmm")</f>
        <v>Jun</v>
      </c>
      <c r="Q387" s="41">
        <f>YEAR('Data 1'!$A387)</f>
        <v>2022</v>
      </c>
    </row>
    <row r="388" spans="1:17" x14ac:dyDescent="0.3">
      <c r="A388" s="35">
        <v>44734</v>
      </c>
      <c r="B388" s="36" t="s">
        <v>35</v>
      </c>
      <c r="C388" s="37">
        <v>4</v>
      </c>
      <c r="D388" s="37" t="s">
        <v>21</v>
      </c>
      <c r="E388" s="37" t="s">
        <v>19</v>
      </c>
      <c r="F388" s="38">
        <v>0</v>
      </c>
      <c r="G388" s="39" t="str">
        <f>VLOOKUP('Data 1'!$B388,'Data 2'!$A$1:$F$46,MATCH('Data 1'!G$1,'Data 2'!$A$1:$F$1,0),0)</f>
        <v>Product01</v>
      </c>
      <c r="H388" s="39" t="str">
        <f>VLOOKUP('Data 1'!$B388,'Data 2'!$A$1:$F$46,MATCH('Data 1'!H$1,'Data 2'!$A$1:$F$1,0),0)</f>
        <v>Category01</v>
      </c>
      <c r="I388" s="39" t="str">
        <f>VLOOKUP('Data 1'!$B388,'Data 2'!$A$1:$F$46,MATCH('Data 1'!I$1,'Data 2'!$A$1:$F$1,0),0)</f>
        <v>Kg</v>
      </c>
      <c r="J388" s="39">
        <f>VLOOKUP('Data 1'!$B388,'Data 2'!$A$1:$F$46,MATCH('Data 1'!J$1,'Data 2'!$A$1:$F$1,0),0)</f>
        <v>98</v>
      </c>
      <c r="K388" s="39">
        <f>VLOOKUP('Data 1'!$B388,'Data 2'!$A$1:$F$46,MATCH('Data 1'!K$1,'Data 2'!$A$1:$F$1,0),0)</f>
        <v>103.88</v>
      </c>
      <c r="L388" s="40">
        <f>SUM('Data 1'!$J388*'Data 1'!$C388)</f>
        <v>392</v>
      </c>
      <c r="M388" s="40">
        <f>'Data 1'!$C388*'Data 1'!$K388</f>
        <v>415.52</v>
      </c>
      <c r="N388" s="40">
        <f>'Data 1'!$M388-'Data 1'!$L388</f>
        <v>23.519999999999982</v>
      </c>
      <c r="O388" s="37">
        <f>DAY('Data 1'!$A388)</f>
        <v>22</v>
      </c>
      <c r="P388" s="37" t="str">
        <f>TEXT('Data 1'!$A388,"mmm")</f>
        <v>Jun</v>
      </c>
      <c r="Q388" s="41">
        <f>YEAR('Data 1'!$A388)</f>
        <v>2022</v>
      </c>
    </row>
    <row r="389" spans="1:17" x14ac:dyDescent="0.3">
      <c r="A389" s="35">
        <v>44735</v>
      </c>
      <c r="B389" s="36" t="s">
        <v>22</v>
      </c>
      <c r="C389" s="37">
        <v>8</v>
      </c>
      <c r="D389" s="37" t="s">
        <v>21</v>
      </c>
      <c r="E389" s="37" t="s">
        <v>17</v>
      </c>
      <c r="F389" s="38">
        <v>0</v>
      </c>
      <c r="G389" s="42" t="str">
        <f>VLOOKUP('Data 1'!$B389,'Data 2'!$A$1:$F$46,MATCH('Data 1'!G$1,'Data 2'!$A$1:$F$1,0),0)</f>
        <v>Product04</v>
      </c>
      <c r="H389" s="42" t="str">
        <f>VLOOKUP('Data 1'!$B389,'Data 2'!$A$1:$F$46,MATCH('Data 1'!H$1,'Data 2'!$A$1:$F$1,0),0)</f>
        <v>Category01</v>
      </c>
      <c r="I389" s="42" t="str">
        <f>VLOOKUP('Data 1'!$B389,'Data 2'!$A$1:$F$46,MATCH('Data 1'!I$1,'Data 2'!$A$1:$F$1,0),0)</f>
        <v>Lt</v>
      </c>
      <c r="J389" s="42">
        <f>VLOOKUP('Data 1'!$B389,'Data 2'!$A$1:$F$46,MATCH('Data 1'!J$1,'Data 2'!$A$1:$F$1,0),0)</f>
        <v>44</v>
      </c>
      <c r="K389" s="42">
        <f>VLOOKUP('Data 1'!$B389,'Data 2'!$A$1:$F$46,MATCH('Data 1'!K$1,'Data 2'!$A$1:$F$1,0),0)</f>
        <v>48.84</v>
      </c>
      <c r="L389" s="40">
        <f>SUM('Data 1'!$J389*'Data 1'!$C389)</f>
        <v>352</v>
      </c>
      <c r="M389" s="40">
        <f>'Data 1'!$C389*'Data 1'!$K389</f>
        <v>390.72</v>
      </c>
      <c r="N389" s="40">
        <f>'Data 1'!$M389-'Data 1'!$L389</f>
        <v>38.720000000000027</v>
      </c>
      <c r="O389" s="37">
        <f>DAY('Data 1'!$A389)</f>
        <v>23</v>
      </c>
      <c r="P389" s="37" t="str">
        <f>TEXT('Data 1'!$A389,"mmm")</f>
        <v>Jun</v>
      </c>
      <c r="Q389" s="41">
        <f>YEAR('Data 1'!$A389)</f>
        <v>2022</v>
      </c>
    </row>
    <row r="390" spans="1:17" x14ac:dyDescent="0.3">
      <c r="A390" s="35">
        <v>44736</v>
      </c>
      <c r="B390" s="36" t="s">
        <v>49</v>
      </c>
      <c r="C390" s="37">
        <v>7</v>
      </c>
      <c r="D390" s="37" t="s">
        <v>21</v>
      </c>
      <c r="E390" s="37" t="s">
        <v>19</v>
      </c>
      <c r="F390" s="38">
        <v>0</v>
      </c>
      <c r="G390" s="39" t="str">
        <f>VLOOKUP('Data 1'!$B390,'Data 2'!$A$1:$F$46,MATCH('Data 1'!G$1,'Data 2'!$A$1:$F$1,0),0)</f>
        <v>Product18</v>
      </c>
      <c r="H390" s="39" t="str">
        <f>VLOOKUP('Data 1'!$B390,'Data 2'!$A$1:$F$46,MATCH('Data 1'!H$1,'Data 2'!$A$1:$F$1,0),0)</f>
        <v>Category02</v>
      </c>
      <c r="I390" s="39" t="str">
        <f>VLOOKUP('Data 1'!$B390,'Data 2'!$A$1:$F$46,MATCH('Data 1'!I$1,'Data 2'!$A$1:$F$1,0),0)</f>
        <v>No.</v>
      </c>
      <c r="J390" s="39">
        <f>VLOOKUP('Data 1'!$B390,'Data 2'!$A$1:$F$46,MATCH('Data 1'!J$1,'Data 2'!$A$1:$F$1,0),0)</f>
        <v>37</v>
      </c>
      <c r="K390" s="39">
        <f>VLOOKUP('Data 1'!$B390,'Data 2'!$A$1:$F$46,MATCH('Data 1'!K$1,'Data 2'!$A$1:$F$1,0),0)</f>
        <v>49.21</v>
      </c>
      <c r="L390" s="40">
        <f>SUM('Data 1'!$J390*'Data 1'!$C390)</f>
        <v>259</v>
      </c>
      <c r="M390" s="40">
        <f>'Data 1'!$C390*'Data 1'!$K390</f>
        <v>344.47</v>
      </c>
      <c r="N390" s="40">
        <f>'Data 1'!$M390-'Data 1'!$L390</f>
        <v>85.470000000000027</v>
      </c>
      <c r="O390" s="37">
        <f>DAY('Data 1'!$A390)</f>
        <v>24</v>
      </c>
      <c r="P390" s="37" t="str">
        <f>TEXT('Data 1'!$A390,"mmm")</f>
        <v>Jun</v>
      </c>
      <c r="Q390" s="41">
        <f>YEAR('Data 1'!$A390)</f>
        <v>2022</v>
      </c>
    </row>
    <row r="391" spans="1:17" x14ac:dyDescent="0.3">
      <c r="A391" s="35">
        <v>44737</v>
      </c>
      <c r="B391" s="36" t="s">
        <v>54</v>
      </c>
      <c r="C391" s="37">
        <v>7</v>
      </c>
      <c r="D391" s="37" t="s">
        <v>17</v>
      </c>
      <c r="E391" s="37" t="s">
        <v>17</v>
      </c>
      <c r="F391" s="38">
        <v>0</v>
      </c>
      <c r="G391" s="42" t="str">
        <f>VLOOKUP('Data 1'!$B391,'Data 2'!$A$1:$F$46,MATCH('Data 1'!G$1,'Data 2'!$A$1:$F$1,0),0)</f>
        <v>Product12</v>
      </c>
      <c r="H391" s="42" t="str">
        <f>VLOOKUP('Data 1'!$B391,'Data 2'!$A$1:$F$46,MATCH('Data 1'!H$1,'Data 2'!$A$1:$F$1,0),0)</f>
        <v>Category02</v>
      </c>
      <c r="I391" s="42" t="str">
        <f>VLOOKUP('Data 1'!$B391,'Data 2'!$A$1:$F$46,MATCH('Data 1'!I$1,'Data 2'!$A$1:$F$1,0),0)</f>
        <v>Kg</v>
      </c>
      <c r="J391" s="42">
        <f>VLOOKUP('Data 1'!$B391,'Data 2'!$A$1:$F$46,MATCH('Data 1'!J$1,'Data 2'!$A$1:$F$1,0),0)</f>
        <v>73</v>
      </c>
      <c r="K391" s="42">
        <f>VLOOKUP('Data 1'!$B391,'Data 2'!$A$1:$F$46,MATCH('Data 1'!K$1,'Data 2'!$A$1:$F$1,0),0)</f>
        <v>94.17</v>
      </c>
      <c r="L391" s="40">
        <f>SUM('Data 1'!$J391*'Data 1'!$C391)</f>
        <v>511</v>
      </c>
      <c r="M391" s="40">
        <f>'Data 1'!$C391*'Data 1'!$K391</f>
        <v>659.19</v>
      </c>
      <c r="N391" s="40">
        <f>'Data 1'!$M391-'Data 1'!$L391</f>
        <v>148.19000000000005</v>
      </c>
      <c r="O391" s="37">
        <f>DAY('Data 1'!$A391)</f>
        <v>25</v>
      </c>
      <c r="P391" s="37" t="str">
        <f>TEXT('Data 1'!$A391,"mmm")</f>
        <v>Jun</v>
      </c>
      <c r="Q391" s="41">
        <f>YEAR('Data 1'!$A391)</f>
        <v>2022</v>
      </c>
    </row>
    <row r="392" spans="1:17" x14ac:dyDescent="0.3">
      <c r="A392" s="35">
        <v>44738</v>
      </c>
      <c r="B392" s="36" t="s">
        <v>32</v>
      </c>
      <c r="C392" s="37">
        <v>4</v>
      </c>
      <c r="D392" s="37" t="s">
        <v>21</v>
      </c>
      <c r="E392" s="37" t="s">
        <v>19</v>
      </c>
      <c r="F392" s="38">
        <v>0</v>
      </c>
      <c r="G392" s="39" t="str">
        <f>VLOOKUP('Data 1'!$B392,'Data 2'!$A$1:$F$46,MATCH('Data 1'!G$1,'Data 2'!$A$1:$F$1,0),0)</f>
        <v>Product34</v>
      </c>
      <c r="H392" s="39" t="str">
        <f>VLOOKUP('Data 1'!$B392,'Data 2'!$A$1:$F$46,MATCH('Data 1'!H$1,'Data 2'!$A$1:$F$1,0),0)</f>
        <v>Category04</v>
      </c>
      <c r="I392" s="39" t="str">
        <f>VLOOKUP('Data 1'!$B392,'Data 2'!$A$1:$F$46,MATCH('Data 1'!I$1,'Data 2'!$A$1:$F$1,0),0)</f>
        <v>Lt</v>
      </c>
      <c r="J392" s="39">
        <f>VLOOKUP('Data 1'!$B392,'Data 2'!$A$1:$F$46,MATCH('Data 1'!J$1,'Data 2'!$A$1:$F$1,0),0)</f>
        <v>55</v>
      </c>
      <c r="K392" s="39">
        <f>VLOOKUP('Data 1'!$B392,'Data 2'!$A$1:$F$46,MATCH('Data 1'!K$1,'Data 2'!$A$1:$F$1,0),0)</f>
        <v>58.3</v>
      </c>
      <c r="L392" s="40">
        <f>SUM('Data 1'!$J392*'Data 1'!$C392)</f>
        <v>220</v>
      </c>
      <c r="M392" s="40">
        <f>'Data 1'!$C392*'Data 1'!$K392</f>
        <v>233.2</v>
      </c>
      <c r="N392" s="40">
        <f>'Data 1'!$M392-'Data 1'!$L392</f>
        <v>13.199999999999989</v>
      </c>
      <c r="O392" s="37">
        <f>DAY('Data 1'!$A392)</f>
        <v>26</v>
      </c>
      <c r="P392" s="37" t="str">
        <f>TEXT('Data 1'!$A392,"mmm")</f>
        <v>Jun</v>
      </c>
      <c r="Q392" s="41">
        <f>YEAR('Data 1'!$A392)</f>
        <v>2022</v>
      </c>
    </row>
    <row r="393" spans="1:17" x14ac:dyDescent="0.3">
      <c r="A393" s="35">
        <v>44738</v>
      </c>
      <c r="B393" s="36" t="s">
        <v>42</v>
      </c>
      <c r="C393" s="37">
        <v>12</v>
      </c>
      <c r="D393" s="37" t="s">
        <v>21</v>
      </c>
      <c r="E393" s="37" t="s">
        <v>17</v>
      </c>
      <c r="F393" s="38">
        <v>0</v>
      </c>
      <c r="G393" s="42" t="str">
        <f>VLOOKUP('Data 1'!$B393,'Data 2'!$A$1:$F$46,MATCH('Data 1'!G$1,'Data 2'!$A$1:$F$1,0),0)</f>
        <v>Product43</v>
      </c>
      <c r="H393" s="42" t="str">
        <f>VLOOKUP('Data 1'!$B393,'Data 2'!$A$1:$F$46,MATCH('Data 1'!H$1,'Data 2'!$A$1:$F$1,0),0)</f>
        <v>Category05</v>
      </c>
      <c r="I393" s="42" t="str">
        <f>VLOOKUP('Data 1'!$B393,'Data 2'!$A$1:$F$46,MATCH('Data 1'!I$1,'Data 2'!$A$1:$F$1,0),0)</f>
        <v>Kg</v>
      </c>
      <c r="J393" s="42">
        <f>VLOOKUP('Data 1'!$B393,'Data 2'!$A$1:$F$46,MATCH('Data 1'!J$1,'Data 2'!$A$1:$F$1,0),0)</f>
        <v>67</v>
      </c>
      <c r="K393" s="42">
        <f>VLOOKUP('Data 1'!$B393,'Data 2'!$A$1:$F$46,MATCH('Data 1'!K$1,'Data 2'!$A$1:$F$1,0),0)</f>
        <v>83.08</v>
      </c>
      <c r="L393" s="40">
        <f>SUM('Data 1'!$J393*'Data 1'!$C393)</f>
        <v>804</v>
      </c>
      <c r="M393" s="40">
        <f>'Data 1'!$C393*'Data 1'!$K393</f>
        <v>996.96</v>
      </c>
      <c r="N393" s="40">
        <f>'Data 1'!$M393-'Data 1'!$L393</f>
        <v>192.96000000000004</v>
      </c>
      <c r="O393" s="37">
        <f>DAY('Data 1'!$A393)</f>
        <v>26</v>
      </c>
      <c r="P393" s="37" t="str">
        <f>TEXT('Data 1'!$A393,"mmm")</f>
        <v>Jun</v>
      </c>
      <c r="Q393" s="41">
        <f>YEAR('Data 1'!$A393)</f>
        <v>2022</v>
      </c>
    </row>
    <row r="394" spans="1:17" x14ac:dyDescent="0.3">
      <c r="A394" s="35">
        <v>44745</v>
      </c>
      <c r="B394" s="36" t="s">
        <v>57</v>
      </c>
      <c r="C394" s="37">
        <v>15</v>
      </c>
      <c r="D394" s="37" t="s">
        <v>21</v>
      </c>
      <c r="E394" s="37" t="s">
        <v>19</v>
      </c>
      <c r="F394" s="38">
        <v>0</v>
      </c>
      <c r="G394" s="39" t="str">
        <f>VLOOKUP('Data 1'!$B394,'Data 2'!$A$1:$F$46,MATCH('Data 1'!G$1,'Data 2'!$A$1:$F$1,0),0)</f>
        <v>Product33</v>
      </c>
      <c r="H394" s="39" t="str">
        <f>VLOOKUP('Data 1'!$B394,'Data 2'!$A$1:$F$46,MATCH('Data 1'!H$1,'Data 2'!$A$1:$F$1,0),0)</f>
        <v>Category04</v>
      </c>
      <c r="I394" s="39" t="str">
        <f>VLOOKUP('Data 1'!$B394,'Data 2'!$A$1:$F$46,MATCH('Data 1'!I$1,'Data 2'!$A$1:$F$1,0),0)</f>
        <v>Kg</v>
      </c>
      <c r="J394" s="39">
        <f>VLOOKUP('Data 1'!$B394,'Data 2'!$A$1:$F$46,MATCH('Data 1'!J$1,'Data 2'!$A$1:$F$1,0),0)</f>
        <v>95</v>
      </c>
      <c r="K394" s="39">
        <f>VLOOKUP('Data 1'!$B394,'Data 2'!$A$1:$F$46,MATCH('Data 1'!K$1,'Data 2'!$A$1:$F$1,0),0)</f>
        <v>119.7</v>
      </c>
      <c r="L394" s="40">
        <f>SUM('Data 1'!$J394*'Data 1'!$C394)</f>
        <v>1425</v>
      </c>
      <c r="M394" s="40">
        <f>'Data 1'!$C394*'Data 1'!$K394</f>
        <v>1795.5</v>
      </c>
      <c r="N394" s="40">
        <f>'Data 1'!$M394-'Data 1'!$L394</f>
        <v>370.5</v>
      </c>
      <c r="O394" s="37">
        <f>DAY('Data 1'!$A394)</f>
        <v>3</v>
      </c>
      <c r="P394" s="37" t="str">
        <f>TEXT('Data 1'!$A394,"mmm")</f>
        <v>Jul</v>
      </c>
      <c r="Q394" s="41">
        <f>YEAR('Data 1'!$A394)</f>
        <v>2022</v>
      </c>
    </row>
    <row r="395" spans="1:17" x14ac:dyDescent="0.3">
      <c r="A395" s="35">
        <v>44746</v>
      </c>
      <c r="B395" s="36" t="s">
        <v>55</v>
      </c>
      <c r="C395" s="37">
        <v>7</v>
      </c>
      <c r="D395" s="37" t="s">
        <v>21</v>
      </c>
      <c r="E395" s="37" t="s">
        <v>17</v>
      </c>
      <c r="F395" s="38">
        <v>0</v>
      </c>
      <c r="G395" s="42" t="str">
        <f>VLOOKUP('Data 1'!$B395,'Data 2'!$A$1:$F$46,MATCH('Data 1'!G$1,'Data 2'!$A$1:$F$1,0),0)</f>
        <v>Product07</v>
      </c>
      <c r="H395" s="42" t="str">
        <f>VLOOKUP('Data 1'!$B395,'Data 2'!$A$1:$F$46,MATCH('Data 1'!H$1,'Data 2'!$A$1:$F$1,0),0)</f>
        <v>Category01</v>
      </c>
      <c r="I395" s="42" t="str">
        <f>VLOOKUP('Data 1'!$B395,'Data 2'!$A$1:$F$46,MATCH('Data 1'!I$1,'Data 2'!$A$1:$F$1,0),0)</f>
        <v>Lt</v>
      </c>
      <c r="J395" s="42">
        <f>VLOOKUP('Data 1'!$B395,'Data 2'!$A$1:$F$46,MATCH('Data 1'!J$1,'Data 2'!$A$1:$F$1,0),0)</f>
        <v>43</v>
      </c>
      <c r="K395" s="42">
        <f>VLOOKUP('Data 1'!$B395,'Data 2'!$A$1:$F$46,MATCH('Data 1'!K$1,'Data 2'!$A$1:$F$1,0),0)</f>
        <v>47.730000000000004</v>
      </c>
      <c r="L395" s="40">
        <f>SUM('Data 1'!$J395*'Data 1'!$C395)</f>
        <v>301</v>
      </c>
      <c r="M395" s="40">
        <f>'Data 1'!$C395*'Data 1'!$K395</f>
        <v>334.11</v>
      </c>
      <c r="N395" s="40">
        <f>'Data 1'!$M395-'Data 1'!$L395</f>
        <v>33.110000000000014</v>
      </c>
      <c r="O395" s="37">
        <f>DAY('Data 1'!$A395)</f>
        <v>4</v>
      </c>
      <c r="P395" s="37" t="str">
        <f>TEXT('Data 1'!$A395,"mmm")</f>
        <v>Jul</v>
      </c>
      <c r="Q395" s="41">
        <f>YEAR('Data 1'!$A395)</f>
        <v>2022</v>
      </c>
    </row>
    <row r="396" spans="1:17" x14ac:dyDescent="0.3">
      <c r="A396" s="35">
        <v>44747</v>
      </c>
      <c r="B396" s="36" t="s">
        <v>26</v>
      </c>
      <c r="C396" s="37">
        <v>7</v>
      </c>
      <c r="D396" s="37" t="s">
        <v>17</v>
      </c>
      <c r="E396" s="37" t="s">
        <v>19</v>
      </c>
      <c r="F396" s="38">
        <v>0</v>
      </c>
      <c r="G396" s="39" t="str">
        <f>VLOOKUP('Data 1'!$B396,'Data 2'!$A$1:$F$46,MATCH('Data 1'!G$1,'Data 2'!$A$1:$F$1,0),0)</f>
        <v>Product25</v>
      </c>
      <c r="H396" s="39" t="str">
        <f>VLOOKUP('Data 1'!$B396,'Data 2'!$A$1:$F$46,MATCH('Data 1'!H$1,'Data 2'!$A$1:$F$1,0),0)</f>
        <v>Category03</v>
      </c>
      <c r="I396" s="39" t="str">
        <f>VLOOKUP('Data 1'!$B396,'Data 2'!$A$1:$F$46,MATCH('Data 1'!I$1,'Data 2'!$A$1:$F$1,0),0)</f>
        <v>No.</v>
      </c>
      <c r="J396" s="39">
        <f>VLOOKUP('Data 1'!$B396,'Data 2'!$A$1:$F$46,MATCH('Data 1'!J$1,'Data 2'!$A$1:$F$1,0),0)</f>
        <v>7</v>
      </c>
      <c r="K396" s="39">
        <f>VLOOKUP('Data 1'!$B396,'Data 2'!$A$1:$F$46,MATCH('Data 1'!K$1,'Data 2'!$A$1:$F$1,0),0)</f>
        <v>8.33</v>
      </c>
      <c r="L396" s="40">
        <f>SUM('Data 1'!$J396*'Data 1'!$C396)</f>
        <v>49</v>
      </c>
      <c r="M396" s="40">
        <f>'Data 1'!$C396*'Data 1'!$K396</f>
        <v>58.31</v>
      </c>
      <c r="N396" s="40">
        <f>'Data 1'!$M396-'Data 1'!$L396</f>
        <v>9.3100000000000023</v>
      </c>
      <c r="O396" s="37">
        <f>DAY('Data 1'!$A396)</f>
        <v>5</v>
      </c>
      <c r="P396" s="37" t="str">
        <f>TEXT('Data 1'!$A396,"mmm")</f>
        <v>Jul</v>
      </c>
      <c r="Q396" s="41">
        <f>YEAR('Data 1'!$A396)</f>
        <v>2022</v>
      </c>
    </row>
    <row r="397" spans="1:17" x14ac:dyDescent="0.3">
      <c r="A397" s="35">
        <v>44747</v>
      </c>
      <c r="B397" s="36" t="s">
        <v>46</v>
      </c>
      <c r="C397" s="37">
        <v>8</v>
      </c>
      <c r="D397" s="37" t="s">
        <v>21</v>
      </c>
      <c r="E397" s="37" t="s">
        <v>17</v>
      </c>
      <c r="F397" s="38">
        <v>0</v>
      </c>
      <c r="G397" s="42" t="str">
        <f>VLOOKUP('Data 1'!$B397,'Data 2'!$A$1:$F$46,MATCH('Data 1'!G$1,'Data 2'!$A$1:$F$1,0),0)</f>
        <v>Product15</v>
      </c>
      <c r="H397" s="42" t="str">
        <f>VLOOKUP('Data 1'!$B397,'Data 2'!$A$1:$F$46,MATCH('Data 1'!H$1,'Data 2'!$A$1:$F$1,0),0)</f>
        <v>Category02</v>
      </c>
      <c r="I397" s="42" t="str">
        <f>VLOOKUP('Data 1'!$B397,'Data 2'!$A$1:$F$46,MATCH('Data 1'!I$1,'Data 2'!$A$1:$F$1,0),0)</f>
        <v>No.</v>
      </c>
      <c r="J397" s="42">
        <f>VLOOKUP('Data 1'!$B397,'Data 2'!$A$1:$F$46,MATCH('Data 1'!J$1,'Data 2'!$A$1:$F$1,0),0)</f>
        <v>12</v>
      </c>
      <c r="K397" s="42">
        <f>VLOOKUP('Data 1'!$B397,'Data 2'!$A$1:$F$46,MATCH('Data 1'!K$1,'Data 2'!$A$1:$F$1,0),0)</f>
        <v>15.719999999999999</v>
      </c>
      <c r="L397" s="40">
        <f>SUM('Data 1'!$J397*'Data 1'!$C397)</f>
        <v>96</v>
      </c>
      <c r="M397" s="40">
        <f>'Data 1'!$C397*'Data 1'!$K397</f>
        <v>125.75999999999999</v>
      </c>
      <c r="N397" s="40">
        <f>'Data 1'!$M397-'Data 1'!$L397</f>
        <v>29.759999999999991</v>
      </c>
      <c r="O397" s="37">
        <f>DAY('Data 1'!$A397)</f>
        <v>5</v>
      </c>
      <c r="P397" s="37" t="str">
        <f>TEXT('Data 1'!$A397,"mmm")</f>
        <v>Jul</v>
      </c>
      <c r="Q397" s="41">
        <f>YEAR('Data 1'!$A397)</f>
        <v>2022</v>
      </c>
    </row>
    <row r="398" spans="1:17" x14ac:dyDescent="0.3">
      <c r="A398" s="35">
        <v>44748</v>
      </c>
      <c r="B398" s="36" t="s">
        <v>60</v>
      </c>
      <c r="C398" s="37">
        <v>2</v>
      </c>
      <c r="D398" s="37" t="s">
        <v>21</v>
      </c>
      <c r="E398" s="37" t="s">
        <v>19</v>
      </c>
      <c r="F398" s="38">
        <v>0</v>
      </c>
      <c r="G398" s="39" t="str">
        <f>VLOOKUP('Data 1'!$B398,'Data 2'!$A$1:$F$46,MATCH('Data 1'!G$1,'Data 2'!$A$1:$F$1,0),0)</f>
        <v>Product41</v>
      </c>
      <c r="H398" s="39" t="str">
        <f>VLOOKUP('Data 1'!$B398,'Data 2'!$A$1:$F$46,MATCH('Data 1'!H$1,'Data 2'!$A$1:$F$1,0),0)</f>
        <v>Category05</v>
      </c>
      <c r="I398" s="39" t="str">
        <f>VLOOKUP('Data 1'!$B398,'Data 2'!$A$1:$F$46,MATCH('Data 1'!I$1,'Data 2'!$A$1:$F$1,0),0)</f>
        <v>Ft</v>
      </c>
      <c r="J398" s="39">
        <f>VLOOKUP('Data 1'!$B398,'Data 2'!$A$1:$F$46,MATCH('Data 1'!J$1,'Data 2'!$A$1:$F$1,0),0)</f>
        <v>138</v>
      </c>
      <c r="K398" s="39">
        <f>VLOOKUP('Data 1'!$B398,'Data 2'!$A$1:$F$46,MATCH('Data 1'!K$1,'Data 2'!$A$1:$F$1,0),0)</f>
        <v>173.88</v>
      </c>
      <c r="L398" s="40">
        <f>SUM('Data 1'!$J398*'Data 1'!$C398)</f>
        <v>276</v>
      </c>
      <c r="M398" s="40">
        <f>'Data 1'!$C398*'Data 1'!$K398</f>
        <v>347.76</v>
      </c>
      <c r="N398" s="40">
        <f>'Data 1'!$M398-'Data 1'!$L398</f>
        <v>71.759999999999991</v>
      </c>
      <c r="O398" s="37">
        <f>DAY('Data 1'!$A398)</f>
        <v>6</v>
      </c>
      <c r="P398" s="37" t="str">
        <f>TEXT('Data 1'!$A398,"mmm")</f>
        <v>Jul</v>
      </c>
      <c r="Q398" s="41">
        <f>YEAR('Data 1'!$A398)</f>
        <v>2022</v>
      </c>
    </row>
    <row r="399" spans="1:17" x14ac:dyDescent="0.3">
      <c r="A399" s="35">
        <v>44750</v>
      </c>
      <c r="B399" s="36" t="s">
        <v>49</v>
      </c>
      <c r="C399" s="37">
        <v>2</v>
      </c>
      <c r="D399" s="37" t="s">
        <v>21</v>
      </c>
      <c r="E399" s="37" t="s">
        <v>17</v>
      </c>
      <c r="F399" s="38">
        <v>0</v>
      </c>
      <c r="G399" s="42" t="str">
        <f>VLOOKUP('Data 1'!$B399,'Data 2'!$A$1:$F$46,MATCH('Data 1'!G$1,'Data 2'!$A$1:$F$1,0),0)</f>
        <v>Product18</v>
      </c>
      <c r="H399" s="42" t="str">
        <f>VLOOKUP('Data 1'!$B399,'Data 2'!$A$1:$F$46,MATCH('Data 1'!H$1,'Data 2'!$A$1:$F$1,0),0)</f>
        <v>Category02</v>
      </c>
      <c r="I399" s="42" t="str">
        <f>VLOOKUP('Data 1'!$B399,'Data 2'!$A$1:$F$46,MATCH('Data 1'!I$1,'Data 2'!$A$1:$F$1,0),0)</f>
        <v>No.</v>
      </c>
      <c r="J399" s="42">
        <f>VLOOKUP('Data 1'!$B399,'Data 2'!$A$1:$F$46,MATCH('Data 1'!J$1,'Data 2'!$A$1:$F$1,0),0)</f>
        <v>37</v>
      </c>
      <c r="K399" s="42">
        <f>VLOOKUP('Data 1'!$B399,'Data 2'!$A$1:$F$46,MATCH('Data 1'!K$1,'Data 2'!$A$1:$F$1,0),0)</f>
        <v>49.21</v>
      </c>
      <c r="L399" s="40">
        <f>SUM('Data 1'!$J399*'Data 1'!$C399)</f>
        <v>74</v>
      </c>
      <c r="M399" s="40">
        <f>'Data 1'!$C399*'Data 1'!$K399</f>
        <v>98.42</v>
      </c>
      <c r="N399" s="40">
        <f>'Data 1'!$M399-'Data 1'!$L399</f>
        <v>24.42</v>
      </c>
      <c r="O399" s="37">
        <f>DAY('Data 1'!$A399)</f>
        <v>8</v>
      </c>
      <c r="P399" s="37" t="str">
        <f>TEXT('Data 1'!$A399,"mmm")</f>
        <v>Jul</v>
      </c>
      <c r="Q399" s="41">
        <f>YEAR('Data 1'!$A399)</f>
        <v>2022</v>
      </c>
    </row>
    <row r="400" spans="1:17" x14ac:dyDescent="0.3">
      <c r="A400" s="35">
        <v>44752</v>
      </c>
      <c r="B400" s="36" t="s">
        <v>37</v>
      </c>
      <c r="C400" s="37">
        <v>12</v>
      </c>
      <c r="D400" s="37" t="s">
        <v>17</v>
      </c>
      <c r="E400" s="37" t="s">
        <v>19</v>
      </c>
      <c r="F400" s="38">
        <v>0</v>
      </c>
      <c r="G400" s="39" t="str">
        <f>VLOOKUP('Data 1'!$B400,'Data 2'!$A$1:$F$46,MATCH('Data 1'!G$1,'Data 2'!$A$1:$F$1,0),0)</f>
        <v>Product32</v>
      </c>
      <c r="H400" s="39" t="str">
        <f>VLOOKUP('Data 1'!$B400,'Data 2'!$A$1:$F$46,MATCH('Data 1'!H$1,'Data 2'!$A$1:$F$1,0),0)</f>
        <v>Category04</v>
      </c>
      <c r="I400" s="39" t="str">
        <f>VLOOKUP('Data 1'!$B400,'Data 2'!$A$1:$F$46,MATCH('Data 1'!I$1,'Data 2'!$A$1:$F$1,0),0)</f>
        <v>Kg</v>
      </c>
      <c r="J400" s="39">
        <f>VLOOKUP('Data 1'!$B400,'Data 2'!$A$1:$F$46,MATCH('Data 1'!J$1,'Data 2'!$A$1:$F$1,0),0)</f>
        <v>89</v>
      </c>
      <c r="K400" s="39">
        <f>VLOOKUP('Data 1'!$B400,'Data 2'!$A$1:$F$46,MATCH('Data 1'!K$1,'Data 2'!$A$1:$F$1,0),0)</f>
        <v>117.48</v>
      </c>
      <c r="L400" s="40">
        <f>SUM('Data 1'!$J400*'Data 1'!$C400)</f>
        <v>1068</v>
      </c>
      <c r="M400" s="40">
        <f>'Data 1'!$C400*'Data 1'!$K400</f>
        <v>1409.76</v>
      </c>
      <c r="N400" s="40">
        <f>'Data 1'!$M400-'Data 1'!$L400</f>
        <v>341.76</v>
      </c>
      <c r="O400" s="37">
        <f>DAY('Data 1'!$A400)</f>
        <v>10</v>
      </c>
      <c r="P400" s="37" t="str">
        <f>TEXT('Data 1'!$A400,"mmm")</f>
        <v>Jul</v>
      </c>
      <c r="Q400" s="41">
        <f>YEAR('Data 1'!$A400)</f>
        <v>2022</v>
      </c>
    </row>
    <row r="401" spans="1:17" x14ac:dyDescent="0.3">
      <c r="A401" s="35">
        <v>44754</v>
      </c>
      <c r="B401" s="36" t="s">
        <v>52</v>
      </c>
      <c r="C401" s="37">
        <v>12</v>
      </c>
      <c r="D401" s="37" t="s">
        <v>21</v>
      </c>
      <c r="E401" s="37" t="s">
        <v>19</v>
      </c>
      <c r="F401" s="38">
        <v>0</v>
      </c>
      <c r="G401" s="42" t="str">
        <f>VLOOKUP('Data 1'!$B401,'Data 2'!$A$1:$F$46,MATCH('Data 1'!G$1,'Data 2'!$A$1:$F$1,0),0)</f>
        <v>Product28</v>
      </c>
      <c r="H401" s="42" t="str">
        <f>VLOOKUP('Data 1'!$B401,'Data 2'!$A$1:$F$46,MATCH('Data 1'!H$1,'Data 2'!$A$1:$F$1,0),0)</f>
        <v>Category04</v>
      </c>
      <c r="I401" s="42" t="str">
        <f>VLOOKUP('Data 1'!$B401,'Data 2'!$A$1:$F$46,MATCH('Data 1'!I$1,'Data 2'!$A$1:$F$1,0),0)</f>
        <v>No.</v>
      </c>
      <c r="J401" s="42">
        <f>VLOOKUP('Data 1'!$B401,'Data 2'!$A$1:$F$46,MATCH('Data 1'!J$1,'Data 2'!$A$1:$F$1,0),0)</f>
        <v>37</v>
      </c>
      <c r="K401" s="42">
        <f>VLOOKUP('Data 1'!$B401,'Data 2'!$A$1:$F$46,MATCH('Data 1'!K$1,'Data 2'!$A$1:$F$1,0),0)</f>
        <v>41.81</v>
      </c>
      <c r="L401" s="40">
        <f>SUM('Data 1'!$J401*'Data 1'!$C401)</f>
        <v>444</v>
      </c>
      <c r="M401" s="40">
        <f>'Data 1'!$C401*'Data 1'!$K401</f>
        <v>501.72</v>
      </c>
      <c r="N401" s="40">
        <f>'Data 1'!$M401-'Data 1'!$L401</f>
        <v>57.720000000000027</v>
      </c>
      <c r="O401" s="37">
        <f>DAY('Data 1'!$A401)</f>
        <v>12</v>
      </c>
      <c r="P401" s="37" t="str">
        <f>TEXT('Data 1'!$A401,"mmm")</f>
        <v>Jul</v>
      </c>
      <c r="Q401" s="41">
        <f>YEAR('Data 1'!$A401)</f>
        <v>2022</v>
      </c>
    </row>
    <row r="402" spans="1:17" x14ac:dyDescent="0.3">
      <c r="A402" s="35">
        <v>44755</v>
      </c>
      <c r="B402" s="36" t="s">
        <v>26</v>
      </c>
      <c r="C402" s="37">
        <v>7</v>
      </c>
      <c r="D402" s="37" t="s">
        <v>21</v>
      </c>
      <c r="E402" s="37" t="s">
        <v>17</v>
      </c>
      <c r="F402" s="38">
        <v>0</v>
      </c>
      <c r="G402" s="39" t="str">
        <f>VLOOKUP('Data 1'!$B402,'Data 2'!$A$1:$F$46,MATCH('Data 1'!G$1,'Data 2'!$A$1:$F$1,0),0)</f>
        <v>Product25</v>
      </c>
      <c r="H402" s="39" t="str">
        <f>VLOOKUP('Data 1'!$B402,'Data 2'!$A$1:$F$46,MATCH('Data 1'!H$1,'Data 2'!$A$1:$F$1,0),0)</f>
        <v>Category03</v>
      </c>
      <c r="I402" s="39" t="str">
        <f>VLOOKUP('Data 1'!$B402,'Data 2'!$A$1:$F$46,MATCH('Data 1'!I$1,'Data 2'!$A$1:$F$1,0),0)</f>
        <v>No.</v>
      </c>
      <c r="J402" s="39">
        <f>VLOOKUP('Data 1'!$B402,'Data 2'!$A$1:$F$46,MATCH('Data 1'!J$1,'Data 2'!$A$1:$F$1,0),0)</f>
        <v>7</v>
      </c>
      <c r="K402" s="39">
        <f>VLOOKUP('Data 1'!$B402,'Data 2'!$A$1:$F$46,MATCH('Data 1'!K$1,'Data 2'!$A$1:$F$1,0),0)</f>
        <v>8.33</v>
      </c>
      <c r="L402" s="40">
        <f>SUM('Data 1'!$J402*'Data 1'!$C402)</f>
        <v>49</v>
      </c>
      <c r="M402" s="40">
        <f>'Data 1'!$C402*'Data 1'!$K402</f>
        <v>58.31</v>
      </c>
      <c r="N402" s="40">
        <f>'Data 1'!$M402-'Data 1'!$L402</f>
        <v>9.3100000000000023</v>
      </c>
      <c r="O402" s="37">
        <f>DAY('Data 1'!$A402)</f>
        <v>13</v>
      </c>
      <c r="P402" s="37" t="str">
        <f>TEXT('Data 1'!$A402,"mmm")</f>
        <v>Jul</v>
      </c>
      <c r="Q402" s="41">
        <f>YEAR('Data 1'!$A402)</f>
        <v>2022</v>
      </c>
    </row>
    <row r="403" spans="1:17" x14ac:dyDescent="0.3">
      <c r="A403" s="35">
        <v>44756</v>
      </c>
      <c r="B403" s="36" t="s">
        <v>57</v>
      </c>
      <c r="C403" s="37">
        <v>9</v>
      </c>
      <c r="D403" s="37" t="s">
        <v>21</v>
      </c>
      <c r="E403" s="37" t="s">
        <v>17</v>
      </c>
      <c r="F403" s="38">
        <v>0</v>
      </c>
      <c r="G403" s="42" t="str">
        <f>VLOOKUP('Data 1'!$B403,'Data 2'!$A$1:$F$46,MATCH('Data 1'!G$1,'Data 2'!$A$1:$F$1,0),0)</f>
        <v>Product33</v>
      </c>
      <c r="H403" s="42" t="str">
        <f>VLOOKUP('Data 1'!$B403,'Data 2'!$A$1:$F$46,MATCH('Data 1'!H$1,'Data 2'!$A$1:$F$1,0),0)</f>
        <v>Category04</v>
      </c>
      <c r="I403" s="42" t="str">
        <f>VLOOKUP('Data 1'!$B403,'Data 2'!$A$1:$F$46,MATCH('Data 1'!I$1,'Data 2'!$A$1:$F$1,0),0)</f>
        <v>Kg</v>
      </c>
      <c r="J403" s="42">
        <f>VLOOKUP('Data 1'!$B403,'Data 2'!$A$1:$F$46,MATCH('Data 1'!J$1,'Data 2'!$A$1:$F$1,0),0)</f>
        <v>95</v>
      </c>
      <c r="K403" s="42">
        <f>VLOOKUP('Data 1'!$B403,'Data 2'!$A$1:$F$46,MATCH('Data 1'!K$1,'Data 2'!$A$1:$F$1,0),0)</f>
        <v>119.7</v>
      </c>
      <c r="L403" s="40">
        <f>SUM('Data 1'!$J403*'Data 1'!$C403)</f>
        <v>855</v>
      </c>
      <c r="M403" s="40">
        <f>'Data 1'!$C403*'Data 1'!$K403</f>
        <v>1077.3</v>
      </c>
      <c r="N403" s="40">
        <f>'Data 1'!$M403-'Data 1'!$L403</f>
        <v>222.29999999999995</v>
      </c>
      <c r="O403" s="37">
        <f>DAY('Data 1'!$A403)</f>
        <v>14</v>
      </c>
      <c r="P403" s="37" t="str">
        <f>TEXT('Data 1'!$A403,"mmm")</f>
        <v>Jul</v>
      </c>
      <c r="Q403" s="41">
        <f>YEAR('Data 1'!$A403)</f>
        <v>2022</v>
      </c>
    </row>
    <row r="404" spans="1:17" x14ac:dyDescent="0.3">
      <c r="A404" s="35">
        <v>44757</v>
      </c>
      <c r="B404" s="36" t="s">
        <v>22</v>
      </c>
      <c r="C404" s="37">
        <v>2</v>
      </c>
      <c r="D404" s="37" t="s">
        <v>17</v>
      </c>
      <c r="E404" s="37" t="s">
        <v>17</v>
      </c>
      <c r="F404" s="38">
        <v>0</v>
      </c>
      <c r="G404" s="39" t="str">
        <f>VLOOKUP('Data 1'!$B404,'Data 2'!$A$1:$F$46,MATCH('Data 1'!G$1,'Data 2'!$A$1:$F$1,0),0)</f>
        <v>Product04</v>
      </c>
      <c r="H404" s="39" t="str">
        <f>VLOOKUP('Data 1'!$B404,'Data 2'!$A$1:$F$46,MATCH('Data 1'!H$1,'Data 2'!$A$1:$F$1,0),0)</f>
        <v>Category01</v>
      </c>
      <c r="I404" s="39" t="str">
        <f>VLOOKUP('Data 1'!$B404,'Data 2'!$A$1:$F$46,MATCH('Data 1'!I$1,'Data 2'!$A$1:$F$1,0),0)</f>
        <v>Lt</v>
      </c>
      <c r="J404" s="39">
        <f>VLOOKUP('Data 1'!$B404,'Data 2'!$A$1:$F$46,MATCH('Data 1'!J$1,'Data 2'!$A$1:$F$1,0),0)</f>
        <v>44</v>
      </c>
      <c r="K404" s="39">
        <f>VLOOKUP('Data 1'!$B404,'Data 2'!$A$1:$F$46,MATCH('Data 1'!K$1,'Data 2'!$A$1:$F$1,0),0)</f>
        <v>48.84</v>
      </c>
      <c r="L404" s="40">
        <f>SUM('Data 1'!$J404*'Data 1'!$C404)</f>
        <v>88</v>
      </c>
      <c r="M404" s="40">
        <f>'Data 1'!$C404*'Data 1'!$K404</f>
        <v>97.68</v>
      </c>
      <c r="N404" s="40">
        <f>'Data 1'!$M404-'Data 1'!$L404</f>
        <v>9.6800000000000068</v>
      </c>
      <c r="O404" s="37">
        <f>DAY('Data 1'!$A404)</f>
        <v>15</v>
      </c>
      <c r="P404" s="37" t="str">
        <f>TEXT('Data 1'!$A404,"mmm")</f>
        <v>Jul</v>
      </c>
      <c r="Q404" s="41">
        <f>YEAR('Data 1'!$A404)</f>
        <v>2022</v>
      </c>
    </row>
    <row r="405" spans="1:17" x14ac:dyDescent="0.3">
      <c r="A405" s="35">
        <v>44759</v>
      </c>
      <c r="B405" s="36" t="s">
        <v>60</v>
      </c>
      <c r="C405" s="37">
        <v>8</v>
      </c>
      <c r="D405" s="37" t="s">
        <v>17</v>
      </c>
      <c r="E405" s="37" t="s">
        <v>19</v>
      </c>
      <c r="F405" s="38">
        <v>0</v>
      </c>
      <c r="G405" s="42" t="str">
        <f>VLOOKUP('Data 1'!$B405,'Data 2'!$A$1:$F$46,MATCH('Data 1'!G$1,'Data 2'!$A$1:$F$1,0),0)</f>
        <v>Product41</v>
      </c>
      <c r="H405" s="42" t="str">
        <f>VLOOKUP('Data 1'!$B405,'Data 2'!$A$1:$F$46,MATCH('Data 1'!H$1,'Data 2'!$A$1:$F$1,0),0)</f>
        <v>Category05</v>
      </c>
      <c r="I405" s="42" t="str">
        <f>VLOOKUP('Data 1'!$B405,'Data 2'!$A$1:$F$46,MATCH('Data 1'!I$1,'Data 2'!$A$1:$F$1,0),0)</f>
        <v>Ft</v>
      </c>
      <c r="J405" s="42">
        <f>VLOOKUP('Data 1'!$B405,'Data 2'!$A$1:$F$46,MATCH('Data 1'!J$1,'Data 2'!$A$1:$F$1,0),0)</f>
        <v>138</v>
      </c>
      <c r="K405" s="42">
        <f>VLOOKUP('Data 1'!$B405,'Data 2'!$A$1:$F$46,MATCH('Data 1'!K$1,'Data 2'!$A$1:$F$1,0),0)</f>
        <v>173.88</v>
      </c>
      <c r="L405" s="40">
        <f>SUM('Data 1'!$J405*'Data 1'!$C405)</f>
        <v>1104</v>
      </c>
      <c r="M405" s="40">
        <f>'Data 1'!$C405*'Data 1'!$K405</f>
        <v>1391.04</v>
      </c>
      <c r="N405" s="40">
        <f>'Data 1'!$M405-'Data 1'!$L405</f>
        <v>287.03999999999996</v>
      </c>
      <c r="O405" s="37">
        <f>DAY('Data 1'!$A405)</f>
        <v>17</v>
      </c>
      <c r="P405" s="37" t="str">
        <f>TEXT('Data 1'!$A405,"mmm")</f>
        <v>Jul</v>
      </c>
      <c r="Q405" s="41">
        <f>YEAR('Data 1'!$A405)</f>
        <v>2022</v>
      </c>
    </row>
    <row r="406" spans="1:17" x14ac:dyDescent="0.3">
      <c r="A406" s="35">
        <v>44760</v>
      </c>
      <c r="B406" s="36" t="s">
        <v>39</v>
      </c>
      <c r="C406" s="37">
        <v>12</v>
      </c>
      <c r="D406" s="37" t="s">
        <v>21</v>
      </c>
      <c r="E406" s="37" t="s">
        <v>17</v>
      </c>
      <c r="F406" s="38">
        <v>0</v>
      </c>
      <c r="G406" s="39" t="str">
        <f>VLOOKUP('Data 1'!$B406,'Data 2'!$A$1:$F$46,MATCH('Data 1'!G$1,'Data 2'!$A$1:$F$1,0),0)</f>
        <v>Product10</v>
      </c>
      <c r="H406" s="39" t="str">
        <f>VLOOKUP('Data 1'!$B406,'Data 2'!$A$1:$F$46,MATCH('Data 1'!H$1,'Data 2'!$A$1:$F$1,0),0)</f>
        <v>Category02</v>
      </c>
      <c r="I406" s="39" t="str">
        <f>VLOOKUP('Data 1'!$B406,'Data 2'!$A$1:$F$46,MATCH('Data 1'!I$1,'Data 2'!$A$1:$F$1,0),0)</f>
        <v>Ft</v>
      </c>
      <c r="J406" s="39">
        <f>VLOOKUP('Data 1'!$B406,'Data 2'!$A$1:$F$46,MATCH('Data 1'!J$1,'Data 2'!$A$1:$F$1,0),0)</f>
        <v>148</v>
      </c>
      <c r="K406" s="39">
        <f>VLOOKUP('Data 1'!$B406,'Data 2'!$A$1:$F$46,MATCH('Data 1'!K$1,'Data 2'!$A$1:$F$1,0),0)</f>
        <v>164.28</v>
      </c>
      <c r="L406" s="40">
        <f>SUM('Data 1'!$J406*'Data 1'!$C406)</f>
        <v>1776</v>
      </c>
      <c r="M406" s="40">
        <f>'Data 1'!$C406*'Data 1'!$K406</f>
        <v>1971.3600000000001</v>
      </c>
      <c r="N406" s="40">
        <f>'Data 1'!$M406-'Data 1'!$L406</f>
        <v>195.36000000000013</v>
      </c>
      <c r="O406" s="37">
        <f>DAY('Data 1'!$A406)</f>
        <v>18</v>
      </c>
      <c r="P406" s="37" t="str">
        <f>TEXT('Data 1'!$A406,"mmm")</f>
        <v>Jul</v>
      </c>
      <c r="Q406" s="41">
        <f>YEAR('Data 1'!$A406)</f>
        <v>2022</v>
      </c>
    </row>
    <row r="407" spans="1:17" x14ac:dyDescent="0.3">
      <c r="A407" s="35">
        <v>44762</v>
      </c>
      <c r="B407" s="36" t="s">
        <v>29</v>
      </c>
      <c r="C407" s="37">
        <v>8</v>
      </c>
      <c r="D407" s="37" t="s">
        <v>16</v>
      </c>
      <c r="E407" s="37" t="s">
        <v>17</v>
      </c>
      <c r="F407" s="38">
        <v>0</v>
      </c>
      <c r="G407" s="42" t="str">
        <f>VLOOKUP('Data 1'!$B407,'Data 2'!$A$1:$F$46,MATCH('Data 1'!G$1,'Data 2'!$A$1:$F$1,0),0)</f>
        <v>Product42</v>
      </c>
      <c r="H407" s="42" t="str">
        <f>VLOOKUP('Data 1'!$B407,'Data 2'!$A$1:$F$46,MATCH('Data 1'!H$1,'Data 2'!$A$1:$F$1,0),0)</f>
        <v>Category05</v>
      </c>
      <c r="I407" s="42" t="str">
        <f>VLOOKUP('Data 1'!$B407,'Data 2'!$A$1:$F$46,MATCH('Data 1'!I$1,'Data 2'!$A$1:$F$1,0),0)</f>
        <v>Ft</v>
      </c>
      <c r="J407" s="42">
        <f>VLOOKUP('Data 1'!$B407,'Data 2'!$A$1:$F$46,MATCH('Data 1'!J$1,'Data 2'!$A$1:$F$1,0),0)</f>
        <v>120</v>
      </c>
      <c r="K407" s="42">
        <f>VLOOKUP('Data 1'!$B407,'Data 2'!$A$1:$F$46,MATCH('Data 1'!K$1,'Data 2'!$A$1:$F$1,0),0)</f>
        <v>162</v>
      </c>
      <c r="L407" s="40">
        <f>SUM('Data 1'!$J407*'Data 1'!$C407)</f>
        <v>960</v>
      </c>
      <c r="M407" s="40">
        <f>'Data 1'!$C407*'Data 1'!$K407</f>
        <v>1296</v>
      </c>
      <c r="N407" s="40">
        <f>'Data 1'!$M407-'Data 1'!$L407</f>
        <v>336</v>
      </c>
      <c r="O407" s="37">
        <f>DAY('Data 1'!$A407)</f>
        <v>20</v>
      </c>
      <c r="P407" s="37" t="str">
        <f>TEXT('Data 1'!$A407,"mmm")</f>
        <v>Jul</v>
      </c>
      <c r="Q407" s="41">
        <f>YEAR('Data 1'!$A407)</f>
        <v>2022</v>
      </c>
    </row>
    <row r="408" spans="1:17" x14ac:dyDescent="0.3">
      <c r="A408" s="35">
        <v>44764</v>
      </c>
      <c r="B408" s="36" t="s">
        <v>32</v>
      </c>
      <c r="C408" s="37">
        <v>6</v>
      </c>
      <c r="D408" s="37" t="s">
        <v>21</v>
      </c>
      <c r="E408" s="37" t="s">
        <v>19</v>
      </c>
      <c r="F408" s="38">
        <v>0</v>
      </c>
      <c r="G408" s="39" t="str">
        <f>VLOOKUP('Data 1'!$B408,'Data 2'!$A$1:$F$46,MATCH('Data 1'!G$1,'Data 2'!$A$1:$F$1,0),0)</f>
        <v>Product34</v>
      </c>
      <c r="H408" s="39" t="str">
        <f>VLOOKUP('Data 1'!$B408,'Data 2'!$A$1:$F$46,MATCH('Data 1'!H$1,'Data 2'!$A$1:$F$1,0),0)</f>
        <v>Category04</v>
      </c>
      <c r="I408" s="39" t="str">
        <f>VLOOKUP('Data 1'!$B408,'Data 2'!$A$1:$F$46,MATCH('Data 1'!I$1,'Data 2'!$A$1:$F$1,0),0)</f>
        <v>Lt</v>
      </c>
      <c r="J408" s="39">
        <f>VLOOKUP('Data 1'!$B408,'Data 2'!$A$1:$F$46,MATCH('Data 1'!J$1,'Data 2'!$A$1:$F$1,0),0)</f>
        <v>55</v>
      </c>
      <c r="K408" s="39">
        <f>VLOOKUP('Data 1'!$B408,'Data 2'!$A$1:$F$46,MATCH('Data 1'!K$1,'Data 2'!$A$1:$F$1,0),0)</f>
        <v>58.3</v>
      </c>
      <c r="L408" s="40">
        <f>SUM('Data 1'!$J408*'Data 1'!$C408)</f>
        <v>330</v>
      </c>
      <c r="M408" s="40">
        <f>'Data 1'!$C408*'Data 1'!$K408</f>
        <v>349.79999999999995</v>
      </c>
      <c r="N408" s="40">
        <f>'Data 1'!$M408-'Data 1'!$L408</f>
        <v>19.799999999999955</v>
      </c>
      <c r="O408" s="37">
        <f>DAY('Data 1'!$A408)</f>
        <v>22</v>
      </c>
      <c r="P408" s="37" t="str">
        <f>TEXT('Data 1'!$A408,"mmm")</f>
        <v>Jul</v>
      </c>
      <c r="Q408" s="41">
        <f>YEAR('Data 1'!$A408)</f>
        <v>2022</v>
      </c>
    </row>
    <row r="409" spans="1:17" x14ac:dyDescent="0.3">
      <c r="A409" s="35">
        <v>44765</v>
      </c>
      <c r="B409" s="36" t="s">
        <v>49</v>
      </c>
      <c r="C409" s="37">
        <v>2</v>
      </c>
      <c r="D409" s="37" t="s">
        <v>17</v>
      </c>
      <c r="E409" s="37" t="s">
        <v>17</v>
      </c>
      <c r="F409" s="38">
        <v>0</v>
      </c>
      <c r="G409" s="42" t="str">
        <f>VLOOKUP('Data 1'!$B409,'Data 2'!$A$1:$F$46,MATCH('Data 1'!G$1,'Data 2'!$A$1:$F$1,0),0)</f>
        <v>Product18</v>
      </c>
      <c r="H409" s="42" t="str">
        <f>VLOOKUP('Data 1'!$B409,'Data 2'!$A$1:$F$46,MATCH('Data 1'!H$1,'Data 2'!$A$1:$F$1,0),0)</f>
        <v>Category02</v>
      </c>
      <c r="I409" s="42" t="str">
        <f>VLOOKUP('Data 1'!$B409,'Data 2'!$A$1:$F$46,MATCH('Data 1'!I$1,'Data 2'!$A$1:$F$1,0),0)</f>
        <v>No.</v>
      </c>
      <c r="J409" s="42">
        <f>VLOOKUP('Data 1'!$B409,'Data 2'!$A$1:$F$46,MATCH('Data 1'!J$1,'Data 2'!$A$1:$F$1,0),0)</f>
        <v>37</v>
      </c>
      <c r="K409" s="42">
        <f>VLOOKUP('Data 1'!$B409,'Data 2'!$A$1:$F$46,MATCH('Data 1'!K$1,'Data 2'!$A$1:$F$1,0),0)</f>
        <v>49.21</v>
      </c>
      <c r="L409" s="40">
        <f>SUM('Data 1'!$J409*'Data 1'!$C409)</f>
        <v>74</v>
      </c>
      <c r="M409" s="40">
        <f>'Data 1'!$C409*'Data 1'!$K409</f>
        <v>98.42</v>
      </c>
      <c r="N409" s="40">
        <f>'Data 1'!$M409-'Data 1'!$L409</f>
        <v>24.42</v>
      </c>
      <c r="O409" s="37">
        <f>DAY('Data 1'!$A409)</f>
        <v>23</v>
      </c>
      <c r="P409" s="37" t="str">
        <f>TEXT('Data 1'!$A409,"mmm")</f>
        <v>Jul</v>
      </c>
      <c r="Q409" s="41">
        <f>YEAR('Data 1'!$A409)</f>
        <v>2022</v>
      </c>
    </row>
    <row r="410" spans="1:17" x14ac:dyDescent="0.3">
      <c r="A410" s="35">
        <v>44766</v>
      </c>
      <c r="B410" s="36" t="s">
        <v>34</v>
      </c>
      <c r="C410" s="37">
        <v>14</v>
      </c>
      <c r="D410" s="37" t="s">
        <v>21</v>
      </c>
      <c r="E410" s="37" t="s">
        <v>19</v>
      </c>
      <c r="F410" s="38">
        <v>0</v>
      </c>
      <c r="G410" s="39" t="str">
        <f>VLOOKUP('Data 1'!$B410,'Data 2'!$A$1:$F$46,MATCH('Data 1'!G$1,'Data 2'!$A$1:$F$1,0),0)</f>
        <v>Product06</v>
      </c>
      <c r="H410" s="39" t="str">
        <f>VLOOKUP('Data 1'!$B410,'Data 2'!$A$1:$F$46,MATCH('Data 1'!H$1,'Data 2'!$A$1:$F$1,0),0)</f>
        <v>Category01</v>
      </c>
      <c r="I410" s="39" t="str">
        <f>VLOOKUP('Data 1'!$B410,'Data 2'!$A$1:$F$46,MATCH('Data 1'!I$1,'Data 2'!$A$1:$F$1,0),0)</f>
        <v>Kg</v>
      </c>
      <c r="J410" s="39">
        <f>VLOOKUP('Data 1'!$B410,'Data 2'!$A$1:$F$46,MATCH('Data 1'!J$1,'Data 2'!$A$1:$F$1,0),0)</f>
        <v>75</v>
      </c>
      <c r="K410" s="39">
        <f>VLOOKUP('Data 1'!$B410,'Data 2'!$A$1:$F$46,MATCH('Data 1'!K$1,'Data 2'!$A$1:$F$1,0),0)</f>
        <v>85.5</v>
      </c>
      <c r="L410" s="40">
        <f>SUM('Data 1'!$J410*'Data 1'!$C410)</f>
        <v>1050</v>
      </c>
      <c r="M410" s="40">
        <f>'Data 1'!$C410*'Data 1'!$K410</f>
        <v>1197</v>
      </c>
      <c r="N410" s="40">
        <f>'Data 1'!$M410-'Data 1'!$L410</f>
        <v>147</v>
      </c>
      <c r="O410" s="37">
        <f>DAY('Data 1'!$A410)</f>
        <v>24</v>
      </c>
      <c r="P410" s="37" t="str">
        <f>TEXT('Data 1'!$A410,"mmm")</f>
        <v>Jul</v>
      </c>
      <c r="Q410" s="41">
        <f>YEAR('Data 1'!$A410)</f>
        <v>2022</v>
      </c>
    </row>
    <row r="411" spans="1:17" x14ac:dyDescent="0.3">
      <c r="A411" s="35">
        <v>44766</v>
      </c>
      <c r="B411" s="36" t="s">
        <v>45</v>
      </c>
      <c r="C411" s="37">
        <v>1</v>
      </c>
      <c r="D411" s="37" t="s">
        <v>17</v>
      </c>
      <c r="E411" s="37" t="s">
        <v>17</v>
      </c>
      <c r="F411" s="38">
        <v>0</v>
      </c>
      <c r="G411" s="42" t="str">
        <f>VLOOKUP('Data 1'!$B411,'Data 2'!$A$1:$F$46,MATCH('Data 1'!G$1,'Data 2'!$A$1:$F$1,0),0)</f>
        <v>Product27</v>
      </c>
      <c r="H411" s="42" t="str">
        <f>VLOOKUP('Data 1'!$B411,'Data 2'!$A$1:$F$46,MATCH('Data 1'!H$1,'Data 2'!$A$1:$F$1,0),0)</f>
        <v>Category04</v>
      </c>
      <c r="I411" s="42" t="str">
        <f>VLOOKUP('Data 1'!$B411,'Data 2'!$A$1:$F$46,MATCH('Data 1'!I$1,'Data 2'!$A$1:$F$1,0),0)</f>
        <v>Lt</v>
      </c>
      <c r="J411" s="42">
        <f>VLOOKUP('Data 1'!$B411,'Data 2'!$A$1:$F$46,MATCH('Data 1'!J$1,'Data 2'!$A$1:$F$1,0),0)</f>
        <v>48</v>
      </c>
      <c r="K411" s="42">
        <f>VLOOKUP('Data 1'!$B411,'Data 2'!$A$1:$F$46,MATCH('Data 1'!K$1,'Data 2'!$A$1:$F$1,0),0)</f>
        <v>57.120000000000005</v>
      </c>
      <c r="L411" s="40">
        <f>SUM('Data 1'!$J411*'Data 1'!$C411)</f>
        <v>48</v>
      </c>
      <c r="M411" s="40">
        <f>'Data 1'!$C411*'Data 1'!$K411</f>
        <v>57.120000000000005</v>
      </c>
      <c r="N411" s="40">
        <f>'Data 1'!$M411-'Data 1'!$L411</f>
        <v>9.1200000000000045</v>
      </c>
      <c r="O411" s="37">
        <f>DAY('Data 1'!$A411)</f>
        <v>24</v>
      </c>
      <c r="P411" s="37" t="str">
        <f>TEXT('Data 1'!$A411,"mmm")</f>
        <v>Jul</v>
      </c>
      <c r="Q411" s="41">
        <f>YEAR('Data 1'!$A411)</f>
        <v>2022</v>
      </c>
    </row>
    <row r="412" spans="1:17" x14ac:dyDescent="0.3">
      <c r="A412" s="35">
        <v>44767</v>
      </c>
      <c r="B412" s="36" t="s">
        <v>30</v>
      </c>
      <c r="C412" s="37">
        <v>2</v>
      </c>
      <c r="D412" s="37" t="s">
        <v>21</v>
      </c>
      <c r="E412" s="37" t="s">
        <v>19</v>
      </c>
      <c r="F412" s="38">
        <v>0</v>
      </c>
      <c r="G412" s="39" t="str">
        <f>VLOOKUP('Data 1'!$B412,'Data 2'!$A$1:$F$46,MATCH('Data 1'!G$1,'Data 2'!$A$1:$F$1,0),0)</f>
        <v>Product44</v>
      </c>
      <c r="H412" s="39" t="str">
        <f>VLOOKUP('Data 1'!$B412,'Data 2'!$A$1:$F$46,MATCH('Data 1'!H$1,'Data 2'!$A$1:$F$1,0),0)</f>
        <v>Category05</v>
      </c>
      <c r="I412" s="39" t="str">
        <f>VLOOKUP('Data 1'!$B412,'Data 2'!$A$1:$F$46,MATCH('Data 1'!I$1,'Data 2'!$A$1:$F$1,0),0)</f>
        <v>Kg</v>
      </c>
      <c r="J412" s="39">
        <f>VLOOKUP('Data 1'!$B412,'Data 2'!$A$1:$F$46,MATCH('Data 1'!J$1,'Data 2'!$A$1:$F$1,0),0)</f>
        <v>76</v>
      </c>
      <c r="K412" s="39">
        <f>VLOOKUP('Data 1'!$B412,'Data 2'!$A$1:$F$46,MATCH('Data 1'!K$1,'Data 2'!$A$1:$F$1,0),0)</f>
        <v>82.08</v>
      </c>
      <c r="L412" s="40">
        <f>SUM('Data 1'!$J412*'Data 1'!$C412)</f>
        <v>152</v>
      </c>
      <c r="M412" s="40">
        <f>'Data 1'!$C412*'Data 1'!$K412</f>
        <v>164.16</v>
      </c>
      <c r="N412" s="40">
        <f>'Data 1'!$M412-'Data 1'!$L412</f>
        <v>12.159999999999997</v>
      </c>
      <c r="O412" s="37">
        <f>DAY('Data 1'!$A412)</f>
        <v>25</v>
      </c>
      <c r="P412" s="37" t="str">
        <f>TEXT('Data 1'!$A412,"mmm")</f>
        <v>Jul</v>
      </c>
      <c r="Q412" s="41">
        <f>YEAR('Data 1'!$A412)</f>
        <v>2022</v>
      </c>
    </row>
    <row r="413" spans="1:17" x14ac:dyDescent="0.3">
      <c r="A413" s="35">
        <v>44767</v>
      </c>
      <c r="B413" s="36" t="s">
        <v>58</v>
      </c>
      <c r="C413" s="37">
        <v>12</v>
      </c>
      <c r="D413" s="37" t="s">
        <v>21</v>
      </c>
      <c r="E413" s="37" t="s">
        <v>19</v>
      </c>
      <c r="F413" s="38">
        <v>0</v>
      </c>
      <c r="G413" s="42" t="str">
        <f>VLOOKUP('Data 1'!$B413,'Data 2'!$A$1:$F$46,MATCH('Data 1'!G$1,'Data 2'!$A$1:$F$1,0),0)</f>
        <v>Product17</v>
      </c>
      <c r="H413" s="42" t="str">
        <f>VLOOKUP('Data 1'!$B413,'Data 2'!$A$1:$F$46,MATCH('Data 1'!H$1,'Data 2'!$A$1:$F$1,0),0)</f>
        <v>Category02</v>
      </c>
      <c r="I413" s="42" t="str">
        <f>VLOOKUP('Data 1'!$B413,'Data 2'!$A$1:$F$46,MATCH('Data 1'!I$1,'Data 2'!$A$1:$F$1,0),0)</f>
        <v>Ft</v>
      </c>
      <c r="J413" s="42">
        <f>VLOOKUP('Data 1'!$B413,'Data 2'!$A$1:$F$46,MATCH('Data 1'!J$1,'Data 2'!$A$1:$F$1,0),0)</f>
        <v>134</v>
      </c>
      <c r="K413" s="42">
        <f>VLOOKUP('Data 1'!$B413,'Data 2'!$A$1:$F$46,MATCH('Data 1'!K$1,'Data 2'!$A$1:$F$1,0),0)</f>
        <v>156.78</v>
      </c>
      <c r="L413" s="40">
        <f>SUM('Data 1'!$J413*'Data 1'!$C413)</f>
        <v>1608</v>
      </c>
      <c r="M413" s="40">
        <f>'Data 1'!$C413*'Data 1'!$K413</f>
        <v>1881.3600000000001</v>
      </c>
      <c r="N413" s="40">
        <f>'Data 1'!$M413-'Data 1'!$L413</f>
        <v>273.36000000000013</v>
      </c>
      <c r="O413" s="37">
        <f>DAY('Data 1'!$A413)</f>
        <v>25</v>
      </c>
      <c r="P413" s="37" t="str">
        <f>TEXT('Data 1'!$A413,"mmm")</f>
        <v>Jul</v>
      </c>
      <c r="Q413" s="41">
        <f>YEAR('Data 1'!$A413)</f>
        <v>2022</v>
      </c>
    </row>
    <row r="414" spans="1:17" x14ac:dyDescent="0.3">
      <c r="A414" s="35">
        <v>44767</v>
      </c>
      <c r="B414" s="36" t="s">
        <v>25</v>
      </c>
      <c r="C414" s="37">
        <v>13</v>
      </c>
      <c r="D414" s="37" t="s">
        <v>17</v>
      </c>
      <c r="E414" s="37" t="s">
        <v>19</v>
      </c>
      <c r="F414" s="38">
        <v>0</v>
      </c>
      <c r="G414" s="39" t="str">
        <f>VLOOKUP('Data 1'!$B414,'Data 2'!$A$1:$F$46,MATCH('Data 1'!G$1,'Data 2'!$A$1:$F$1,0),0)</f>
        <v>Product03</v>
      </c>
      <c r="H414" s="39" t="str">
        <f>VLOOKUP('Data 1'!$B414,'Data 2'!$A$1:$F$46,MATCH('Data 1'!H$1,'Data 2'!$A$1:$F$1,0),0)</f>
        <v>Category01</v>
      </c>
      <c r="I414" s="39" t="str">
        <f>VLOOKUP('Data 1'!$B414,'Data 2'!$A$1:$F$46,MATCH('Data 1'!I$1,'Data 2'!$A$1:$F$1,0),0)</f>
        <v>Kg</v>
      </c>
      <c r="J414" s="39">
        <f>VLOOKUP('Data 1'!$B414,'Data 2'!$A$1:$F$46,MATCH('Data 1'!J$1,'Data 2'!$A$1:$F$1,0),0)</f>
        <v>71</v>
      </c>
      <c r="K414" s="39">
        <f>VLOOKUP('Data 1'!$B414,'Data 2'!$A$1:$F$46,MATCH('Data 1'!K$1,'Data 2'!$A$1:$F$1,0),0)</f>
        <v>80.94</v>
      </c>
      <c r="L414" s="40">
        <f>SUM('Data 1'!$J414*'Data 1'!$C414)</f>
        <v>923</v>
      </c>
      <c r="M414" s="40">
        <f>'Data 1'!$C414*'Data 1'!$K414</f>
        <v>1052.22</v>
      </c>
      <c r="N414" s="40">
        <f>'Data 1'!$M414-'Data 1'!$L414</f>
        <v>129.22000000000003</v>
      </c>
      <c r="O414" s="37">
        <f>DAY('Data 1'!$A414)</f>
        <v>25</v>
      </c>
      <c r="P414" s="37" t="str">
        <f>TEXT('Data 1'!$A414,"mmm")</f>
        <v>Jul</v>
      </c>
      <c r="Q414" s="41">
        <f>YEAR('Data 1'!$A414)</f>
        <v>2022</v>
      </c>
    </row>
    <row r="415" spans="1:17" x14ac:dyDescent="0.3">
      <c r="A415" s="35">
        <v>44768</v>
      </c>
      <c r="B415" s="36" t="s">
        <v>25</v>
      </c>
      <c r="C415" s="37">
        <v>10</v>
      </c>
      <c r="D415" s="37" t="s">
        <v>17</v>
      </c>
      <c r="E415" s="37" t="s">
        <v>17</v>
      </c>
      <c r="F415" s="38">
        <v>0</v>
      </c>
      <c r="G415" s="42" t="str">
        <f>VLOOKUP('Data 1'!$B415,'Data 2'!$A$1:$F$46,MATCH('Data 1'!G$1,'Data 2'!$A$1:$F$1,0),0)</f>
        <v>Product03</v>
      </c>
      <c r="H415" s="42" t="str">
        <f>VLOOKUP('Data 1'!$B415,'Data 2'!$A$1:$F$46,MATCH('Data 1'!H$1,'Data 2'!$A$1:$F$1,0),0)</f>
        <v>Category01</v>
      </c>
      <c r="I415" s="42" t="str">
        <f>VLOOKUP('Data 1'!$B415,'Data 2'!$A$1:$F$46,MATCH('Data 1'!I$1,'Data 2'!$A$1:$F$1,0),0)</f>
        <v>Kg</v>
      </c>
      <c r="J415" s="42">
        <f>VLOOKUP('Data 1'!$B415,'Data 2'!$A$1:$F$46,MATCH('Data 1'!J$1,'Data 2'!$A$1:$F$1,0),0)</f>
        <v>71</v>
      </c>
      <c r="K415" s="42">
        <f>VLOOKUP('Data 1'!$B415,'Data 2'!$A$1:$F$46,MATCH('Data 1'!K$1,'Data 2'!$A$1:$F$1,0),0)</f>
        <v>80.94</v>
      </c>
      <c r="L415" s="40">
        <f>SUM('Data 1'!$J415*'Data 1'!$C415)</f>
        <v>710</v>
      </c>
      <c r="M415" s="40">
        <f>'Data 1'!$C415*'Data 1'!$K415</f>
        <v>809.4</v>
      </c>
      <c r="N415" s="40">
        <f>'Data 1'!$M415-'Data 1'!$L415</f>
        <v>99.399999999999977</v>
      </c>
      <c r="O415" s="37">
        <f>DAY('Data 1'!$A415)</f>
        <v>26</v>
      </c>
      <c r="P415" s="37" t="str">
        <f>TEXT('Data 1'!$A415,"mmm")</f>
        <v>Jul</v>
      </c>
      <c r="Q415" s="41">
        <f>YEAR('Data 1'!$A415)</f>
        <v>2022</v>
      </c>
    </row>
    <row r="416" spans="1:17" x14ac:dyDescent="0.3">
      <c r="A416" s="35">
        <v>44768</v>
      </c>
      <c r="B416" s="36" t="s">
        <v>61</v>
      </c>
      <c r="C416" s="37">
        <v>1</v>
      </c>
      <c r="D416" s="37" t="s">
        <v>17</v>
      </c>
      <c r="E416" s="37" t="s">
        <v>19</v>
      </c>
      <c r="F416" s="38">
        <v>0</v>
      </c>
      <c r="G416" s="39" t="str">
        <f>VLOOKUP('Data 1'!$B416,'Data 2'!$A$1:$F$46,MATCH('Data 1'!G$1,'Data 2'!$A$1:$F$1,0),0)</f>
        <v>Product26</v>
      </c>
      <c r="H416" s="39" t="str">
        <f>VLOOKUP('Data 1'!$B416,'Data 2'!$A$1:$F$46,MATCH('Data 1'!H$1,'Data 2'!$A$1:$F$1,0),0)</f>
        <v>Category04</v>
      </c>
      <c r="I416" s="39" t="str">
        <f>VLOOKUP('Data 1'!$B416,'Data 2'!$A$1:$F$46,MATCH('Data 1'!I$1,'Data 2'!$A$1:$F$1,0),0)</f>
        <v>No.</v>
      </c>
      <c r="J416" s="39">
        <f>VLOOKUP('Data 1'!$B416,'Data 2'!$A$1:$F$46,MATCH('Data 1'!J$1,'Data 2'!$A$1:$F$1,0),0)</f>
        <v>18</v>
      </c>
      <c r="K416" s="39">
        <f>VLOOKUP('Data 1'!$B416,'Data 2'!$A$1:$F$46,MATCH('Data 1'!K$1,'Data 2'!$A$1:$F$1,0),0)</f>
        <v>24.66</v>
      </c>
      <c r="L416" s="40">
        <f>SUM('Data 1'!$J416*'Data 1'!$C416)</f>
        <v>18</v>
      </c>
      <c r="M416" s="40">
        <f>'Data 1'!$C416*'Data 1'!$K416</f>
        <v>24.66</v>
      </c>
      <c r="N416" s="40">
        <f>'Data 1'!$M416-'Data 1'!$L416</f>
        <v>6.66</v>
      </c>
      <c r="O416" s="37">
        <f>DAY('Data 1'!$A416)</f>
        <v>26</v>
      </c>
      <c r="P416" s="37" t="str">
        <f>TEXT('Data 1'!$A416,"mmm")</f>
        <v>Jul</v>
      </c>
      <c r="Q416" s="41">
        <f>YEAR('Data 1'!$A416)</f>
        <v>2022</v>
      </c>
    </row>
    <row r="417" spans="1:17" x14ac:dyDescent="0.3">
      <c r="A417" s="35">
        <v>44776</v>
      </c>
      <c r="B417" s="36" t="s">
        <v>54</v>
      </c>
      <c r="C417" s="37">
        <v>5</v>
      </c>
      <c r="D417" s="37" t="s">
        <v>21</v>
      </c>
      <c r="E417" s="37" t="s">
        <v>19</v>
      </c>
      <c r="F417" s="38">
        <v>0</v>
      </c>
      <c r="G417" s="42" t="str">
        <f>VLOOKUP('Data 1'!$B417,'Data 2'!$A$1:$F$46,MATCH('Data 1'!G$1,'Data 2'!$A$1:$F$1,0),0)</f>
        <v>Product12</v>
      </c>
      <c r="H417" s="42" t="str">
        <f>VLOOKUP('Data 1'!$B417,'Data 2'!$A$1:$F$46,MATCH('Data 1'!H$1,'Data 2'!$A$1:$F$1,0),0)</f>
        <v>Category02</v>
      </c>
      <c r="I417" s="42" t="str">
        <f>VLOOKUP('Data 1'!$B417,'Data 2'!$A$1:$F$46,MATCH('Data 1'!I$1,'Data 2'!$A$1:$F$1,0),0)</f>
        <v>Kg</v>
      </c>
      <c r="J417" s="42">
        <f>VLOOKUP('Data 1'!$B417,'Data 2'!$A$1:$F$46,MATCH('Data 1'!J$1,'Data 2'!$A$1:$F$1,0),0)</f>
        <v>73</v>
      </c>
      <c r="K417" s="42">
        <f>VLOOKUP('Data 1'!$B417,'Data 2'!$A$1:$F$46,MATCH('Data 1'!K$1,'Data 2'!$A$1:$F$1,0),0)</f>
        <v>94.17</v>
      </c>
      <c r="L417" s="40">
        <f>SUM('Data 1'!$J417*'Data 1'!$C417)</f>
        <v>365</v>
      </c>
      <c r="M417" s="40">
        <f>'Data 1'!$C417*'Data 1'!$K417</f>
        <v>470.85</v>
      </c>
      <c r="N417" s="40">
        <f>'Data 1'!$M417-'Data 1'!$L417</f>
        <v>105.85000000000002</v>
      </c>
      <c r="O417" s="37">
        <f>DAY('Data 1'!$A417)</f>
        <v>3</v>
      </c>
      <c r="P417" s="37" t="str">
        <f>TEXT('Data 1'!$A417,"mmm")</f>
        <v>Aug</v>
      </c>
      <c r="Q417" s="41">
        <f>YEAR('Data 1'!$A417)</f>
        <v>2022</v>
      </c>
    </row>
    <row r="418" spans="1:17" x14ac:dyDescent="0.3">
      <c r="A418" s="35">
        <v>44779</v>
      </c>
      <c r="B418" s="36" t="s">
        <v>40</v>
      </c>
      <c r="C418" s="37">
        <v>9</v>
      </c>
      <c r="D418" s="37" t="s">
        <v>17</v>
      </c>
      <c r="E418" s="37" t="s">
        <v>17</v>
      </c>
      <c r="F418" s="38">
        <v>0</v>
      </c>
      <c r="G418" s="39" t="str">
        <f>VLOOKUP('Data 1'!$B418,'Data 2'!$A$1:$F$46,MATCH('Data 1'!G$1,'Data 2'!$A$1:$F$1,0),0)</f>
        <v>Product16</v>
      </c>
      <c r="H418" s="39" t="str">
        <f>VLOOKUP('Data 1'!$B418,'Data 2'!$A$1:$F$46,MATCH('Data 1'!H$1,'Data 2'!$A$1:$F$1,0),0)</f>
        <v>Category02</v>
      </c>
      <c r="I418" s="39" t="str">
        <f>VLOOKUP('Data 1'!$B418,'Data 2'!$A$1:$F$46,MATCH('Data 1'!I$1,'Data 2'!$A$1:$F$1,0),0)</f>
        <v>No.</v>
      </c>
      <c r="J418" s="39">
        <f>VLOOKUP('Data 1'!$B418,'Data 2'!$A$1:$F$46,MATCH('Data 1'!J$1,'Data 2'!$A$1:$F$1,0),0)</f>
        <v>13</v>
      </c>
      <c r="K418" s="39">
        <f>VLOOKUP('Data 1'!$B418,'Data 2'!$A$1:$F$46,MATCH('Data 1'!K$1,'Data 2'!$A$1:$F$1,0),0)</f>
        <v>16.64</v>
      </c>
      <c r="L418" s="40">
        <f>SUM('Data 1'!$J418*'Data 1'!$C418)</f>
        <v>117</v>
      </c>
      <c r="M418" s="40">
        <f>'Data 1'!$C418*'Data 1'!$K418</f>
        <v>149.76</v>
      </c>
      <c r="N418" s="40">
        <f>'Data 1'!$M418-'Data 1'!$L418</f>
        <v>32.759999999999991</v>
      </c>
      <c r="O418" s="37">
        <f>DAY('Data 1'!$A418)</f>
        <v>6</v>
      </c>
      <c r="P418" s="37" t="str">
        <f>TEXT('Data 1'!$A418,"mmm")</f>
        <v>Aug</v>
      </c>
      <c r="Q418" s="41">
        <f>YEAR('Data 1'!$A418)</f>
        <v>2022</v>
      </c>
    </row>
    <row r="419" spans="1:17" x14ac:dyDescent="0.3">
      <c r="A419" s="35">
        <v>44781</v>
      </c>
      <c r="B419" s="36" t="s">
        <v>40</v>
      </c>
      <c r="C419" s="37">
        <v>2</v>
      </c>
      <c r="D419" s="37" t="s">
        <v>21</v>
      </c>
      <c r="E419" s="37" t="s">
        <v>17</v>
      </c>
      <c r="F419" s="38">
        <v>0</v>
      </c>
      <c r="G419" s="42" t="str">
        <f>VLOOKUP('Data 1'!$B419,'Data 2'!$A$1:$F$46,MATCH('Data 1'!G$1,'Data 2'!$A$1:$F$1,0),0)</f>
        <v>Product16</v>
      </c>
      <c r="H419" s="42" t="str">
        <f>VLOOKUP('Data 1'!$B419,'Data 2'!$A$1:$F$46,MATCH('Data 1'!H$1,'Data 2'!$A$1:$F$1,0),0)</f>
        <v>Category02</v>
      </c>
      <c r="I419" s="42" t="str">
        <f>VLOOKUP('Data 1'!$B419,'Data 2'!$A$1:$F$46,MATCH('Data 1'!I$1,'Data 2'!$A$1:$F$1,0),0)</f>
        <v>No.</v>
      </c>
      <c r="J419" s="42">
        <f>VLOOKUP('Data 1'!$B419,'Data 2'!$A$1:$F$46,MATCH('Data 1'!J$1,'Data 2'!$A$1:$F$1,0),0)</f>
        <v>13</v>
      </c>
      <c r="K419" s="42">
        <f>VLOOKUP('Data 1'!$B419,'Data 2'!$A$1:$F$46,MATCH('Data 1'!K$1,'Data 2'!$A$1:$F$1,0),0)</f>
        <v>16.64</v>
      </c>
      <c r="L419" s="40">
        <f>SUM('Data 1'!$J419*'Data 1'!$C419)</f>
        <v>26</v>
      </c>
      <c r="M419" s="40">
        <f>'Data 1'!$C419*'Data 1'!$K419</f>
        <v>33.28</v>
      </c>
      <c r="N419" s="40">
        <f>'Data 1'!$M419-'Data 1'!$L419</f>
        <v>7.2800000000000011</v>
      </c>
      <c r="O419" s="37">
        <f>DAY('Data 1'!$A419)</f>
        <v>8</v>
      </c>
      <c r="P419" s="37" t="str">
        <f>TEXT('Data 1'!$A419,"mmm")</f>
        <v>Aug</v>
      </c>
      <c r="Q419" s="41">
        <f>YEAR('Data 1'!$A419)</f>
        <v>2022</v>
      </c>
    </row>
    <row r="420" spans="1:17" x14ac:dyDescent="0.3">
      <c r="A420" s="35">
        <v>44781</v>
      </c>
      <c r="B420" s="36" t="s">
        <v>37</v>
      </c>
      <c r="C420" s="37">
        <v>12</v>
      </c>
      <c r="D420" s="37" t="s">
        <v>21</v>
      </c>
      <c r="E420" s="37" t="s">
        <v>19</v>
      </c>
      <c r="F420" s="38">
        <v>0</v>
      </c>
      <c r="G420" s="39" t="str">
        <f>VLOOKUP('Data 1'!$B420,'Data 2'!$A$1:$F$46,MATCH('Data 1'!G$1,'Data 2'!$A$1:$F$1,0),0)</f>
        <v>Product32</v>
      </c>
      <c r="H420" s="39" t="str">
        <f>VLOOKUP('Data 1'!$B420,'Data 2'!$A$1:$F$46,MATCH('Data 1'!H$1,'Data 2'!$A$1:$F$1,0),0)</f>
        <v>Category04</v>
      </c>
      <c r="I420" s="39" t="str">
        <f>VLOOKUP('Data 1'!$B420,'Data 2'!$A$1:$F$46,MATCH('Data 1'!I$1,'Data 2'!$A$1:$F$1,0),0)</f>
        <v>Kg</v>
      </c>
      <c r="J420" s="39">
        <f>VLOOKUP('Data 1'!$B420,'Data 2'!$A$1:$F$46,MATCH('Data 1'!J$1,'Data 2'!$A$1:$F$1,0),0)</f>
        <v>89</v>
      </c>
      <c r="K420" s="39">
        <f>VLOOKUP('Data 1'!$B420,'Data 2'!$A$1:$F$46,MATCH('Data 1'!K$1,'Data 2'!$A$1:$F$1,0),0)</f>
        <v>117.48</v>
      </c>
      <c r="L420" s="40">
        <f>SUM('Data 1'!$J420*'Data 1'!$C420)</f>
        <v>1068</v>
      </c>
      <c r="M420" s="40">
        <f>'Data 1'!$C420*'Data 1'!$K420</f>
        <v>1409.76</v>
      </c>
      <c r="N420" s="40">
        <f>'Data 1'!$M420-'Data 1'!$L420</f>
        <v>341.76</v>
      </c>
      <c r="O420" s="37">
        <f>DAY('Data 1'!$A420)</f>
        <v>8</v>
      </c>
      <c r="P420" s="37" t="str">
        <f>TEXT('Data 1'!$A420,"mmm")</f>
        <v>Aug</v>
      </c>
      <c r="Q420" s="41">
        <f>YEAR('Data 1'!$A420)</f>
        <v>2022</v>
      </c>
    </row>
    <row r="421" spans="1:17" x14ac:dyDescent="0.3">
      <c r="A421" s="35">
        <v>44781</v>
      </c>
      <c r="B421" s="36" t="s">
        <v>51</v>
      </c>
      <c r="C421" s="37">
        <v>11</v>
      </c>
      <c r="D421" s="37" t="s">
        <v>21</v>
      </c>
      <c r="E421" s="37" t="s">
        <v>19</v>
      </c>
      <c r="F421" s="38">
        <v>0</v>
      </c>
      <c r="G421" s="42" t="str">
        <f>VLOOKUP('Data 1'!$B421,'Data 2'!$A$1:$F$46,MATCH('Data 1'!G$1,'Data 2'!$A$1:$F$1,0),0)</f>
        <v>Product21</v>
      </c>
      <c r="H421" s="42" t="str">
        <f>VLOOKUP('Data 1'!$B421,'Data 2'!$A$1:$F$46,MATCH('Data 1'!H$1,'Data 2'!$A$1:$F$1,0),0)</f>
        <v>Category03</v>
      </c>
      <c r="I421" s="42" t="str">
        <f>VLOOKUP('Data 1'!$B421,'Data 2'!$A$1:$F$46,MATCH('Data 1'!I$1,'Data 2'!$A$1:$F$1,0),0)</f>
        <v>Ft</v>
      </c>
      <c r="J421" s="42">
        <f>VLOOKUP('Data 1'!$B421,'Data 2'!$A$1:$F$46,MATCH('Data 1'!J$1,'Data 2'!$A$1:$F$1,0),0)</f>
        <v>126</v>
      </c>
      <c r="K421" s="42">
        <f>VLOOKUP('Data 1'!$B421,'Data 2'!$A$1:$F$46,MATCH('Data 1'!K$1,'Data 2'!$A$1:$F$1,0),0)</f>
        <v>162.54</v>
      </c>
      <c r="L421" s="40">
        <f>SUM('Data 1'!$J421*'Data 1'!$C421)</f>
        <v>1386</v>
      </c>
      <c r="M421" s="40">
        <f>'Data 1'!$C421*'Data 1'!$K421</f>
        <v>1787.9399999999998</v>
      </c>
      <c r="N421" s="40">
        <f>'Data 1'!$M421-'Data 1'!$L421</f>
        <v>401.93999999999983</v>
      </c>
      <c r="O421" s="37">
        <f>DAY('Data 1'!$A421)</f>
        <v>8</v>
      </c>
      <c r="P421" s="37" t="str">
        <f>TEXT('Data 1'!$A421,"mmm")</f>
        <v>Aug</v>
      </c>
      <c r="Q421" s="41">
        <f>YEAR('Data 1'!$A421)</f>
        <v>2022</v>
      </c>
    </row>
    <row r="422" spans="1:17" x14ac:dyDescent="0.3">
      <c r="A422" s="35">
        <v>44787</v>
      </c>
      <c r="B422" s="36" t="s">
        <v>47</v>
      </c>
      <c r="C422" s="37">
        <v>14</v>
      </c>
      <c r="D422" s="37" t="s">
        <v>21</v>
      </c>
      <c r="E422" s="37" t="s">
        <v>19</v>
      </c>
      <c r="F422" s="38">
        <v>0</v>
      </c>
      <c r="G422" s="39" t="str">
        <f>VLOOKUP('Data 1'!$B422,'Data 2'!$A$1:$F$46,MATCH('Data 1'!G$1,'Data 2'!$A$1:$F$1,0),0)</f>
        <v>Product30</v>
      </c>
      <c r="H422" s="39" t="str">
        <f>VLOOKUP('Data 1'!$B422,'Data 2'!$A$1:$F$46,MATCH('Data 1'!H$1,'Data 2'!$A$1:$F$1,0),0)</f>
        <v>Category04</v>
      </c>
      <c r="I422" s="39" t="str">
        <f>VLOOKUP('Data 1'!$B422,'Data 2'!$A$1:$F$46,MATCH('Data 1'!I$1,'Data 2'!$A$1:$F$1,0),0)</f>
        <v>Ft</v>
      </c>
      <c r="J422" s="39">
        <f>VLOOKUP('Data 1'!$B422,'Data 2'!$A$1:$F$46,MATCH('Data 1'!J$1,'Data 2'!$A$1:$F$1,0),0)</f>
        <v>148</v>
      </c>
      <c r="K422" s="39">
        <f>VLOOKUP('Data 1'!$B422,'Data 2'!$A$1:$F$46,MATCH('Data 1'!K$1,'Data 2'!$A$1:$F$1,0),0)</f>
        <v>201.28</v>
      </c>
      <c r="L422" s="40">
        <f>SUM('Data 1'!$J422*'Data 1'!$C422)</f>
        <v>2072</v>
      </c>
      <c r="M422" s="40">
        <f>'Data 1'!$C422*'Data 1'!$K422</f>
        <v>2817.92</v>
      </c>
      <c r="N422" s="40">
        <f>'Data 1'!$M422-'Data 1'!$L422</f>
        <v>745.92000000000007</v>
      </c>
      <c r="O422" s="37">
        <f>DAY('Data 1'!$A422)</f>
        <v>14</v>
      </c>
      <c r="P422" s="37" t="str">
        <f>TEXT('Data 1'!$A422,"mmm")</f>
        <v>Aug</v>
      </c>
      <c r="Q422" s="41">
        <f>YEAR('Data 1'!$A422)</f>
        <v>2022</v>
      </c>
    </row>
    <row r="423" spans="1:17" x14ac:dyDescent="0.3">
      <c r="A423" s="35">
        <v>44788</v>
      </c>
      <c r="B423" s="36" t="s">
        <v>50</v>
      </c>
      <c r="C423" s="37">
        <v>10</v>
      </c>
      <c r="D423" s="37" t="s">
        <v>16</v>
      </c>
      <c r="E423" s="37" t="s">
        <v>19</v>
      </c>
      <c r="F423" s="38">
        <v>0</v>
      </c>
      <c r="G423" s="42" t="str">
        <f>VLOOKUP('Data 1'!$B423,'Data 2'!$A$1:$F$46,MATCH('Data 1'!G$1,'Data 2'!$A$1:$F$1,0),0)</f>
        <v>Product11</v>
      </c>
      <c r="H423" s="42" t="str">
        <f>VLOOKUP('Data 1'!$B423,'Data 2'!$A$1:$F$46,MATCH('Data 1'!H$1,'Data 2'!$A$1:$F$1,0),0)</f>
        <v>Category02</v>
      </c>
      <c r="I423" s="42" t="str">
        <f>VLOOKUP('Data 1'!$B423,'Data 2'!$A$1:$F$46,MATCH('Data 1'!I$1,'Data 2'!$A$1:$F$1,0),0)</f>
        <v>Lt</v>
      </c>
      <c r="J423" s="42">
        <f>VLOOKUP('Data 1'!$B423,'Data 2'!$A$1:$F$46,MATCH('Data 1'!J$1,'Data 2'!$A$1:$F$1,0),0)</f>
        <v>44</v>
      </c>
      <c r="K423" s="42">
        <f>VLOOKUP('Data 1'!$B423,'Data 2'!$A$1:$F$46,MATCH('Data 1'!K$1,'Data 2'!$A$1:$F$1,0),0)</f>
        <v>48.4</v>
      </c>
      <c r="L423" s="40">
        <f>SUM('Data 1'!$J423*'Data 1'!$C423)</f>
        <v>440</v>
      </c>
      <c r="M423" s="40">
        <f>'Data 1'!$C423*'Data 1'!$K423</f>
        <v>484</v>
      </c>
      <c r="N423" s="40">
        <f>'Data 1'!$M423-'Data 1'!$L423</f>
        <v>44</v>
      </c>
      <c r="O423" s="37">
        <f>DAY('Data 1'!$A423)</f>
        <v>15</v>
      </c>
      <c r="P423" s="37" t="str">
        <f>TEXT('Data 1'!$A423,"mmm")</f>
        <v>Aug</v>
      </c>
      <c r="Q423" s="41">
        <f>YEAR('Data 1'!$A423)</f>
        <v>2022</v>
      </c>
    </row>
    <row r="424" spans="1:17" x14ac:dyDescent="0.3">
      <c r="A424" s="35">
        <v>44788</v>
      </c>
      <c r="B424" s="36" t="s">
        <v>46</v>
      </c>
      <c r="C424" s="37">
        <v>7</v>
      </c>
      <c r="D424" s="37" t="s">
        <v>21</v>
      </c>
      <c r="E424" s="37" t="s">
        <v>17</v>
      </c>
      <c r="F424" s="38">
        <v>0</v>
      </c>
      <c r="G424" s="39" t="str">
        <f>VLOOKUP('Data 1'!$B424,'Data 2'!$A$1:$F$46,MATCH('Data 1'!G$1,'Data 2'!$A$1:$F$1,0),0)</f>
        <v>Product15</v>
      </c>
      <c r="H424" s="39" t="str">
        <f>VLOOKUP('Data 1'!$B424,'Data 2'!$A$1:$F$46,MATCH('Data 1'!H$1,'Data 2'!$A$1:$F$1,0),0)</f>
        <v>Category02</v>
      </c>
      <c r="I424" s="39" t="str">
        <f>VLOOKUP('Data 1'!$B424,'Data 2'!$A$1:$F$46,MATCH('Data 1'!I$1,'Data 2'!$A$1:$F$1,0),0)</f>
        <v>No.</v>
      </c>
      <c r="J424" s="39">
        <f>VLOOKUP('Data 1'!$B424,'Data 2'!$A$1:$F$46,MATCH('Data 1'!J$1,'Data 2'!$A$1:$F$1,0),0)</f>
        <v>12</v>
      </c>
      <c r="K424" s="39">
        <f>VLOOKUP('Data 1'!$B424,'Data 2'!$A$1:$F$46,MATCH('Data 1'!K$1,'Data 2'!$A$1:$F$1,0),0)</f>
        <v>15.719999999999999</v>
      </c>
      <c r="L424" s="40">
        <f>SUM('Data 1'!$J424*'Data 1'!$C424)</f>
        <v>84</v>
      </c>
      <c r="M424" s="40">
        <f>'Data 1'!$C424*'Data 1'!$K424</f>
        <v>110.03999999999999</v>
      </c>
      <c r="N424" s="40">
        <f>'Data 1'!$M424-'Data 1'!$L424</f>
        <v>26.039999999999992</v>
      </c>
      <c r="O424" s="37">
        <f>DAY('Data 1'!$A424)</f>
        <v>15</v>
      </c>
      <c r="P424" s="37" t="str">
        <f>TEXT('Data 1'!$A424,"mmm")</f>
        <v>Aug</v>
      </c>
      <c r="Q424" s="41">
        <f>YEAR('Data 1'!$A424)</f>
        <v>2022</v>
      </c>
    </row>
    <row r="425" spans="1:17" x14ac:dyDescent="0.3">
      <c r="A425" s="35">
        <v>44791</v>
      </c>
      <c r="B425" s="36" t="s">
        <v>38</v>
      </c>
      <c r="C425" s="37">
        <v>8</v>
      </c>
      <c r="D425" s="37" t="s">
        <v>17</v>
      </c>
      <c r="E425" s="37" t="s">
        <v>17</v>
      </c>
      <c r="F425" s="38">
        <v>0</v>
      </c>
      <c r="G425" s="42" t="str">
        <f>VLOOKUP('Data 1'!$B425,'Data 2'!$A$1:$F$46,MATCH('Data 1'!G$1,'Data 2'!$A$1:$F$1,0),0)</f>
        <v>Product29</v>
      </c>
      <c r="H425" s="42" t="str">
        <f>VLOOKUP('Data 1'!$B425,'Data 2'!$A$1:$F$46,MATCH('Data 1'!H$1,'Data 2'!$A$1:$F$1,0),0)</f>
        <v>Category04</v>
      </c>
      <c r="I425" s="42" t="str">
        <f>VLOOKUP('Data 1'!$B425,'Data 2'!$A$1:$F$46,MATCH('Data 1'!I$1,'Data 2'!$A$1:$F$1,0),0)</f>
        <v>Lt</v>
      </c>
      <c r="J425" s="42">
        <f>VLOOKUP('Data 1'!$B425,'Data 2'!$A$1:$F$46,MATCH('Data 1'!J$1,'Data 2'!$A$1:$F$1,0),0)</f>
        <v>47</v>
      </c>
      <c r="K425" s="42">
        <f>VLOOKUP('Data 1'!$B425,'Data 2'!$A$1:$F$46,MATCH('Data 1'!K$1,'Data 2'!$A$1:$F$1,0),0)</f>
        <v>53.11</v>
      </c>
      <c r="L425" s="40">
        <f>SUM('Data 1'!$J425*'Data 1'!$C425)</f>
        <v>376</v>
      </c>
      <c r="M425" s="40">
        <f>'Data 1'!$C425*'Data 1'!$K425</f>
        <v>424.88</v>
      </c>
      <c r="N425" s="40">
        <f>'Data 1'!$M425-'Data 1'!$L425</f>
        <v>48.879999999999995</v>
      </c>
      <c r="O425" s="37">
        <f>DAY('Data 1'!$A425)</f>
        <v>18</v>
      </c>
      <c r="P425" s="37" t="str">
        <f>TEXT('Data 1'!$A425,"mmm")</f>
        <v>Aug</v>
      </c>
      <c r="Q425" s="41">
        <f>YEAR('Data 1'!$A425)</f>
        <v>2022</v>
      </c>
    </row>
    <row r="426" spans="1:17" x14ac:dyDescent="0.3">
      <c r="A426" s="35">
        <v>44791</v>
      </c>
      <c r="B426" s="36" t="s">
        <v>39</v>
      </c>
      <c r="C426" s="37">
        <v>2</v>
      </c>
      <c r="D426" s="37" t="s">
        <v>17</v>
      </c>
      <c r="E426" s="37" t="s">
        <v>19</v>
      </c>
      <c r="F426" s="38">
        <v>0</v>
      </c>
      <c r="G426" s="39" t="str">
        <f>VLOOKUP('Data 1'!$B426,'Data 2'!$A$1:$F$46,MATCH('Data 1'!G$1,'Data 2'!$A$1:$F$1,0),0)</f>
        <v>Product10</v>
      </c>
      <c r="H426" s="39" t="str">
        <f>VLOOKUP('Data 1'!$B426,'Data 2'!$A$1:$F$46,MATCH('Data 1'!H$1,'Data 2'!$A$1:$F$1,0),0)</f>
        <v>Category02</v>
      </c>
      <c r="I426" s="39" t="str">
        <f>VLOOKUP('Data 1'!$B426,'Data 2'!$A$1:$F$46,MATCH('Data 1'!I$1,'Data 2'!$A$1:$F$1,0),0)</f>
        <v>Ft</v>
      </c>
      <c r="J426" s="39">
        <f>VLOOKUP('Data 1'!$B426,'Data 2'!$A$1:$F$46,MATCH('Data 1'!J$1,'Data 2'!$A$1:$F$1,0),0)</f>
        <v>148</v>
      </c>
      <c r="K426" s="39">
        <f>VLOOKUP('Data 1'!$B426,'Data 2'!$A$1:$F$46,MATCH('Data 1'!K$1,'Data 2'!$A$1:$F$1,0),0)</f>
        <v>164.28</v>
      </c>
      <c r="L426" s="40">
        <f>SUM('Data 1'!$J426*'Data 1'!$C426)</f>
        <v>296</v>
      </c>
      <c r="M426" s="40">
        <f>'Data 1'!$C426*'Data 1'!$K426</f>
        <v>328.56</v>
      </c>
      <c r="N426" s="40">
        <f>'Data 1'!$M426-'Data 1'!$L426</f>
        <v>32.56</v>
      </c>
      <c r="O426" s="37">
        <f>DAY('Data 1'!$A426)</f>
        <v>18</v>
      </c>
      <c r="P426" s="37" t="str">
        <f>TEXT('Data 1'!$A426,"mmm")</f>
        <v>Aug</v>
      </c>
      <c r="Q426" s="41">
        <f>YEAR('Data 1'!$A426)</f>
        <v>2022</v>
      </c>
    </row>
    <row r="427" spans="1:17" x14ac:dyDescent="0.3">
      <c r="A427" s="35">
        <v>44792</v>
      </c>
      <c r="B427" s="36" t="s">
        <v>55</v>
      </c>
      <c r="C427" s="37">
        <v>3</v>
      </c>
      <c r="D427" s="37" t="s">
        <v>17</v>
      </c>
      <c r="E427" s="37" t="s">
        <v>17</v>
      </c>
      <c r="F427" s="38">
        <v>0</v>
      </c>
      <c r="G427" s="42" t="str">
        <f>VLOOKUP('Data 1'!$B427,'Data 2'!$A$1:$F$46,MATCH('Data 1'!G$1,'Data 2'!$A$1:$F$1,0),0)</f>
        <v>Product07</v>
      </c>
      <c r="H427" s="42" t="str">
        <f>VLOOKUP('Data 1'!$B427,'Data 2'!$A$1:$F$46,MATCH('Data 1'!H$1,'Data 2'!$A$1:$F$1,0),0)</f>
        <v>Category01</v>
      </c>
      <c r="I427" s="42" t="str">
        <f>VLOOKUP('Data 1'!$B427,'Data 2'!$A$1:$F$46,MATCH('Data 1'!I$1,'Data 2'!$A$1:$F$1,0),0)</f>
        <v>Lt</v>
      </c>
      <c r="J427" s="42">
        <f>VLOOKUP('Data 1'!$B427,'Data 2'!$A$1:$F$46,MATCH('Data 1'!J$1,'Data 2'!$A$1:$F$1,0),0)</f>
        <v>43</v>
      </c>
      <c r="K427" s="42">
        <f>VLOOKUP('Data 1'!$B427,'Data 2'!$A$1:$F$46,MATCH('Data 1'!K$1,'Data 2'!$A$1:$F$1,0),0)</f>
        <v>47.730000000000004</v>
      </c>
      <c r="L427" s="40">
        <f>SUM('Data 1'!$J427*'Data 1'!$C427)</f>
        <v>129</v>
      </c>
      <c r="M427" s="40">
        <f>'Data 1'!$C427*'Data 1'!$K427</f>
        <v>143.19</v>
      </c>
      <c r="N427" s="40">
        <f>'Data 1'!$M427-'Data 1'!$L427</f>
        <v>14.189999999999998</v>
      </c>
      <c r="O427" s="37">
        <f>DAY('Data 1'!$A427)</f>
        <v>19</v>
      </c>
      <c r="P427" s="37" t="str">
        <f>TEXT('Data 1'!$A427,"mmm")</f>
        <v>Aug</v>
      </c>
      <c r="Q427" s="41">
        <f>YEAR('Data 1'!$A427)</f>
        <v>2022</v>
      </c>
    </row>
    <row r="428" spans="1:17" x14ac:dyDescent="0.3">
      <c r="A428" s="35">
        <v>44793</v>
      </c>
      <c r="B428" s="36" t="s">
        <v>31</v>
      </c>
      <c r="C428" s="37">
        <v>13</v>
      </c>
      <c r="D428" s="37" t="s">
        <v>21</v>
      </c>
      <c r="E428" s="37" t="s">
        <v>17</v>
      </c>
      <c r="F428" s="38">
        <v>0</v>
      </c>
      <c r="G428" s="39" t="str">
        <f>VLOOKUP('Data 1'!$B428,'Data 2'!$A$1:$F$46,MATCH('Data 1'!G$1,'Data 2'!$A$1:$F$1,0),0)</f>
        <v>Product23</v>
      </c>
      <c r="H428" s="39" t="str">
        <f>VLOOKUP('Data 1'!$B428,'Data 2'!$A$1:$F$46,MATCH('Data 1'!H$1,'Data 2'!$A$1:$F$1,0),0)</f>
        <v>Category03</v>
      </c>
      <c r="I428" s="39" t="str">
        <f>VLOOKUP('Data 1'!$B428,'Data 2'!$A$1:$F$46,MATCH('Data 1'!I$1,'Data 2'!$A$1:$F$1,0),0)</f>
        <v>Ft</v>
      </c>
      <c r="J428" s="39">
        <f>VLOOKUP('Data 1'!$B428,'Data 2'!$A$1:$F$46,MATCH('Data 1'!J$1,'Data 2'!$A$1:$F$1,0),0)</f>
        <v>141</v>
      </c>
      <c r="K428" s="39">
        <f>VLOOKUP('Data 1'!$B428,'Data 2'!$A$1:$F$46,MATCH('Data 1'!K$1,'Data 2'!$A$1:$F$1,0),0)</f>
        <v>149.46</v>
      </c>
      <c r="L428" s="40">
        <f>SUM('Data 1'!$J428*'Data 1'!$C428)</f>
        <v>1833</v>
      </c>
      <c r="M428" s="40">
        <f>'Data 1'!$C428*'Data 1'!$K428</f>
        <v>1942.98</v>
      </c>
      <c r="N428" s="40">
        <f>'Data 1'!$M428-'Data 1'!$L428</f>
        <v>109.98000000000002</v>
      </c>
      <c r="O428" s="37">
        <f>DAY('Data 1'!$A428)</f>
        <v>20</v>
      </c>
      <c r="P428" s="37" t="str">
        <f>TEXT('Data 1'!$A428,"mmm")</f>
        <v>Aug</v>
      </c>
      <c r="Q428" s="41">
        <f>YEAR('Data 1'!$A428)</f>
        <v>2022</v>
      </c>
    </row>
    <row r="429" spans="1:17" x14ac:dyDescent="0.3">
      <c r="A429" s="35">
        <v>44793</v>
      </c>
      <c r="B429" s="36" t="s">
        <v>57</v>
      </c>
      <c r="C429" s="37">
        <v>14</v>
      </c>
      <c r="D429" s="37" t="s">
        <v>21</v>
      </c>
      <c r="E429" s="37" t="s">
        <v>17</v>
      </c>
      <c r="F429" s="38">
        <v>0</v>
      </c>
      <c r="G429" s="42" t="str">
        <f>VLOOKUP('Data 1'!$B429,'Data 2'!$A$1:$F$46,MATCH('Data 1'!G$1,'Data 2'!$A$1:$F$1,0),0)</f>
        <v>Product33</v>
      </c>
      <c r="H429" s="42" t="str">
        <f>VLOOKUP('Data 1'!$B429,'Data 2'!$A$1:$F$46,MATCH('Data 1'!H$1,'Data 2'!$A$1:$F$1,0),0)</f>
        <v>Category04</v>
      </c>
      <c r="I429" s="42" t="str">
        <f>VLOOKUP('Data 1'!$B429,'Data 2'!$A$1:$F$46,MATCH('Data 1'!I$1,'Data 2'!$A$1:$F$1,0),0)</f>
        <v>Kg</v>
      </c>
      <c r="J429" s="42">
        <f>VLOOKUP('Data 1'!$B429,'Data 2'!$A$1:$F$46,MATCH('Data 1'!J$1,'Data 2'!$A$1:$F$1,0),0)</f>
        <v>95</v>
      </c>
      <c r="K429" s="42">
        <f>VLOOKUP('Data 1'!$B429,'Data 2'!$A$1:$F$46,MATCH('Data 1'!K$1,'Data 2'!$A$1:$F$1,0),0)</f>
        <v>119.7</v>
      </c>
      <c r="L429" s="40">
        <f>SUM('Data 1'!$J429*'Data 1'!$C429)</f>
        <v>1330</v>
      </c>
      <c r="M429" s="40">
        <f>'Data 1'!$C429*'Data 1'!$K429</f>
        <v>1675.8</v>
      </c>
      <c r="N429" s="40">
        <f>'Data 1'!$M429-'Data 1'!$L429</f>
        <v>345.79999999999995</v>
      </c>
      <c r="O429" s="37">
        <f>DAY('Data 1'!$A429)</f>
        <v>20</v>
      </c>
      <c r="P429" s="37" t="str">
        <f>TEXT('Data 1'!$A429,"mmm")</f>
        <v>Aug</v>
      </c>
      <c r="Q429" s="41">
        <f>YEAR('Data 1'!$A429)</f>
        <v>2022</v>
      </c>
    </row>
    <row r="430" spans="1:17" x14ac:dyDescent="0.3">
      <c r="A430" s="35">
        <v>44794</v>
      </c>
      <c r="B430" s="36" t="s">
        <v>40</v>
      </c>
      <c r="C430" s="37">
        <v>4</v>
      </c>
      <c r="D430" s="37" t="s">
        <v>21</v>
      </c>
      <c r="E430" s="37" t="s">
        <v>17</v>
      </c>
      <c r="F430" s="38">
        <v>0</v>
      </c>
      <c r="G430" s="39" t="str">
        <f>VLOOKUP('Data 1'!$B430,'Data 2'!$A$1:$F$46,MATCH('Data 1'!G$1,'Data 2'!$A$1:$F$1,0),0)</f>
        <v>Product16</v>
      </c>
      <c r="H430" s="39" t="str">
        <f>VLOOKUP('Data 1'!$B430,'Data 2'!$A$1:$F$46,MATCH('Data 1'!H$1,'Data 2'!$A$1:$F$1,0),0)</f>
        <v>Category02</v>
      </c>
      <c r="I430" s="39" t="str">
        <f>VLOOKUP('Data 1'!$B430,'Data 2'!$A$1:$F$46,MATCH('Data 1'!I$1,'Data 2'!$A$1:$F$1,0),0)</f>
        <v>No.</v>
      </c>
      <c r="J430" s="39">
        <f>VLOOKUP('Data 1'!$B430,'Data 2'!$A$1:$F$46,MATCH('Data 1'!J$1,'Data 2'!$A$1:$F$1,0),0)</f>
        <v>13</v>
      </c>
      <c r="K430" s="39">
        <f>VLOOKUP('Data 1'!$B430,'Data 2'!$A$1:$F$46,MATCH('Data 1'!K$1,'Data 2'!$A$1:$F$1,0),0)</f>
        <v>16.64</v>
      </c>
      <c r="L430" s="40">
        <f>SUM('Data 1'!$J430*'Data 1'!$C430)</f>
        <v>52</v>
      </c>
      <c r="M430" s="40">
        <f>'Data 1'!$C430*'Data 1'!$K430</f>
        <v>66.56</v>
      </c>
      <c r="N430" s="40">
        <f>'Data 1'!$M430-'Data 1'!$L430</f>
        <v>14.560000000000002</v>
      </c>
      <c r="O430" s="37">
        <f>DAY('Data 1'!$A430)</f>
        <v>21</v>
      </c>
      <c r="P430" s="37" t="str">
        <f>TEXT('Data 1'!$A430,"mmm")</f>
        <v>Aug</v>
      </c>
      <c r="Q430" s="41">
        <f>YEAR('Data 1'!$A430)</f>
        <v>2022</v>
      </c>
    </row>
    <row r="431" spans="1:17" x14ac:dyDescent="0.3">
      <c r="A431" s="35">
        <v>44796</v>
      </c>
      <c r="B431" s="36" t="s">
        <v>30</v>
      </c>
      <c r="C431" s="37">
        <v>11</v>
      </c>
      <c r="D431" s="37" t="s">
        <v>17</v>
      </c>
      <c r="E431" s="37" t="s">
        <v>17</v>
      </c>
      <c r="F431" s="38">
        <v>0</v>
      </c>
      <c r="G431" s="42" t="str">
        <f>VLOOKUP('Data 1'!$B431,'Data 2'!$A$1:$F$46,MATCH('Data 1'!G$1,'Data 2'!$A$1:$F$1,0),0)</f>
        <v>Product44</v>
      </c>
      <c r="H431" s="42" t="str">
        <f>VLOOKUP('Data 1'!$B431,'Data 2'!$A$1:$F$46,MATCH('Data 1'!H$1,'Data 2'!$A$1:$F$1,0),0)</f>
        <v>Category05</v>
      </c>
      <c r="I431" s="42" t="str">
        <f>VLOOKUP('Data 1'!$B431,'Data 2'!$A$1:$F$46,MATCH('Data 1'!I$1,'Data 2'!$A$1:$F$1,0),0)</f>
        <v>Kg</v>
      </c>
      <c r="J431" s="42">
        <f>VLOOKUP('Data 1'!$B431,'Data 2'!$A$1:$F$46,MATCH('Data 1'!J$1,'Data 2'!$A$1:$F$1,0),0)</f>
        <v>76</v>
      </c>
      <c r="K431" s="42">
        <f>VLOOKUP('Data 1'!$B431,'Data 2'!$A$1:$F$46,MATCH('Data 1'!K$1,'Data 2'!$A$1:$F$1,0),0)</f>
        <v>82.08</v>
      </c>
      <c r="L431" s="40">
        <f>SUM('Data 1'!$J431*'Data 1'!$C431)</f>
        <v>836</v>
      </c>
      <c r="M431" s="40">
        <f>'Data 1'!$C431*'Data 1'!$K431</f>
        <v>902.88</v>
      </c>
      <c r="N431" s="40">
        <f>'Data 1'!$M431-'Data 1'!$L431</f>
        <v>66.88</v>
      </c>
      <c r="O431" s="37">
        <f>DAY('Data 1'!$A431)</f>
        <v>23</v>
      </c>
      <c r="P431" s="37" t="str">
        <f>TEXT('Data 1'!$A431,"mmm")</f>
        <v>Aug</v>
      </c>
      <c r="Q431" s="41">
        <f>YEAR('Data 1'!$A431)</f>
        <v>2022</v>
      </c>
    </row>
    <row r="432" spans="1:17" x14ac:dyDescent="0.3">
      <c r="A432" s="35">
        <v>44796</v>
      </c>
      <c r="B432" s="36" t="s">
        <v>38</v>
      </c>
      <c r="C432" s="37">
        <v>14</v>
      </c>
      <c r="D432" s="37" t="s">
        <v>21</v>
      </c>
      <c r="E432" s="37" t="s">
        <v>19</v>
      </c>
      <c r="F432" s="38">
        <v>0</v>
      </c>
      <c r="G432" s="39" t="str">
        <f>VLOOKUP('Data 1'!$B432,'Data 2'!$A$1:$F$46,MATCH('Data 1'!G$1,'Data 2'!$A$1:$F$1,0),0)</f>
        <v>Product29</v>
      </c>
      <c r="H432" s="39" t="str">
        <f>VLOOKUP('Data 1'!$B432,'Data 2'!$A$1:$F$46,MATCH('Data 1'!H$1,'Data 2'!$A$1:$F$1,0),0)</f>
        <v>Category04</v>
      </c>
      <c r="I432" s="39" t="str">
        <f>VLOOKUP('Data 1'!$B432,'Data 2'!$A$1:$F$46,MATCH('Data 1'!I$1,'Data 2'!$A$1:$F$1,0),0)</f>
        <v>Lt</v>
      </c>
      <c r="J432" s="39">
        <f>VLOOKUP('Data 1'!$B432,'Data 2'!$A$1:$F$46,MATCH('Data 1'!J$1,'Data 2'!$A$1:$F$1,0),0)</f>
        <v>47</v>
      </c>
      <c r="K432" s="39">
        <f>VLOOKUP('Data 1'!$B432,'Data 2'!$A$1:$F$46,MATCH('Data 1'!K$1,'Data 2'!$A$1:$F$1,0),0)</f>
        <v>53.11</v>
      </c>
      <c r="L432" s="40">
        <f>SUM('Data 1'!$J432*'Data 1'!$C432)</f>
        <v>658</v>
      </c>
      <c r="M432" s="40">
        <f>'Data 1'!$C432*'Data 1'!$K432</f>
        <v>743.54</v>
      </c>
      <c r="N432" s="40">
        <f>'Data 1'!$M432-'Data 1'!$L432</f>
        <v>85.539999999999964</v>
      </c>
      <c r="O432" s="37">
        <f>DAY('Data 1'!$A432)</f>
        <v>23</v>
      </c>
      <c r="P432" s="37" t="str">
        <f>TEXT('Data 1'!$A432,"mmm")</f>
        <v>Aug</v>
      </c>
      <c r="Q432" s="41">
        <f>YEAR('Data 1'!$A432)</f>
        <v>2022</v>
      </c>
    </row>
    <row r="433" spans="1:17" x14ac:dyDescent="0.3">
      <c r="A433" s="35">
        <v>44797</v>
      </c>
      <c r="B433" s="36" t="s">
        <v>43</v>
      </c>
      <c r="C433" s="37">
        <v>5</v>
      </c>
      <c r="D433" s="37" t="s">
        <v>21</v>
      </c>
      <c r="E433" s="37" t="s">
        <v>19</v>
      </c>
      <c r="F433" s="38">
        <v>0</v>
      </c>
      <c r="G433" s="42" t="str">
        <f>VLOOKUP('Data 1'!$B433,'Data 2'!$A$1:$F$46,MATCH('Data 1'!G$1,'Data 2'!$A$1:$F$1,0),0)</f>
        <v>Product05</v>
      </c>
      <c r="H433" s="42" t="str">
        <f>VLOOKUP('Data 1'!$B433,'Data 2'!$A$1:$F$46,MATCH('Data 1'!H$1,'Data 2'!$A$1:$F$1,0),0)</f>
        <v>Category01</v>
      </c>
      <c r="I433" s="42" t="str">
        <f>VLOOKUP('Data 1'!$B433,'Data 2'!$A$1:$F$46,MATCH('Data 1'!I$1,'Data 2'!$A$1:$F$1,0),0)</f>
        <v>Ft</v>
      </c>
      <c r="J433" s="42">
        <f>VLOOKUP('Data 1'!$B433,'Data 2'!$A$1:$F$46,MATCH('Data 1'!J$1,'Data 2'!$A$1:$F$1,0),0)</f>
        <v>133</v>
      </c>
      <c r="K433" s="42">
        <f>VLOOKUP('Data 1'!$B433,'Data 2'!$A$1:$F$46,MATCH('Data 1'!K$1,'Data 2'!$A$1:$F$1,0),0)</f>
        <v>155.61000000000001</v>
      </c>
      <c r="L433" s="40">
        <f>SUM('Data 1'!$J433*'Data 1'!$C433)</f>
        <v>665</v>
      </c>
      <c r="M433" s="40">
        <f>'Data 1'!$C433*'Data 1'!$K433</f>
        <v>778.05000000000007</v>
      </c>
      <c r="N433" s="40">
        <f>'Data 1'!$M433-'Data 1'!$L433</f>
        <v>113.05000000000007</v>
      </c>
      <c r="O433" s="37">
        <f>DAY('Data 1'!$A433)</f>
        <v>24</v>
      </c>
      <c r="P433" s="37" t="str">
        <f>TEXT('Data 1'!$A433,"mmm")</f>
        <v>Aug</v>
      </c>
      <c r="Q433" s="41">
        <f>YEAR('Data 1'!$A433)</f>
        <v>2022</v>
      </c>
    </row>
    <row r="434" spans="1:17" x14ac:dyDescent="0.3">
      <c r="A434" s="35">
        <v>44799</v>
      </c>
      <c r="B434" s="36" t="s">
        <v>59</v>
      </c>
      <c r="C434" s="37">
        <v>13</v>
      </c>
      <c r="D434" s="37" t="s">
        <v>16</v>
      </c>
      <c r="E434" s="37" t="s">
        <v>19</v>
      </c>
      <c r="F434" s="38">
        <v>0</v>
      </c>
      <c r="G434" s="39" t="str">
        <f>VLOOKUP('Data 1'!$B434,'Data 2'!$A$1:$F$46,MATCH('Data 1'!G$1,'Data 2'!$A$1:$F$1,0),0)</f>
        <v>Product19</v>
      </c>
      <c r="H434" s="39" t="str">
        <f>VLOOKUP('Data 1'!$B434,'Data 2'!$A$1:$F$46,MATCH('Data 1'!H$1,'Data 2'!$A$1:$F$1,0),0)</f>
        <v>Category02</v>
      </c>
      <c r="I434" s="39" t="str">
        <f>VLOOKUP('Data 1'!$B434,'Data 2'!$A$1:$F$46,MATCH('Data 1'!I$1,'Data 2'!$A$1:$F$1,0),0)</f>
        <v>Ft</v>
      </c>
      <c r="J434" s="39">
        <f>VLOOKUP('Data 1'!$B434,'Data 2'!$A$1:$F$46,MATCH('Data 1'!J$1,'Data 2'!$A$1:$F$1,0),0)</f>
        <v>150</v>
      </c>
      <c r="K434" s="39">
        <f>VLOOKUP('Data 1'!$B434,'Data 2'!$A$1:$F$46,MATCH('Data 1'!K$1,'Data 2'!$A$1:$F$1,0),0)</f>
        <v>210</v>
      </c>
      <c r="L434" s="40">
        <f>SUM('Data 1'!$J434*'Data 1'!$C434)</f>
        <v>1950</v>
      </c>
      <c r="M434" s="40">
        <f>'Data 1'!$C434*'Data 1'!$K434</f>
        <v>2730</v>
      </c>
      <c r="N434" s="40">
        <f>'Data 1'!$M434-'Data 1'!$L434</f>
        <v>780</v>
      </c>
      <c r="O434" s="37">
        <f>DAY('Data 1'!$A434)</f>
        <v>26</v>
      </c>
      <c r="P434" s="37" t="str">
        <f>TEXT('Data 1'!$A434,"mmm")</f>
        <v>Aug</v>
      </c>
      <c r="Q434" s="41">
        <f>YEAR('Data 1'!$A434)</f>
        <v>2022</v>
      </c>
    </row>
    <row r="435" spans="1:17" x14ac:dyDescent="0.3">
      <c r="A435" s="35">
        <v>44799</v>
      </c>
      <c r="B435" s="36" t="s">
        <v>27</v>
      </c>
      <c r="C435" s="37">
        <v>8</v>
      </c>
      <c r="D435" s="37" t="s">
        <v>17</v>
      </c>
      <c r="E435" s="37" t="s">
        <v>17</v>
      </c>
      <c r="F435" s="38">
        <v>0</v>
      </c>
      <c r="G435" s="42" t="str">
        <f>VLOOKUP('Data 1'!$B435,'Data 2'!$A$1:$F$46,MATCH('Data 1'!G$1,'Data 2'!$A$1:$F$1,0),0)</f>
        <v>Product37</v>
      </c>
      <c r="H435" s="42" t="str">
        <f>VLOOKUP('Data 1'!$B435,'Data 2'!$A$1:$F$46,MATCH('Data 1'!H$1,'Data 2'!$A$1:$F$1,0),0)</f>
        <v>Category05</v>
      </c>
      <c r="I435" s="42" t="str">
        <f>VLOOKUP('Data 1'!$B435,'Data 2'!$A$1:$F$46,MATCH('Data 1'!I$1,'Data 2'!$A$1:$F$1,0),0)</f>
        <v>Kg</v>
      </c>
      <c r="J435" s="42">
        <f>VLOOKUP('Data 1'!$B435,'Data 2'!$A$1:$F$46,MATCH('Data 1'!J$1,'Data 2'!$A$1:$F$1,0),0)</f>
        <v>67</v>
      </c>
      <c r="K435" s="42">
        <f>VLOOKUP('Data 1'!$B435,'Data 2'!$A$1:$F$46,MATCH('Data 1'!K$1,'Data 2'!$A$1:$F$1,0),0)</f>
        <v>85.76</v>
      </c>
      <c r="L435" s="40">
        <f>SUM('Data 1'!$J435*'Data 1'!$C435)</f>
        <v>536</v>
      </c>
      <c r="M435" s="40">
        <f>'Data 1'!$C435*'Data 1'!$K435</f>
        <v>686.08</v>
      </c>
      <c r="N435" s="40">
        <f>'Data 1'!$M435-'Data 1'!$L435</f>
        <v>150.08000000000004</v>
      </c>
      <c r="O435" s="37">
        <f>DAY('Data 1'!$A435)</f>
        <v>26</v>
      </c>
      <c r="P435" s="37" t="str">
        <f>TEXT('Data 1'!$A435,"mmm")</f>
        <v>Aug</v>
      </c>
      <c r="Q435" s="41">
        <f>YEAR('Data 1'!$A435)</f>
        <v>2022</v>
      </c>
    </row>
    <row r="436" spans="1:17" x14ac:dyDescent="0.3">
      <c r="A436" s="35">
        <v>44800</v>
      </c>
      <c r="B436" s="36" t="s">
        <v>53</v>
      </c>
      <c r="C436" s="37">
        <v>15</v>
      </c>
      <c r="D436" s="37" t="s">
        <v>16</v>
      </c>
      <c r="E436" s="37" t="s">
        <v>17</v>
      </c>
      <c r="F436" s="38">
        <v>0</v>
      </c>
      <c r="G436" s="39" t="str">
        <f>VLOOKUP('Data 1'!$B436,'Data 2'!$A$1:$F$46,MATCH('Data 1'!G$1,'Data 2'!$A$1:$F$1,0),0)</f>
        <v>Product39</v>
      </c>
      <c r="H436" s="39" t="str">
        <f>VLOOKUP('Data 1'!$B436,'Data 2'!$A$1:$F$46,MATCH('Data 1'!H$1,'Data 2'!$A$1:$F$1,0),0)</f>
        <v>Category05</v>
      </c>
      <c r="I436" s="39" t="str">
        <f>VLOOKUP('Data 1'!$B436,'Data 2'!$A$1:$F$46,MATCH('Data 1'!I$1,'Data 2'!$A$1:$F$1,0),0)</f>
        <v>No.</v>
      </c>
      <c r="J436" s="39">
        <f>VLOOKUP('Data 1'!$B436,'Data 2'!$A$1:$F$46,MATCH('Data 1'!J$1,'Data 2'!$A$1:$F$1,0),0)</f>
        <v>37</v>
      </c>
      <c r="K436" s="39">
        <f>VLOOKUP('Data 1'!$B436,'Data 2'!$A$1:$F$46,MATCH('Data 1'!K$1,'Data 2'!$A$1:$F$1,0),0)</f>
        <v>42.55</v>
      </c>
      <c r="L436" s="40">
        <f>SUM('Data 1'!$J436*'Data 1'!$C436)</f>
        <v>555</v>
      </c>
      <c r="M436" s="40">
        <f>'Data 1'!$C436*'Data 1'!$K436</f>
        <v>638.25</v>
      </c>
      <c r="N436" s="40">
        <f>'Data 1'!$M436-'Data 1'!$L436</f>
        <v>83.25</v>
      </c>
      <c r="O436" s="37">
        <f>DAY('Data 1'!$A436)</f>
        <v>27</v>
      </c>
      <c r="P436" s="37" t="str">
        <f>TEXT('Data 1'!$A436,"mmm")</f>
        <v>Aug</v>
      </c>
      <c r="Q436" s="41">
        <f>YEAR('Data 1'!$A436)</f>
        <v>2022</v>
      </c>
    </row>
    <row r="437" spans="1:17" x14ac:dyDescent="0.3">
      <c r="A437" s="35">
        <v>44801</v>
      </c>
      <c r="B437" s="36" t="s">
        <v>43</v>
      </c>
      <c r="C437" s="37">
        <v>9</v>
      </c>
      <c r="D437" s="37" t="s">
        <v>17</v>
      </c>
      <c r="E437" s="37" t="s">
        <v>17</v>
      </c>
      <c r="F437" s="38">
        <v>0</v>
      </c>
      <c r="G437" s="42" t="str">
        <f>VLOOKUP('Data 1'!$B437,'Data 2'!$A$1:$F$46,MATCH('Data 1'!G$1,'Data 2'!$A$1:$F$1,0),0)</f>
        <v>Product05</v>
      </c>
      <c r="H437" s="42" t="str">
        <f>VLOOKUP('Data 1'!$B437,'Data 2'!$A$1:$F$46,MATCH('Data 1'!H$1,'Data 2'!$A$1:$F$1,0),0)</f>
        <v>Category01</v>
      </c>
      <c r="I437" s="42" t="str">
        <f>VLOOKUP('Data 1'!$B437,'Data 2'!$A$1:$F$46,MATCH('Data 1'!I$1,'Data 2'!$A$1:$F$1,0),0)</f>
        <v>Ft</v>
      </c>
      <c r="J437" s="42">
        <f>VLOOKUP('Data 1'!$B437,'Data 2'!$A$1:$F$46,MATCH('Data 1'!J$1,'Data 2'!$A$1:$F$1,0),0)</f>
        <v>133</v>
      </c>
      <c r="K437" s="42">
        <f>VLOOKUP('Data 1'!$B437,'Data 2'!$A$1:$F$46,MATCH('Data 1'!K$1,'Data 2'!$A$1:$F$1,0),0)</f>
        <v>155.61000000000001</v>
      </c>
      <c r="L437" s="40">
        <f>SUM('Data 1'!$J437*'Data 1'!$C437)</f>
        <v>1197</v>
      </c>
      <c r="M437" s="40">
        <f>'Data 1'!$C437*'Data 1'!$K437</f>
        <v>1400.4900000000002</v>
      </c>
      <c r="N437" s="40">
        <f>'Data 1'!$M437-'Data 1'!$L437</f>
        <v>203.49000000000024</v>
      </c>
      <c r="O437" s="37">
        <f>DAY('Data 1'!$A437)</f>
        <v>28</v>
      </c>
      <c r="P437" s="37" t="str">
        <f>TEXT('Data 1'!$A437,"mmm")</f>
        <v>Aug</v>
      </c>
      <c r="Q437" s="41">
        <f>YEAR('Data 1'!$A437)</f>
        <v>2022</v>
      </c>
    </row>
    <row r="438" spans="1:17" x14ac:dyDescent="0.3">
      <c r="A438" s="35">
        <v>44801</v>
      </c>
      <c r="B438" s="36" t="s">
        <v>53</v>
      </c>
      <c r="C438" s="37">
        <v>5</v>
      </c>
      <c r="D438" s="37" t="s">
        <v>21</v>
      </c>
      <c r="E438" s="37" t="s">
        <v>17</v>
      </c>
      <c r="F438" s="38">
        <v>0</v>
      </c>
      <c r="G438" s="39" t="str">
        <f>VLOOKUP('Data 1'!$B438,'Data 2'!$A$1:$F$46,MATCH('Data 1'!G$1,'Data 2'!$A$1:$F$1,0),0)</f>
        <v>Product39</v>
      </c>
      <c r="H438" s="39" t="str">
        <f>VLOOKUP('Data 1'!$B438,'Data 2'!$A$1:$F$46,MATCH('Data 1'!H$1,'Data 2'!$A$1:$F$1,0),0)</f>
        <v>Category05</v>
      </c>
      <c r="I438" s="39" t="str">
        <f>VLOOKUP('Data 1'!$B438,'Data 2'!$A$1:$F$46,MATCH('Data 1'!I$1,'Data 2'!$A$1:$F$1,0),0)</f>
        <v>No.</v>
      </c>
      <c r="J438" s="39">
        <f>VLOOKUP('Data 1'!$B438,'Data 2'!$A$1:$F$46,MATCH('Data 1'!J$1,'Data 2'!$A$1:$F$1,0),0)</f>
        <v>37</v>
      </c>
      <c r="K438" s="39">
        <f>VLOOKUP('Data 1'!$B438,'Data 2'!$A$1:$F$46,MATCH('Data 1'!K$1,'Data 2'!$A$1:$F$1,0),0)</f>
        <v>42.55</v>
      </c>
      <c r="L438" s="40">
        <f>SUM('Data 1'!$J438*'Data 1'!$C438)</f>
        <v>185</v>
      </c>
      <c r="M438" s="40">
        <f>'Data 1'!$C438*'Data 1'!$K438</f>
        <v>212.75</v>
      </c>
      <c r="N438" s="40">
        <f>'Data 1'!$M438-'Data 1'!$L438</f>
        <v>27.75</v>
      </c>
      <c r="O438" s="37">
        <f>DAY('Data 1'!$A438)</f>
        <v>28</v>
      </c>
      <c r="P438" s="37" t="str">
        <f>TEXT('Data 1'!$A438,"mmm")</f>
        <v>Aug</v>
      </c>
      <c r="Q438" s="41">
        <f>YEAR('Data 1'!$A438)</f>
        <v>2022</v>
      </c>
    </row>
    <row r="439" spans="1:17" x14ac:dyDescent="0.3">
      <c r="A439" s="35">
        <v>44803</v>
      </c>
      <c r="B439" s="36" t="s">
        <v>34</v>
      </c>
      <c r="C439" s="37">
        <v>6</v>
      </c>
      <c r="D439" s="37" t="s">
        <v>17</v>
      </c>
      <c r="E439" s="37" t="s">
        <v>19</v>
      </c>
      <c r="F439" s="38">
        <v>0</v>
      </c>
      <c r="G439" s="42" t="str">
        <f>VLOOKUP('Data 1'!$B439,'Data 2'!$A$1:$F$46,MATCH('Data 1'!G$1,'Data 2'!$A$1:$F$1,0),0)</f>
        <v>Product06</v>
      </c>
      <c r="H439" s="42" t="str">
        <f>VLOOKUP('Data 1'!$B439,'Data 2'!$A$1:$F$46,MATCH('Data 1'!H$1,'Data 2'!$A$1:$F$1,0),0)</f>
        <v>Category01</v>
      </c>
      <c r="I439" s="42" t="str">
        <f>VLOOKUP('Data 1'!$B439,'Data 2'!$A$1:$F$46,MATCH('Data 1'!I$1,'Data 2'!$A$1:$F$1,0),0)</f>
        <v>Kg</v>
      </c>
      <c r="J439" s="42">
        <f>VLOOKUP('Data 1'!$B439,'Data 2'!$A$1:$F$46,MATCH('Data 1'!J$1,'Data 2'!$A$1:$F$1,0),0)</f>
        <v>75</v>
      </c>
      <c r="K439" s="42">
        <f>VLOOKUP('Data 1'!$B439,'Data 2'!$A$1:$F$46,MATCH('Data 1'!K$1,'Data 2'!$A$1:$F$1,0),0)</f>
        <v>85.5</v>
      </c>
      <c r="L439" s="40">
        <f>SUM('Data 1'!$J439*'Data 1'!$C439)</f>
        <v>450</v>
      </c>
      <c r="M439" s="40">
        <f>'Data 1'!$C439*'Data 1'!$K439</f>
        <v>513</v>
      </c>
      <c r="N439" s="40">
        <f>'Data 1'!$M439-'Data 1'!$L439</f>
        <v>63</v>
      </c>
      <c r="O439" s="37">
        <f>DAY('Data 1'!$A439)</f>
        <v>30</v>
      </c>
      <c r="P439" s="37" t="str">
        <f>TEXT('Data 1'!$A439,"mmm")</f>
        <v>Aug</v>
      </c>
      <c r="Q439" s="41">
        <f>YEAR('Data 1'!$A439)</f>
        <v>2022</v>
      </c>
    </row>
    <row r="440" spans="1:17" x14ac:dyDescent="0.3">
      <c r="A440" s="35">
        <v>44803</v>
      </c>
      <c r="B440" s="36" t="s">
        <v>42</v>
      </c>
      <c r="C440" s="37">
        <v>6</v>
      </c>
      <c r="D440" s="37" t="s">
        <v>21</v>
      </c>
      <c r="E440" s="37" t="s">
        <v>19</v>
      </c>
      <c r="F440" s="38">
        <v>0</v>
      </c>
      <c r="G440" s="39" t="str">
        <f>VLOOKUP('Data 1'!$B440,'Data 2'!$A$1:$F$46,MATCH('Data 1'!G$1,'Data 2'!$A$1:$F$1,0),0)</f>
        <v>Product43</v>
      </c>
      <c r="H440" s="39" t="str">
        <f>VLOOKUP('Data 1'!$B440,'Data 2'!$A$1:$F$46,MATCH('Data 1'!H$1,'Data 2'!$A$1:$F$1,0),0)</f>
        <v>Category05</v>
      </c>
      <c r="I440" s="39" t="str">
        <f>VLOOKUP('Data 1'!$B440,'Data 2'!$A$1:$F$46,MATCH('Data 1'!I$1,'Data 2'!$A$1:$F$1,0),0)</f>
        <v>Kg</v>
      </c>
      <c r="J440" s="39">
        <f>VLOOKUP('Data 1'!$B440,'Data 2'!$A$1:$F$46,MATCH('Data 1'!J$1,'Data 2'!$A$1:$F$1,0),0)</f>
        <v>67</v>
      </c>
      <c r="K440" s="39">
        <f>VLOOKUP('Data 1'!$B440,'Data 2'!$A$1:$F$46,MATCH('Data 1'!K$1,'Data 2'!$A$1:$F$1,0),0)</f>
        <v>83.08</v>
      </c>
      <c r="L440" s="40">
        <f>SUM('Data 1'!$J440*'Data 1'!$C440)</f>
        <v>402</v>
      </c>
      <c r="M440" s="40">
        <f>'Data 1'!$C440*'Data 1'!$K440</f>
        <v>498.48</v>
      </c>
      <c r="N440" s="40">
        <f>'Data 1'!$M440-'Data 1'!$L440</f>
        <v>96.480000000000018</v>
      </c>
      <c r="O440" s="37">
        <f>DAY('Data 1'!$A440)</f>
        <v>30</v>
      </c>
      <c r="P440" s="37" t="str">
        <f>TEXT('Data 1'!$A440,"mmm")</f>
        <v>Aug</v>
      </c>
      <c r="Q440" s="41">
        <f>YEAR('Data 1'!$A440)</f>
        <v>2022</v>
      </c>
    </row>
    <row r="441" spans="1:17" x14ac:dyDescent="0.3">
      <c r="A441" s="35">
        <v>44803</v>
      </c>
      <c r="B441" s="36" t="s">
        <v>26</v>
      </c>
      <c r="C441" s="37">
        <v>5</v>
      </c>
      <c r="D441" s="37" t="s">
        <v>21</v>
      </c>
      <c r="E441" s="37" t="s">
        <v>19</v>
      </c>
      <c r="F441" s="38">
        <v>0</v>
      </c>
      <c r="G441" s="42" t="str">
        <f>VLOOKUP('Data 1'!$B441,'Data 2'!$A$1:$F$46,MATCH('Data 1'!G$1,'Data 2'!$A$1:$F$1,0),0)</f>
        <v>Product25</v>
      </c>
      <c r="H441" s="42" t="str">
        <f>VLOOKUP('Data 1'!$B441,'Data 2'!$A$1:$F$46,MATCH('Data 1'!H$1,'Data 2'!$A$1:$F$1,0),0)</f>
        <v>Category03</v>
      </c>
      <c r="I441" s="42" t="str">
        <f>VLOOKUP('Data 1'!$B441,'Data 2'!$A$1:$F$46,MATCH('Data 1'!I$1,'Data 2'!$A$1:$F$1,0),0)</f>
        <v>No.</v>
      </c>
      <c r="J441" s="42">
        <f>VLOOKUP('Data 1'!$B441,'Data 2'!$A$1:$F$46,MATCH('Data 1'!J$1,'Data 2'!$A$1:$F$1,0),0)</f>
        <v>7</v>
      </c>
      <c r="K441" s="42">
        <f>VLOOKUP('Data 1'!$B441,'Data 2'!$A$1:$F$46,MATCH('Data 1'!K$1,'Data 2'!$A$1:$F$1,0),0)</f>
        <v>8.33</v>
      </c>
      <c r="L441" s="40">
        <f>SUM('Data 1'!$J441*'Data 1'!$C441)</f>
        <v>35</v>
      </c>
      <c r="M441" s="40">
        <f>'Data 1'!$C441*'Data 1'!$K441</f>
        <v>41.65</v>
      </c>
      <c r="N441" s="40">
        <f>'Data 1'!$M441-'Data 1'!$L441</f>
        <v>6.6499999999999986</v>
      </c>
      <c r="O441" s="37">
        <f>DAY('Data 1'!$A441)</f>
        <v>30</v>
      </c>
      <c r="P441" s="37" t="str">
        <f>TEXT('Data 1'!$A441,"mmm")</f>
        <v>Aug</v>
      </c>
      <c r="Q441" s="41">
        <f>YEAR('Data 1'!$A441)</f>
        <v>2022</v>
      </c>
    </row>
    <row r="442" spans="1:17" x14ac:dyDescent="0.3">
      <c r="A442" s="35">
        <v>44804</v>
      </c>
      <c r="B442" s="36" t="s">
        <v>46</v>
      </c>
      <c r="C442" s="37">
        <v>13</v>
      </c>
      <c r="D442" s="37" t="s">
        <v>21</v>
      </c>
      <c r="E442" s="37" t="s">
        <v>19</v>
      </c>
      <c r="F442" s="38">
        <v>0</v>
      </c>
      <c r="G442" s="39" t="str">
        <f>VLOOKUP('Data 1'!$B442,'Data 2'!$A$1:$F$46,MATCH('Data 1'!G$1,'Data 2'!$A$1:$F$1,0),0)</f>
        <v>Product15</v>
      </c>
      <c r="H442" s="39" t="str">
        <f>VLOOKUP('Data 1'!$B442,'Data 2'!$A$1:$F$46,MATCH('Data 1'!H$1,'Data 2'!$A$1:$F$1,0),0)</f>
        <v>Category02</v>
      </c>
      <c r="I442" s="39" t="str">
        <f>VLOOKUP('Data 1'!$B442,'Data 2'!$A$1:$F$46,MATCH('Data 1'!I$1,'Data 2'!$A$1:$F$1,0),0)</f>
        <v>No.</v>
      </c>
      <c r="J442" s="39">
        <f>VLOOKUP('Data 1'!$B442,'Data 2'!$A$1:$F$46,MATCH('Data 1'!J$1,'Data 2'!$A$1:$F$1,0),0)</f>
        <v>12</v>
      </c>
      <c r="K442" s="39">
        <f>VLOOKUP('Data 1'!$B442,'Data 2'!$A$1:$F$46,MATCH('Data 1'!K$1,'Data 2'!$A$1:$F$1,0),0)</f>
        <v>15.719999999999999</v>
      </c>
      <c r="L442" s="40">
        <f>SUM('Data 1'!$J442*'Data 1'!$C442)</f>
        <v>156</v>
      </c>
      <c r="M442" s="40">
        <f>'Data 1'!$C442*'Data 1'!$K442</f>
        <v>204.35999999999999</v>
      </c>
      <c r="N442" s="40">
        <f>'Data 1'!$M442-'Data 1'!$L442</f>
        <v>48.359999999999985</v>
      </c>
      <c r="O442" s="37">
        <f>DAY('Data 1'!$A442)</f>
        <v>31</v>
      </c>
      <c r="P442" s="37" t="str">
        <f>TEXT('Data 1'!$A442,"mmm")</f>
        <v>Aug</v>
      </c>
      <c r="Q442" s="41">
        <f>YEAR('Data 1'!$A442)</f>
        <v>2022</v>
      </c>
    </row>
    <row r="443" spans="1:17" x14ac:dyDescent="0.3">
      <c r="A443" s="35">
        <v>44808</v>
      </c>
      <c r="B443" s="36" t="s">
        <v>48</v>
      </c>
      <c r="C443" s="37">
        <v>1</v>
      </c>
      <c r="D443" s="37" t="s">
        <v>21</v>
      </c>
      <c r="E443" s="37" t="s">
        <v>19</v>
      </c>
      <c r="F443" s="38">
        <v>0</v>
      </c>
      <c r="G443" s="42" t="str">
        <f>VLOOKUP('Data 1'!$B443,'Data 2'!$A$1:$F$46,MATCH('Data 1'!G$1,'Data 2'!$A$1:$F$1,0),0)</f>
        <v>Product02</v>
      </c>
      <c r="H443" s="42" t="str">
        <f>VLOOKUP('Data 1'!$B443,'Data 2'!$A$1:$F$46,MATCH('Data 1'!H$1,'Data 2'!$A$1:$F$1,0),0)</f>
        <v>Category01</v>
      </c>
      <c r="I443" s="42" t="str">
        <f>VLOOKUP('Data 1'!$B443,'Data 2'!$A$1:$F$46,MATCH('Data 1'!I$1,'Data 2'!$A$1:$F$1,0),0)</f>
        <v>Kg</v>
      </c>
      <c r="J443" s="42">
        <f>VLOOKUP('Data 1'!$B443,'Data 2'!$A$1:$F$46,MATCH('Data 1'!J$1,'Data 2'!$A$1:$F$1,0),0)</f>
        <v>105</v>
      </c>
      <c r="K443" s="42">
        <f>VLOOKUP('Data 1'!$B443,'Data 2'!$A$1:$F$46,MATCH('Data 1'!K$1,'Data 2'!$A$1:$F$1,0),0)</f>
        <v>142.80000000000001</v>
      </c>
      <c r="L443" s="40">
        <f>SUM('Data 1'!$J443*'Data 1'!$C443)</f>
        <v>105</v>
      </c>
      <c r="M443" s="40">
        <f>'Data 1'!$C443*'Data 1'!$K443</f>
        <v>142.80000000000001</v>
      </c>
      <c r="N443" s="40">
        <f>'Data 1'!$M443-'Data 1'!$L443</f>
        <v>37.800000000000011</v>
      </c>
      <c r="O443" s="37">
        <f>DAY('Data 1'!$A443)</f>
        <v>4</v>
      </c>
      <c r="P443" s="37" t="str">
        <f>TEXT('Data 1'!$A443,"mmm")</f>
        <v>Sep</v>
      </c>
      <c r="Q443" s="41">
        <f>YEAR('Data 1'!$A443)</f>
        <v>2022</v>
      </c>
    </row>
    <row r="444" spans="1:17" x14ac:dyDescent="0.3">
      <c r="A444" s="35">
        <v>44810</v>
      </c>
      <c r="B444" s="36" t="s">
        <v>43</v>
      </c>
      <c r="C444" s="37">
        <v>12</v>
      </c>
      <c r="D444" s="37" t="s">
        <v>16</v>
      </c>
      <c r="E444" s="37" t="s">
        <v>17</v>
      </c>
      <c r="F444" s="38">
        <v>0</v>
      </c>
      <c r="G444" s="39" t="str">
        <f>VLOOKUP('Data 1'!$B444,'Data 2'!$A$1:$F$46,MATCH('Data 1'!G$1,'Data 2'!$A$1:$F$1,0),0)</f>
        <v>Product05</v>
      </c>
      <c r="H444" s="39" t="str">
        <f>VLOOKUP('Data 1'!$B444,'Data 2'!$A$1:$F$46,MATCH('Data 1'!H$1,'Data 2'!$A$1:$F$1,0),0)</f>
        <v>Category01</v>
      </c>
      <c r="I444" s="39" t="str">
        <f>VLOOKUP('Data 1'!$B444,'Data 2'!$A$1:$F$46,MATCH('Data 1'!I$1,'Data 2'!$A$1:$F$1,0),0)</f>
        <v>Ft</v>
      </c>
      <c r="J444" s="39">
        <f>VLOOKUP('Data 1'!$B444,'Data 2'!$A$1:$F$46,MATCH('Data 1'!J$1,'Data 2'!$A$1:$F$1,0),0)</f>
        <v>133</v>
      </c>
      <c r="K444" s="39">
        <f>VLOOKUP('Data 1'!$B444,'Data 2'!$A$1:$F$46,MATCH('Data 1'!K$1,'Data 2'!$A$1:$F$1,0),0)</f>
        <v>155.61000000000001</v>
      </c>
      <c r="L444" s="40">
        <f>SUM('Data 1'!$J444*'Data 1'!$C444)</f>
        <v>1596</v>
      </c>
      <c r="M444" s="40">
        <f>'Data 1'!$C444*'Data 1'!$K444</f>
        <v>1867.3200000000002</v>
      </c>
      <c r="N444" s="40">
        <f>'Data 1'!$M444-'Data 1'!$L444</f>
        <v>271.32000000000016</v>
      </c>
      <c r="O444" s="37">
        <f>DAY('Data 1'!$A444)</f>
        <v>6</v>
      </c>
      <c r="P444" s="37" t="str">
        <f>TEXT('Data 1'!$A444,"mmm")</f>
        <v>Sep</v>
      </c>
      <c r="Q444" s="41">
        <f>YEAR('Data 1'!$A444)</f>
        <v>2022</v>
      </c>
    </row>
    <row r="445" spans="1:17" x14ac:dyDescent="0.3">
      <c r="A445" s="35">
        <v>44813</v>
      </c>
      <c r="B445" s="36" t="s">
        <v>60</v>
      </c>
      <c r="C445" s="37">
        <v>9</v>
      </c>
      <c r="D445" s="37" t="s">
        <v>21</v>
      </c>
      <c r="E445" s="37" t="s">
        <v>17</v>
      </c>
      <c r="F445" s="38">
        <v>0</v>
      </c>
      <c r="G445" s="42" t="str">
        <f>VLOOKUP('Data 1'!$B445,'Data 2'!$A$1:$F$46,MATCH('Data 1'!G$1,'Data 2'!$A$1:$F$1,0),0)</f>
        <v>Product41</v>
      </c>
      <c r="H445" s="42" t="str">
        <f>VLOOKUP('Data 1'!$B445,'Data 2'!$A$1:$F$46,MATCH('Data 1'!H$1,'Data 2'!$A$1:$F$1,0),0)</f>
        <v>Category05</v>
      </c>
      <c r="I445" s="42" t="str">
        <f>VLOOKUP('Data 1'!$B445,'Data 2'!$A$1:$F$46,MATCH('Data 1'!I$1,'Data 2'!$A$1:$F$1,0),0)</f>
        <v>Ft</v>
      </c>
      <c r="J445" s="42">
        <f>VLOOKUP('Data 1'!$B445,'Data 2'!$A$1:$F$46,MATCH('Data 1'!J$1,'Data 2'!$A$1:$F$1,0),0)</f>
        <v>138</v>
      </c>
      <c r="K445" s="42">
        <f>VLOOKUP('Data 1'!$B445,'Data 2'!$A$1:$F$46,MATCH('Data 1'!K$1,'Data 2'!$A$1:$F$1,0),0)</f>
        <v>173.88</v>
      </c>
      <c r="L445" s="40">
        <f>SUM('Data 1'!$J445*'Data 1'!$C445)</f>
        <v>1242</v>
      </c>
      <c r="M445" s="40">
        <f>'Data 1'!$C445*'Data 1'!$K445</f>
        <v>1564.92</v>
      </c>
      <c r="N445" s="40">
        <f>'Data 1'!$M445-'Data 1'!$L445</f>
        <v>322.92000000000007</v>
      </c>
      <c r="O445" s="37">
        <f>DAY('Data 1'!$A445)</f>
        <v>9</v>
      </c>
      <c r="P445" s="37" t="str">
        <f>TEXT('Data 1'!$A445,"mmm")</f>
        <v>Sep</v>
      </c>
      <c r="Q445" s="41">
        <f>YEAR('Data 1'!$A445)</f>
        <v>2022</v>
      </c>
    </row>
    <row r="446" spans="1:17" x14ac:dyDescent="0.3">
      <c r="A446" s="35">
        <v>44813</v>
      </c>
      <c r="B446" s="36" t="s">
        <v>25</v>
      </c>
      <c r="C446" s="37">
        <v>3</v>
      </c>
      <c r="D446" s="37" t="s">
        <v>21</v>
      </c>
      <c r="E446" s="37" t="s">
        <v>17</v>
      </c>
      <c r="F446" s="38">
        <v>0</v>
      </c>
      <c r="G446" s="39" t="str">
        <f>VLOOKUP('Data 1'!$B446,'Data 2'!$A$1:$F$46,MATCH('Data 1'!G$1,'Data 2'!$A$1:$F$1,0),0)</f>
        <v>Product03</v>
      </c>
      <c r="H446" s="39" t="str">
        <f>VLOOKUP('Data 1'!$B446,'Data 2'!$A$1:$F$46,MATCH('Data 1'!H$1,'Data 2'!$A$1:$F$1,0),0)</f>
        <v>Category01</v>
      </c>
      <c r="I446" s="39" t="str">
        <f>VLOOKUP('Data 1'!$B446,'Data 2'!$A$1:$F$46,MATCH('Data 1'!I$1,'Data 2'!$A$1:$F$1,0),0)</f>
        <v>Kg</v>
      </c>
      <c r="J446" s="39">
        <f>VLOOKUP('Data 1'!$B446,'Data 2'!$A$1:$F$46,MATCH('Data 1'!J$1,'Data 2'!$A$1:$F$1,0),0)</f>
        <v>71</v>
      </c>
      <c r="K446" s="39">
        <f>VLOOKUP('Data 1'!$B446,'Data 2'!$A$1:$F$46,MATCH('Data 1'!K$1,'Data 2'!$A$1:$F$1,0),0)</f>
        <v>80.94</v>
      </c>
      <c r="L446" s="40">
        <f>SUM('Data 1'!$J446*'Data 1'!$C446)</f>
        <v>213</v>
      </c>
      <c r="M446" s="40">
        <f>'Data 1'!$C446*'Data 1'!$K446</f>
        <v>242.82</v>
      </c>
      <c r="N446" s="40">
        <f>'Data 1'!$M446-'Data 1'!$L446</f>
        <v>29.819999999999993</v>
      </c>
      <c r="O446" s="37">
        <f>DAY('Data 1'!$A446)</f>
        <v>9</v>
      </c>
      <c r="P446" s="37" t="str">
        <f>TEXT('Data 1'!$A446,"mmm")</f>
        <v>Sep</v>
      </c>
      <c r="Q446" s="41">
        <f>YEAR('Data 1'!$A446)</f>
        <v>2022</v>
      </c>
    </row>
    <row r="447" spans="1:17" x14ac:dyDescent="0.3">
      <c r="A447" s="35">
        <v>44814</v>
      </c>
      <c r="B447" s="36" t="s">
        <v>23</v>
      </c>
      <c r="C447" s="37">
        <v>15</v>
      </c>
      <c r="D447" s="37" t="s">
        <v>17</v>
      </c>
      <c r="E447" s="37" t="s">
        <v>19</v>
      </c>
      <c r="F447" s="38">
        <v>0</v>
      </c>
      <c r="G447" s="42" t="str">
        <f>VLOOKUP('Data 1'!$B447,'Data 2'!$A$1:$F$46,MATCH('Data 1'!G$1,'Data 2'!$A$1:$F$1,0),0)</f>
        <v>Product35</v>
      </c>
      <c r="H447" s="42" t="str">
        <f>VLOOKUP('Data 1'!$B447,'Data 2'!$A$1:$F$46,MATCH('Data 1'!H$1,'Data 2'!$A$1:$F$1,0),0)</f>
        <v>Category04</v>
      </c>
      <c r="I447" s="42" t="str">
        <f>VLOOKUP('Data 1'!$B447,'Data 2'!$A$1:$F$46,MATCH('Data 1'!I$1,'Data 2'!$A$1:$F$1,0),0)</f>
        <v>No.</v>
      </c>
      <c r="J447" s="42">
        <f>VLOOKUP('Data 1'!$B447,'Data 2'!$A$1:$F$46,MATCH('Data 1'!J$1,'Data 2'!$A$1:$F$1,0),0)</f>
        <v>5</v>
      </c>
      <c r="K447" s="42">
        <f>VLOOKUP('Data 1'!$B447,'Data 2'!$A$1:$F$46,MATCH('Data 1'!K$1,'Data 2'!$A$1:$F$1,0),0)</f>
        <v>6.7</v>
      </c>
      <c r="L447" s="40">
        <f>SUM('Data 1'!$J447*'Data 1'!$C447)</f>
        <v>75</v>
      </c>
      <c r="M447" s="40">
        <f>'Data 1'!$C447*'Data 1'!$K447</f>
        <v>100.5</v>
      </c>
      <c r="N447" s="40">
        <f>'Data 1'!$M447-'Data 1'!$L447</f>
        <v>25.5</v>
      </c>
      <c r="O447" s="37">
        <f>DAY('Data 1'!$A447)</f>
        <v>10</v>
      </c>
      <c r="P447" s="37" t="str">
        <f>TEXT('Data 1'!$A447,"mmm")</f>
        <v>Sep</v>
      </c>
      <c r="Q447" s="41">
        <f>YEAR('Data 1'!$A447)</f>
        <v>2022</v>
      </c>
    </row>
    <row r="448" spans="1:17" x14ac:dyDescent="0.3">
      <c r="A448" s="35">
        <v>44814</v>
      </c>
      <c r="B448" s="36" t="s">
        <v>18</v>
      </c>
      <c r="C448" s="37">
        <v>4</v>
      </c>
      <c r="D448" s="37" t="s">
        <v>21</v>
      </c>
      <c r="E448" s="37" t="s">
        <v>19</v>
      </c>
      <c r="F448" s="38">
        <v>0</v>
      </c>
      <c r="G448" s="39" t="str">
        <f>VLOOKUP('Data 1'!$B448,'Data 2'!$A$1:$F$46,MATCH('Data 1'!G$1,'Data 2'!$A$1:$F$1,0),0)</f>
        <v>Product38</v>
      </c>
      <c r="H448" s="39" t="str">
        <f>VLOOKUP('Data 1'!$B448,'Data 2'!$A$1:$F$46,MATCH('Data 1'!H$1,'Data 2'!$A$1:$F$1,0),0)</f>
        <v>Category05</v>
      </c>
      <c r="I448" s="39" t="str">
        <f>VLOOKUP('Data 1'!$B448,'Data 2'!$A$1:$F$46,MATCH('Data 1'!I$1,'Data 2'!$A$1:$F$1,0),0)</f>
        <v>Kg</v>
      </c>
      <c r="J448" s="39">
        <f>VLOOKUP('Data 1'!$B448,'Data 2'!$A$1:$F$46,MATCH('Data 1'!J$1,'Data 2'!$A$1:$F$1,0),0)</f>
        <v>72</v>
      </c>
      <c r="K448" s="39">
        <f>VLOOKUP('Data 1'!$B448,'Data 2'!$A$1:$F$46,MATCH('Data 1'!K$1,'Data 2'!$A$1:$F$1,0),0)</f>
        <v>79.92</v>
      </c>
      <c r="L448" s="40">
        <f>SUM('Data 1'!$J448*'Data 1'!$C448)</f>
        <v>288</v>
      </c>
      <c r="M448" s="40">
        <f>'Data 1'!$C448*'Data 1'!$K448</f>
        <v>319.68</v>
      </c>
      <c r="N448" s="40">
        <f>'Data 1'!$M448-'Data 1'!$L448</f>
        <v>31.680000000000007</v>
      </c>
      <c r="O448" s="37">
        <f>DAY('Data 1'!$A448)</f>
        <v>10</v>
      </c>
      <c r="P448" s="37" t="str">
        <f>TEXT('Data 1'!$A448,"mmm")</f>
        <v>Sep</v>
      </c>
      <c r="Q448" s="41">
        <f>YEAR('Data 1'!$A448)</f>
        <v>2022</v>
      </c>
    </row>
    <row r="449" spans="1:17" x14ac:dyDescent="0.3">
      <c r="A449" s="35">
        <v>44818</v>
      </c>
      <c r="B449" s="36" t="s">
        <v>38</v>
      </c>
      <c r="C449" s="37">
        <v>3</v>
      </c>
      <c r="D449" s="37" t="s">
        <v>21</v>
      </c>
      <c r="E449" s="37" t="s">
        <v>19</v>
      </c>
      <c r="F449" s="38">
        <v>0</v>
      </c>
      <c r="G449" s="42" t="str">
        <f>VLOOKUP('Data 1'!$B449,'Data 2'!$A$1:$F$46,MATCH('Data 1'!G$1,'Data 2'!$A$1:$F$1,0),0)</f>
        <v>Product29</v>
      </c>
      <c r="H449" s="42" t="str">
        <f>VLOOKUP('Data 1'!$B449,'Data 2'!$A$1:$F$46,MATCH('Data 1'!H$1,'Data 2'!$A$1:$F$1,0),0)</f>
        <v>Category04</v>
      </c>
      <c r="I449" s="42" t="str">
        <f>VLOOKUP('Data 1'!$B449,'Data 2'!$A$1:$F$46,MATCH('Data 1'!I$1,'Data 2'!$A$1:$F$1,0),0)</f>
        <v>Lt</v>
      </c>
      <c r="J449" s="42">
        <f>VLOOKUP('Data 1'!$B449,'Data 2'!$A$1:$F$46,MATCH('Data 1'!J$1,'Data 2'!$A$1:$F$1,0),0)</f>
        <v>47</v>
      </c>
      <c r="K449" s="42">
        <f>VLOOKUP('Data 1'!$B449,'Data 2'!$A$1:$F$46,MATCH('Data 1'!K$1,'Data 2'!$A$1:$F$1,0),0)</f>
        <v>53.11</v>
      </c>
      <c r="L449" s="40">
        <f>SUM('Data 1'!$J449*'Data 1'!$C449)</f>
        <v>141</v>
      </c>
      <c r="M449" s="40">
        <f>'Data 1'!$C449*'Data 1'!$K449</f>
        <v>159.32999999999998</v>
      </c>
      <c r="N449" s="40">
        <f>'Data 1'!$M449-'Data 1'!$L449</f>
        <v>18.329999999999984</v>
      </c>
      <c r="O449" s="37">
        <f>DAY('Data 1'!$A449)</f>
        <v>14</v>
      </c>
      <c r="P449" s="37" t="str">
        <f>TEXT('Data 1'!$A449,"mmm")</f>
        <v>Sep</v>
      </c>
      <c r="Q449" s="41">
        <f>YEAR('Data 1'!$A449)</f>
        <v>2022</v>
      </c>
    </row>
    <row r="450" spans="1:17" x14ac:dyDescent="0.3">
      <c r="A450" s="35">
        <v>44819</v>
      </c>
      <c r="B450" s="36" t="s">
        <v>27</v>
      </c>
      <c r="C450" s="37">
        <v>15</v>
      </c>
      <c r="D450" s="37" t="s">
        <v>17</v>
      </c>
      <c r="E450" s="37" t="s">
        <v>17</v>
      </c>
      <c r="F450" s="38">
        <v>0</v>
      </c>
      <c r="G450" s="39" t="str">
        <f>VLOOKUP('Data 1'!$B450,'Data 2'!$A$1:$F$46,MATCH('Data 1'!G$1,'Data 2'!$A$1:$F$1,0),0)</f>
        <v>Product37</v>
      </c>
      <c r="H450" s="39" t="str">
        <f>VLOOKUP('Data 1'!$B450,'Data 2'!$A$1:$F$46,MATCH('Data 1'!H$1,'Data 2'!$A$1:$F$1,0),0)</f>
        <v>Category05</v>
      </c>
      <c r="I450" s="39" t="str">
        <f>VLOOKUP('Data 1'!$B450,'Data 2'!$A$1:$F$46,MATCH('Data 1'!I$1,'Data 2'!$A$1:$F$1,0),0)</f>
        <v>Kg</v>
      </c>
      <c r="J450" s="39">
        <f>VLOOKUP('Data 1'!$B450,'Data 2'!$A$1:$F$46,MATCH('Data 1'!J$1,'Data 2'!$A$1:$F$1,0),0)</f>
        <v>67</v>
      </c>
      <c r="K450" s="39">
        <f>VLOOKUP('Data 1'!$B450,'Data 2'!$A$1:$F$46,MATCH('Data 1'!K$1,'Data 2'!$A$1:$F$1,0),0)</f>
        <v>85.76</v>
      </c>
      <c r="L450" s="40">
        <f>SUM('Data 1'!$J450*'Data 1'!$C450)</f>
        <v>1005</v>
      </c>
      <c r="M450" s="40">
        <f>'Data 1'!$C450*'Data 1'!$K450</f>
        <v>1286.4000000000001</v>
      </c>
      <c r="N450" s="40">
        <f>'Data 1'!$M450-'Data 1'!$L450</f>
        <v>281.40000000000009</v>
      </c>
      <c r="O450" s="37">
        <f>DAY('Data 1'!$A450)</f>
        <v>15</v>
      </c>
      <c r="P450" s="37" t="str">
        <f>TEXT('Data 1'!$A450,"mmm")</f>
        <v>Sep</v>
      </c>
      <c r="Q450" s="41">
        <f>YEAR('Data 1'!$A450)</f>
        <v>2022</v>
      </c>
    </row>
    <row r="451" spans="1:17" x14ac:dyDescent="0.3">
      <c r="A451" s="35">
        <v>44822</v>
      </c>
      <c r="B451" s="36" t="s">
        <v>61</v>
      </c>
      <c r="C451" s="37">
        <v>14</v>
      </c>
      <c r="D451" s="37" t="s">
        <v>17</v>
      </c>
      <c r="E451" s="37" t="s">
        <v>19</v>
      </c>
      <c r="F451" s="38">
        <v>0</v>
      </c>
      <c r="G451" s="42" t="str">
        <f>VLOOKUP('Data 1'!$B451,'Data 2'!$A$1:$F$46,MATCH('Data 1'!G$1,'Data 2'!$A$1:$F$1,0),0)</f>
        <v>Product26</v>
      </c>
      <c r="H451" s="42" t="str">
        <f>VLOOKUP('Data 1'!$B451,'Data 2'!$A$1:$F$46,MATCH('Data 1'!H$1,'Data 2'!$A$1:$F$1,0),0)</f>
        <v>Category04</v>
      </c>
      <c r="I451" s="42" t="str">
        <f>VLOOKUP('Data 1'!$B451,'Data 2'!$A$1:$F$46,MATCH('Data 1'!I$1,'Data 2'!$A$1:$F$1,0),0)</f>
        <v>No.</v>
      </c>
      <c r="J451" s="42">
        <f>VLOOKUP('Data 1'!$B451,'Data 2'!$A$1:$F$46,MATCH('Data 1'!J$1,'Data 2'!$A$1:$F$1,0),0)</f>
        <v>18</v>
      </c>
      <c r="K451" s="42">
        <f>VLOOKUP('Data 1'!$B451,'Data 2'!$A$1:$F$46,MATCH('Data 1'!K$1,'Data 2'!$A$1:$F$1,0),0)</f>
        <v>24.66</v>
      </c>
      <c r="L451" s="40">
        <f>SUM('Data 1'!$J451*'Data 1'!$C451)</f>
        <v>252</v>
      </c>
      <c r="M451" s="40">
        <f>'Data 1'!$C451*'Data 1'!$K451</f>
        <v>345.24</v>
      </c>
      <c r="N451" s="40">
        <f>'Data 1'!$M451-'Data 1'!$L451</f>
        <v>93.240000000000009</v>
      </c>
      <c r="O451" s="37">
        <f>DAY('Data 1'!$A451)</f>
        <v>18</v>
      </c>
      <c r="P451" s="37" t="str">
        <f>TEXT('Data 1'!$A451,"mmm")</f>
        <v>Sep</v>
      </c>
      <c r="Q451" s="41">
        <f>YEAR('Data 1'!$A451)</f>
        <v>2022</v>
      </c>
    </row>
    <row r="452" spans="1:17" x14ac:dyDescent="0.3">
      <c r="A452" s="35">
        <v>44823</v>
      </c>
      <c r="B452" s="36" t="s">
        <v>57</v>
      </c>
      <c r="C452" s="37">
        <v>8</v>
      </c>
      <c r="D452" s="37" t="s">
        <v>16</v>
      </c>
      <c r="E452" s="37" t="s">
        <v>19</v>
      </c>
      <c r="F452" s="38">
        <v>0</v>
      </c>
      <c r="G452" s="39" t="str">
        <f>VLOOKUP('Data 1'!$B452,'Data 2'!$A$1:$F$46,MATCH('Data 1'!G$1,'Data 2'!$A$1:$F$1,0),0)</f>
        <v>Product33</v>
      </c>
      <c r="H452" s="39" t="str">
        <f>VLOOKUP('Data 1'!$B452,'Data 2'!$A$1:$F$46,MATCH('Data 1'!H$1,'Data 2'!$A$1:$F$1,0),0)</f>
        <v>Category04</v>
      </c>
      <c r="I452" s="39" t="str">
        <f>VLOOKUP('Data 1'!$B452,'Data 2'!$A$1:$F$46,MATCH('Data 1'!I$1,'Data 2'!$A$1:$F$1,0),0)</f>
        <v>Kg</v>
      </c>
      <c r="J452" s="39">
        <f>VLOOKUP('Data 1'!$B452,'Data 2'!$A$1:$F$46,MATCH('Data 1'!J$1,'Data 2'!$A$1:$F$1,0),0)</f>
        <v>95</v>
      </c>
      <c r="K452" s="39">
        <f>VLOOKUP('Data 1'!$B452,'Data 2'!$A$1:$F$46,MATCH('Data 1'!K$1,'Data 2'!$A$1:$F$1,0),0)</f>
        <v>119.7</v>
      </c>
      <c r="L452" s="40">
        <f>SUM('Data 1'!$J452*'Data 1'!$C452)</f>
        <v>760</v>
      </c>
      <c r="M452" s="40">
        <f>'Data 1'!$C452*'Data 1'!$K452</f>
        <v>957.6</v>
      </c>
      <c r="N452" s="40">
        <f>'Data 1'!$M452-'Data 1'!$L452</f>
        <v>197.60000000000002</v>
      </c>
      <c r="O452" s="37">
        <f>DAY('Data 1'!$A452)</f>
        <v>19</v>
      </c>
      <c r="P452" s="37" t="str">
        <f>TEXT('Data 1'!$A452,"mmm")</f>
        <v>Sep</v>
      </c>
      <c r="Q452" s="41">
        <f>YEAR('Data 1'!$A452)</f>
        <v>2022</v>
      </c>
    </row>
    <row r="453" spans="1:17" x14ac:dyDescent="0.3">
      <c r="A453" s="35">
        <v>44824</v>
      </c>
      <c r="B453" s="36" t="s">
        <v>57</v>
      </c>
      <c r="C453" s="37">
        <v>6</v>
      </c>
      <c r="D453" s="37" t="s">
        <v>21</v>
      </c>
      <c r="E453" s="37" t="s">
        <v>17</v>
      </c>
      <c r="F453" s="38">
        <v>0</v>
      </c>
      <c r="G453" s="42" t="str">
        <f>VLOOKUP('Data 1'!$B453,'Data 2'!$A$1:$F$46,MATCH('Data 1'!G$1,'Data 2'!$A$1:$F$1,0),0)</f>
        <v>Product33</v>
      </c>
      <c r="H453" s="42" t="str">
        <f>VLOOKUP('Data 1'!$B453,'Data 2'!$A$1:$F$46,MATCH('Data 1'!H$1,'Data 2'!$A$1:$F$1,0),0)</f>
        <v>Category04</v>
      </c>
      <c r="I453" s="42" t="str">
        <f>VLOOKUP('Data 1'!$B453,'Data 2'!$A$1:$F$46,MATCH('Data 1'!I$1,'Data 2'!$A$1:$F$1,0),0)</f>
        <v>Kg</v>
      </c>
      <c r="J453" s="42">
        <f>VLOOKUP('Data 1'!$B453,'Data 2'!$A$1:$F$46,MATCH('Data 1'!J$1,'Data 2'!$A$1:$F$1,0),0)</f>
        <v>95</v>
      </c>
      <c r="K453" s="42">
        <f>VLOOKUP('Data 1'!$B453,'Data 2'!$A$1:$F$46,MATCH('Data 1'!K$1,'Data 2'!$A$1:$F$1,0),0)</f>
        <v>119.7</v>
      </c>
      <c r="L453" s="40">
        <f>SUM('Data 1'!$J453*'Data 1'!$C453)</f>
        <v>570</v>
      </c>
      <c r="M453" s="40">
        <f>'Data 1'!$C453*'Data 1'!$K453</f>
        <v>718.2</v>
      </c>
      <c r="N453" s="40">
        <f>'Data 1'!$M453-'Data 1'!$L453</f>
        <v>148.20000000000005</v>
      </c>
      <c r="O453" s="37">
        <f>DAY('Data 1'!$A453)</f>
        <v>20</v>
      </c>
      <c r="P453" s="37" t="str">
        <f>TEXT('Data 1'!$A453,"mmm")</f>
        <v>Sep</v>
      </c>
      <c r="Q453" s="41">
        <f>YEAR('Data 1'!$A453)</f>
        <v>2022</v>
      </c>
    </row>
    <row r="454" spans="1:17" x14ac:dyDescent="0.3">
      <c r="A454" s="35">
        <v>44824</v>
      </c>
      <c r="B454" s="36" t="s">
        <v>35</v>
      </c>
      <c r="C454" s="37">
        <v>10</v>
      </c>
      <c r="D454" s="37" t="s">
        <v>21</v>
      </c>
      <c r="E454" s="37" t="s">
        <v>17</v>
      </c>
      <c r="F454" s="38">
        <v>0</v>
      </c>
      <c r="G454" s="39" t="str">
        <f>VLOOKUP('Data 1'!$B454,'Data 2'!$A$1:$F$46,MATCH('Data 1'!G$1,'Data 2'!$A$1:$F$1,0),0)</f>
        <v>Product01</v>
      </c>
      <c r="H454" s="39" t="str">
        <f>VLOOKUP('Data 1'!$B454,'Data 2'!$A$1:$F$46,MATCH('Data 1'!H$1,'Data 2'!$A$1:$F$1,0),0)</f>
        <v>Category01</v>
      </c>
      <c r="I454" s="39" t="str">
        <f>VLOOKUP('Data 1'!$B454,'Data 2'!$A$1:$F$46,MATCH('Data 1'!I$1,'Data 2'!$A$1:$F$1,0),0)</f>
        <v>Kg</v>
      </c>
      <c r="J454" s="39">
        <f>VLOOKUP('Data 1'!$B454,'Data 2'!$A$1:$F$46,MATCH('Data 1'!J$1,'Data 2'!$A$1:$F$1,0),0)</f>
        <v>98</v>
      </c>
      <c r="K454" s="39">
        <f>VLOOKUP('Data 1'!$B454,'Data 2'!$A$1:$F$46,MATCH('Data 1'!K$1,'Data 2'!$A$1:$F$1,0),0)</f>
        <v>103.88</v>
      </c>
      <c r="L454" s="40">
        <f>SUM('Data 1'!$J454*'Data 1'!$C454)</f>
        <v>980</v>
      </c>
      <c r="M454" s="40">
        <f>'Data 1'!$C454*'Data 1'!$K454</f>
        <v>1038.8</v>
      </c>
      <c r="N454" s="40">
        <f>'Data 1'!$M454-'Data 1'!$L454</f>
        <v>58.799999999999955</v>
      </c>
      <c r="O454" s="37">
        <f>DAY('Data 1'!$A454)</f>
        <v>20</v>
      </c>
      <c r="P454" s="37" t="str">
        <f>TEXT('Data 1'!$A454,"mmm")</f>
        <v>Sep</v>
      </c>
      <c r="Q454" s="41">
        <f>YEAR('Data 1'!$A454)</f>
        <v>2022</v>
      </c>
    </row>
    <row r="455" spans="1:17" x14ac:dyDescent="0.3">
      <c r="A455" s="35">
        <v>44825</v>
      </c>
      <c r="B455" s="36" t="s">
        <v>49</v>
      </c>
      <c r="C455" s="37">
        <v>14</v>
      </c>
      <c r="D455" s="37" t="s">
        <v>17</v>
      </c>
      <c r="E455" s="37" t="s">
        <v>17</v>
      </c>
      <c r="F455" s="38">
        <v>0</v>
      </c>
      <c r="G455" s="42" t="str">
        <f>VLOOKUP('Data 1'!$B455,'Data 2'!$A$1:$F$46,MATCH('Data 1'!G$1,'Data 2'!$A$1:$F$1,0),0)</f>
        <v>Product18</v>
      </c>
      <c r="H455" s="42" t="str">
        <f>VLOOKUP('Data 1'!$B455,'Data 2'!$A$1:$F$46,MATCH('Data 1'!H$1,'Data 2'!$A$1:$F$1,0),0)</f>
        <v>Category02</v>
      </c>
      <c r="I455" s="42" t="str">
        <f>VLOOKUP('Data 1'!$B455,'Data 2'!$A$1:$F$46,MATCH('Data 1'!I$1,'Data 2'!$A$1:$F$1,0),0)</f>
        <v>No.</v>
      </c>
      <c r="J455" s="42">
        <f>VLOOKUP('Data 1'!$B455,'Data 2'!$A$1:$F$46,MATCH('Data 1'!J$1,'Data 2'!$A$1:$F$1,0),0)</f>
        <v>37</v>
      </c>
      <c r="K455" s="42">
        <f>VLOOKUP('Data 1'!$B455,'Data 2'!$A$1:$F$46,MATCH('Data 1'!K$1,'Data 2'!$A$1:$F$1,0),0)</f>
        <v>49.21</v>
      </c>
      <c r="L455" s="40">
        <f>SUM('Data 1'!$J455*'Data 1'!$C455)</f>
        <v>518</v>
      </c>
      <c r="M455" s="40">
        <f>'Data 1'!$C455*'Data 1'!$K455</f>
        <v>688.94</v>
      </c>
      <c r="N455" s="40">
        <f>'Data 1'!$M455-'Data 1'!$L455</f>
        <v>170.94000000000005</v>
      </c>
      <c r="O455" s="37">
        <f>DAY('Data 1'!$A455)</f>
        <v>21</v>
      </c>
      <c r="P455" s="37" t="str">
        <f>TEXT('Data 1'!$A455,"mmm")</f>
        <v>Sep</v>
      </c>
      <c r="Q455" s="41">
        <f>YEAR('Data 1'!$A455)</f>
        <v>2022</v>
      </c>
    </row>
    <row r="456" spans="1:17" x14ac:dyDescent="0.3">
      <c r="A456" s="35">
        <v>44825</v>
      </c>
      <c r="B456" s="36" t="s">
        <v>61</v>
      </c>
      <c r="C456" s="37">
        <v>5</v>
      </c>
      <c r="D456" s="37" t="s">
        <v>21</v>
      </c>
      <c r="E456" s="37" t="s">
        <v>19</v>
      </c>
      <c r="F456" s="38">
        <v>0</v>
      </c>
      <c r="G456" s="39" t="str">
        <f>VLOOKUP('Data 1'!$B456,'Data 2'!$A$1:$F$46,MATCH('Data 1'!G$1,'Data 2'!$A$1:$F$1,0),0)</f>
        <v>Product26</v>
      </c>
      <c r="H456" s="39" t="str">
        <f>VLOOKUP('Data 1'!$B456,'Data 2'!$A$1:$F$46,MATCH('Data 1'!H$1,'Data 2'!$A$1:$F$1,0),0)</f>
        <v>Category04</v>
      </c>
      <c r="I456" s="39" t="str">
        <f>VLOOKUP('Data 1'!$B456,'Data 2'!$A$1:$F$46,MATCH('Data 1'!I$1,'Data 2'!$A$1:$F$1,0),0)</f>
        <v>No.</v>
      </c>
      <c r="J456" s="39">
        <f>VLOOKUP('Data 1'!$B456,'Data 2'!$A$1:$F$46,MATCH('Data 1'!J$1,'Data 2'!$A$1:$F$1,0),0)</f>
        <v>18</v>
      </c>
      <c r="K456" s="39">
        <f>VLOOKUP('Data 1'!$B456,'Data 2'!$A$1:$F$46,MATCH('Data 1'!K$1,'Data 2'!$A$1:$F$1,0),0)</f>
        <v>24.66</v>
      </c>
      <c r="L456" s="40">
        <f>SUM('Data 1'!$J456*'Data 1'!$C456)</f>
        <v>90</v>
      </c>
      <c r="M456" s="40">
        <f>'Data 1'!$C456*'Data 1'!$K456</f>
        <v>123.3</v>
      </c>
      <c r="N456" s="40">
        <f>'Data 1'!$M456-'Data 1'!$L456</f>
        <v>33.299999999999997</v>
      </c>
      <c r="O456" s="37">
        <f>DAY('Data 1'!$A456)</f>
        <v>21</v>
      </c>
      <c r="P456" s="37" t="str">
        <f>TEXT('Data 1'!$A456,"mmm")</f>
        <v>Sep</v>
      </c>
      <c r="Q456" s="41">
        <f>YEAR('Data 1'!$A456)</f>
        <v>2022</v>
      </c>
    </row>
    <row r="457" spans="1:17" x14ac:dyDescent="0.3">
      <c r="A457" s="35">
        <v>44826</v>
      </c>
      <c r="B457" s="36" t="s">
        <v>42</v>
      </c>
      <c r="C457" s="37">
        <v>12</v>
      </c>
      <c r="D457" s="37" t="s">
        <v>17</v>
      </c>
      <c r="E457" s="37" t="s">
        <v>17</v>
      </c>
      <c r="F457" s="38">
        <v>0</v>
      </c>
      <c r="G457" s="42" t="str">
        <f>VLOOKUP('Data 1'!$B457,'Data 2'!$A$1:$F$46,MATCH('Data 1'!G$1,'Data 2'!$A$1:$F$1,0),0)</f>
        <v>Product43</v>
      </c>
      <c r="H457" s="42" t="str">
        <f>VLOOKUP('Data 1'!$B457,'Data 2'!$A$1:$F$46,MATCH('Data 1'!H$1,'Data 2'!$A$1:$F$1,0),0)</f>
        <v>Category05</v>
      </c>
      <c r="I457" s="42" t="str">
        <f>VLOOKUP('Data 1'!$B457,'Data 2'!$A$1:$F$46,MATCH('Data 1'!I$1,'Data 2'!$A$1:$F$1,0),0)</f>
        <v>Kg</v>
      </c>
      <c r="J457" s="42">
        <f>VLOOKUP('Data 1'!$B457,'Data 2'!$A$1:$F$46,MATCH('Data 1'!J$1,'Data 2'!$A$1:$F$1,0),0)</f>
        <v>67</v>
      </c>
      <c r="K457" s="42">
        <f>VLOOKUP('Data 1'!$B457,'Data 2'!$A$1:$F$46,MATCH('Data 1'!K$1,'Data 2'!$A$1:$F$1,0),0)</f>
        <v>83.08</v>
      </c>
      <c r="L457" s="40">
        <f>SUM('Data 1'!$J457*'Data 1'!$C457)</f>
        <v>804</v>
      </c>
      <c r="M457" s="40">
        <f>'Data 1'!$C457*'Data 1'!$K457</f>
        <v>996.96</v>
      </c>
      <c r="N457" s="40">
        <f>'Data 1'!$M457-'Data 1'!$L457</f>
        <v>192.96000000000004</v>
      </c>
      <c r="O457" s="37">
        <f>DAY('Data 1'!$A457)</f>
        <v>22</v>
      </c>
      <c r="P457" s="37" t="str">
        <f>TEXT('Data 1'!$A457,"mmm")</f>
        <v>Sep</v>
      </c>
      <c r="Q457" s="41">
        <f>YEAR('Data 1'!$A457)</f>
        <v>2022</v>
      </c>
    </row>
    <row r="458" spans="1:17" x14ac:dyDescent="0.3">
      <c r="A458" s="35">
        <v>44827</v>
      </c>
      <c r="B458" s="36" t="s">
        <v>54</v>
      </c>
      <c r="C458" s="37">
        <v>12</v>
      </c>
      <c r="D458" s="37" t="s">
        <v>21</v>
      </c>
      <c r="E458" s="37" t="s">
        <v>17</v>
      </c>
      <c r="F458" s="38">
        <v>0</v>
      </c>
      <c r="G458" s="39" t="str">
        <f>VLOOKUP('Data 1'!$B458,'Data 2'!$A$1:$F$46,MATCH('Data 1'!G$1,'Data 2'!$A$1:$F$1,0),0)</f>
        <v>Product12</v>
      </c>
      <c r="H458" s="39" t="str">
        <f>VLOOKUP('Data 1'!$B458,'Data 2'!$A$1:$F$46,MATCH('Data 1'!H$1,'Data 2'!$A$1:$F$1,0),0)</f>
        <v>Category02</v>
      </c>
      <c r="I458" s="39" t="str">
        <f>VLOOKUP('Data 1'!$B458,'Data 2'!$A$1:$F$46,MATCH('Data 1'!I$1,'Data 2'!$A$1:$F$1,0),0)</f>
        <v>Kg</v>
      </c>
      <c r="J458" s="39">
        <f>VLOOKUP('Data 1'!$B458,'Data 2'!$A$1:$F$46,MATCH('Data 1'!J$1,'Data 2'!$A$1:$F$1,0),0)</f>
        <v>73</v>
      </c>
      <c r="K458" s="39">
        <f>VLOOKUP('Data 1'!$B458,'Data 2'!$A$1:$F$46,MATCH('Data 1'!K$1,'Data 2'!$A$1:$F$1,0),0)</f>
        <v>94.17</v>
      </c>
      <c r="L458" s="40">
        <f>SUM('Data 1'!$J458*'Data 1'!$C458)</f>
        <v>876</v>
      </c>
      <c r="M458" s="40">
        <f>'Data 1'!$C458*'Data 1'!$K458</f>
        <v>1130.04</v>
      </c>
      <c r="N458" s="40">
        <f>'Data 1'!$M458-'Data 1'!$L458</f>
        <v>254.03999999999996</v>
      </c>
      <c r="O458" s="37">
        <f>DAY('Data 1'!$A458)</f>
        <v>23</v>
      </c>
      <c r="P458" s="37" t="str">
        <f>TEXT('Data 1'!$A458,"mmm")</f>
        <v>Sep</v>
      </c>
      <c r="Q458" s="41">
        <f>YEAR('Data 1'!$A458)</f>
        <v>2022</v>
      </c>
    </row>
    <row r="459" spans="1:17" x14ac:dyDescent="0.3">
      <c r="A459" s="35">
        <v>44828</v>
      </c>
      <c r="B459" s="36" t="s">
        <v>37</v>
      </c>
      <c r="C459" s="37">
        <v>14</v>
      </c>
      <c r="D459" s="37" t="s">
        <v>21</v>
      </c>
      <c r="E459" s="37" t="s">
        <v>17</v>
      </c>
      <c r="F459" s="38">
        <v>0</v>
      </c>
      <c r="G459" s="42" t="str">
        <f>VLOOKUP('Data 1'!$B459,'Data 2'!$A$1:$F$46,MATCH('Data 1'!G$1,'Data 2'!$A$1:$F$1,0),0)</f>
        <v>Product32</v>
      </c>
      <c r="H459" s="42" t="str">
        <f>VLOOKUP('Data 1'!$B459,'Data 2'!$A$1:$F$46,MATCH('Data 1'!H$1,'Data 2'!$A$1:$F$1,0),0)</f>
        <v>Category04</v>
      </c>
      <c r="I459" s="42" t="str">
        <f>VLOOKUP('Data 1'!$B459,'Data 2'!$A$1:$F$46,MATCH('Data 1'!I$1,'Data 2'!$A$1:$F$1,0),0)</f>
        <v>Kg</v>
      </c>
      <c r="J459" s="42">
        <f>VLOOKUP('Data 1'!$B459,'Data 2'!$A$1:$F$46,MATCH('Data 1'!J$1,'Data 2'!$A$1:$F$1,0),0)</f>
        <v>89</v>
      </c>
      <c r="K459" s="42">
        <f>VLOOKUP('Data 1'!$B459,'Data 2'!$A$1:$F$46,MATCH('Data 1'!K$1,'Data 2'!$A$1:$F$1,0),0)</f>
        <v>117.48</v>
      </c>
      <c r="L459" s="40">
        <f>SUM('Data 1'!$J459*'Data 1'!$C459)</f>
        <v>1246</v>
      </c>
      <c r="M459" s="40">
        <f>'Data 1'!$C459*'Data 1'!$K459</f>
        <v>1644.72</v>
      </c>
      <c r="N459" s="40">
        <f>'Data 1'!$M459-'Data 1'!$L459</f>
        <v>398.72</v>
      </c>
      <c r="O459" s="37">
        <f>DAY('Data 1'!$A459)</f>
        <v>24</v>
      </c>
      <c r="P459" s="37" t="str">
        <f>TEXT('Data 1'!$A459,"mmm")</f>
        <v>Sep</v>
      </c>
      <c r="Q459" s="41">
        <f>YEAR('Data 1'!$A459)</f>
        <v>2022</v>
      </c>
    </row>
    <row r="460" spans="1:17" x14ac:dyDescent="0.3">
      <c r="A460" s="35">
        <v>44828</v>
      </c>
      <c r="B460" s="36" t="s">
        <v>37</v>
      </c>
      <c r="C460" s="37">
        <v>8</v>
      </c>
      <c r="D460" s="37" t="s">
        <v>21</v>
      </c>
      <c r="E460" s="37" t="s">
        <v>19</v>
      </c>
      <c r="F460" s="38">
        <v>0</v>
      </c>
      <c r="G460" s="39" t="str">
        <f>VLOOKUP('Data 1'!$B460,'Data 2'!$A$1:$F$46,MATCH('Data 1'!G$1,'Data 2'!$A$1:$F$1,0),0)</f>
        <v>Product32</v>
      </c>
      <c r="H460" s="39" t="str">
        <f>VLOOKUP('Data 1'!$B460,'Data 2'!$A$1:$F$46,MATCH('Data 1'!H$1,'Data 2'!$A$1:$F$1,0),0)</f>
        <v>Category04</v>
      </c>
      <c r="I460" s="39" t="str">
        <f>VLOOKUP('Data 1'!$B460,'Data 2'!$A$1:$F$46,MATCH('Data 1'!I$1,'Data 2'!$A$1:$F$1,0),0)</f>
        <v>Kg</v>
      </c>
      <c r="J460" s="39">
        <f>VLOOKUP('Data 1'!$B460,'Data 2'!$A$1:$F$46,MATCH('Data 1'!J$1,'Data 2'!$A$1:$F$1,0),0)</f>
        <v>89</v>
      </c>
      <c r="K460" s="39">
        <f>VLOOKUP('Data 1'!$B460,'Data 2'!$A$1:$F$46,MATCH('Data 1'!K$1,'Data 2'!$A$1:$F$1,0),0)</f>
        <v>117.48</v>
      </c>
      <c r="L460" s="40">
        <f>SUM('Data 1'!$J460*'Data 1'!$C460)</f>
        <v>712</v>
      </c>
      <c r="M460" s="40">
        <f>'Data 1'!$C460*'Data 1'!$K460</f>
        <v>939.84</v>
      </c>
      <c r="N460" s="40">
        <f>'Data 1'!$M460-'Data 1'!$L460</f>
        <v>227.84000000000003</v>
      </c>
      <c r="O460" s="37">
        <f>DAY('Data 1'!$A460)</f>
        <v>24</v>
      </c>
      <c r="P460" s="37" t="str">
        <f>TEXT('Data 1'!$A460,"mmm")</f>
        <v>Sep</v>
      </c>
      <c r="Q460" s="41">
        <f>YEAR('Data 1'!$A460)</f>
        <v>2022</v>
      </c>
    </row>
    <row r="461" spans="1:17" x14ac:dyDescent="0.3">
      <c r="A461" s="35">
        <v>44831</v>
      </c>
      <c r="B461" s="36" t="s">
        <v>62</v>
      </c>
      <c r="C461" s="37">
        <v>4</v>
      </c>
      <c r="D461" s="37" t="s">
        <v>21</v>
      </c>
      <c r="E461" s="37" t="s">
        <v>19</v>
      </c>
      <c r="F461" s="38">
        <v>0</v>
      </c>
      <c r="G461" s="42" t="str">
        <f>VLOOKUP('Data 1'!$B461,'Data 2'!$A$1:$F$46,MATCH('Data 1'!G$1,'Data 2'!$A$1:$F$1,0),0)</f>
        <v>Product36</v>
      </c>
      <c r="H461" s="42" t="str">
        <f>VLOOKUP('Data 1'!$B461,'Data 2'!$A$1:$F$46,MATCH('Data 1'!H$1,'Data 2'!$A$1:$F$1,0),0)</f>
        <v>Category04</v>
      </c>
      <c r="I461" s="42" t="str">
        <f>VLOOKUP('Data 1'!$B461,'Data 2'!$A$1:$F$46,MATCH('Data 1'!I$1,'Data 2'!$A$1:$F$1,0),0)</f>
        <v>Kg</v>
      </c>
      <c r="J461" s="42">
        <f>VLOOKUP('Data 1'!$B461,'Data 2'!$A$1:$F$46,MATCH('Data 1'!J$1,'Data 2'!$A$1:$F$1,0),0)</f>
        <v>90</v>
      </c>
      <c r="K461" s="42">
        <f>VLOOKUP('Data 1'!$B461,'Data 2'!$A$1:$F$46,MATCH('Data 1'!K$1,'Data 2'!$A$1:$F$1,0),0)</f>
        <v>96.3</v>
      </c>
      <c r="L461" s="40">
        <f>SUM('Data 1'!$J461*'Data 1'!$C461)</f>
        <v>360</v>
      </c>
      <c r="M461" s="40">
        <f>'Data 1'!$C461*'Data 1'!$K461</f>
        <v>385.2</v>
      </c>
      <c r="N461" s="40">
        <f>'Data 1'!$M461-'Data 1'!$L461</f>
        <v>25.199999999999989</v>
      </c>
      <c r="O461" s="37">
        <f>DAY('Data 1'!$A461)</f>
        <v>27</v>
      </c>
      <c r="P461" s="37" t="str">
        <f>TEXT('Data 1'!$A461,"mmm")</f>
        <v>Sep</v>
      </c>
      <c r="Q461" s="41">
        <f>YEAR('Data 1'!$A461)</f>
        <v>2022</v>
      </c>
    </row>
    <row r="462" spans="1:17" x14ac:dyDescent="0.3">
      <c r="A462" s="35">
        <v>44831</v>
      </c>
      <c r="B462" s="36" t="s">
        <v>30</v>
      </c>
      <c r="C462" s="37">
        <v>9</v>
      </c>
      <c r="D462" s="37" t="s">
        <v>21</v>
      </c>
      <c r="E462" s="37" t="s">
        <v>19</v>
      </c>
      <c r="F462" s="38">
        <v>0</v>
      </c>
      <c r="G462" s="39" t="str">
        <f>VLOOKUP('Data 1'!$B462,'Data 2'!$A$1:$F$46,MATCH('Data 1'!G$1,'Data 2'!$A$1:$F$1,0),0)</f>
        <v>Product44</v>
      </c>
      <c r="H462" s="39" t="str">
        <f>VLOOKUP('Data 1'!$B462,'Data 2'!$A$1:$F$46,MATCH('Data 1'!H$1,'Data 2'!$A$1:$F$1,0),0)</f>
        <v>Category05</v>
      </c>
      <c r="I462" s="39" t="str">
        <f>VLOOKUP('Data 1'!$B462,'Data 2'!$A$1:$F$46,MATCH('Data 1'!I$1,'Data 2'!$A$1:$F$1,0),0)</f>
        <v>Kg</v>
      </c>
      <c r="J462" s="39">
        <f>VLOOKUP('Data 1'!$B462,'Data 2'!$A$1:$F$46,MATCH('Data 1'!J$1,'Data 2'!$A$1:$F$1,0),0)</f>
        <v>76</v>
      </c>
      <c r="K462" s="39">
        <f>VLOOKUP('Data 1'!$B462,'Data 2'!$A$1:$F$46,MATCH('Data 1'!K$1,'Data 2'!$A$1:$F$1,0),0)</f>
        <v>82.08</v>
      </c>
      <c r="L462" s="40">
        <f>SUM('Data 1'!$J462*'Data 1'!$C462)</f>
        <v>684</v>
      </c>
      <c r="M462" s="40">
        <f>'Data 1'!$C462*'Data 1'!$K462</f>
        <v>738.72</v>
      </c>
      <c r="N462" s="40">
        <f>'Data 1'!$M462-'Data 1'!$L462</f>
        <v>54.720000000000027</v>
      </c>
      <c r="O462" s="37">
        <f>DAY('Data 1'!$A462)</f>
        <v>27</v>
      </c>
      <c r="P462" s="37" t="str">
        <f>TEXT('Data 1'!$A462,"mmm")</f>
        <v>Sep</v>
      </c>
      <c r="Q462" s="41">
        <f>YEAR('Data 1'!$A462)</f>
        <v>2022</v>
      </c>
    </row>
    <row r="463" spans="1:17" x14ac:dyDescent="0.3">
      <c r="A463" s="35">
        <v>44831</v>
      </c>
      <c r="B463" s="36" t="s">
        <v>18</v>
      </c>
      <c r="C463" s="37">
        <v>3</v>
      </c>
      <c r="D463" s="37" t="s">
        <v>16</v>
      </c>
      <c r="E463" s="37" t="s">
        <v>19</v>
      </c>
      <c r="F463" s="38">
        <v>0</v>
      </c>
      <c r="G463" s="42" t="str">
        <f>VLOOKUP('Data 1'!$B463,'Data 2'!$A$1:$F$46,MATCH('Data 1'!G$1,'Data 2'!$A$1:$F$1,0),0)</f>
        <v>Product38</v>
      </c>
      <c r="H463" s="42" t="str">
        <f>VLOOKUP('Data 1'!$B463,'Data 2'!$A$1:$F$46,MATCH('Data 1'!H$1,'Data 2'!$A$1:$F$1,0),0)</f>
        <v>Category05</v>
      </c>
      <c r="I463" s="42" t="str">
        <f>VLOOKUP('Data 1'!$B463,'Data 2'!$A$1:$F$46,MATCH('Data 1'!I$1,'Data 2'!$A$1:$F$1,0),0)</f>
        <v>Kg</v>
      </c>
      <c r="J463" s="42">
        <f>VLOOKUP('Data 1'!$B463,'Data 2'!$A$1:$F$46,MATCH('Data 1'!J$1,'Data 2'!$A$1:$F$1,0),0)</f>
        <v>72</v>
      </c>
      <c r="K463" s="42">
        <f>VLOOKUP('Data 1'!$B463,'Data 2'!$A$1:$F$46,MATCH('Data 1'!K$1,'Data 2'!$A$1:$F$1,0),0)</f>
        <v>79.92</v>
      </c>
      <c r="L463" s="40">
        <f>SUM('Data 1'!$J463*'Data 1'!$C463)</f>
        <v>216</v>
      </c>
      <c r="M463" s="40">
        <f>'Data 1'!$C463*'Data 1'!$K463</f>
        <v>239.76</v>
      </c>
      <c r="N463" s="40">
        <f>'Data 1'!$M463-'Data 1'!$L463</f>
        <v>23.759999999999991</v>
      </c>
      <c r="O463" s="37">
        <f>DAY('Data 1'!$A463)</f>
        <v>27</v>
      </c>
      <c r="P463" s="37" t="str">
        <f>TEXT('Data 1'!$A463,"mmm")</f>
        <v>Sep</v>
      </c>
      <c r="Q463" s="41">
        <f>YEAR('Data 1'!$A463)</f>
        <v>2022</v>
      </c>
    </row>
    <row r="464" spans="1:17" x14ac:dyDescent="0.3">
      <c r="A464" s="35">
        <v>44833</v>
      </c>
      <c r="B464" s="36" t="s">
        <v>32</v>
      </c>
      <c r="C464" s="37">
        <v>13</v>
      </c>
      <c r="D464" s="37" t="s">
        <v>21</v>
      </c>
      <c r="E464" s="37" t="s">
        <v>17</v>
      </c>
      <c r="F464" s="38">
        <v>0</v>
      </c>
      <c r="G464" s="39" t="str">
        <f>VLOOKUP('Data 1'!$B464,'Data 2'!$A$1:$F$46,MATCH('Data 1'!G$1,'Data 2'!$A$1:$F$1,0),0)</f>
        <v>Product34</v>
      </c>
      <c r="H464" s="39" t="str">
        <f>VLOOKUP('Data 1'!$B464,'Data 2'!$A$1:$F$46,MATCH('Data 1'!H$1,'Data 2'!$A$1:$F$1,0),0)</f>
        <v>Category04</v>
      </c>
      <c r="I464" s="39" t="str">
        <f>VLOOKUP('Data 1'!$B464,'Data 2'!$A$1:$F$46,MATCH('Data 1'!I$1,'Data 2'!$A$1:$F$1,0),0)</f>
        <v>Lt</v>
      </c>
      <c r="J464" s="39">
        <f>VLOOKUP('Data 1'!$B464,'Data 2'!$A$1:$F$46,MATCH('Data 1'!J$1,'Data 2'!$A$1:$F$1,0),0)</f>
        <v>55</v>
      </c>
      <c r="K464" s="39">
        <f>VLOOKUP('Data 1'!$B464,'Data 2'!$A$1:$F$46,MATCH('Data 1'!K$1,'Data 2'!$A$1:$F$1,0),0)</f>
        <v>58.3</v>
      </c>
      <c r="L464" s="40">
        <f>SUM('Data 1'!$J464*'Data 1'!$C464)</f>
        <v>715</v>
      </c>
      <c r="M464" s="40">
        <f>'Data 1'!$C464*'Data 1'!$K464</f>
        <v>757.9</v>
      </c>
      <c r="N464" s="40">
        <f>'Data 1'!$M464-'Data 1'!$L464</f>
        <v>42.899999999999977</v>
      </c>
      <c r="O464" s="37">
        <f>DAY('Data 1'!$A464)</f>
        <v>29</v>
      </c>
      <c r="P464" s="37" t="str">
        <f>TEXT('Data 1'!$A464,"mmm")</f>
        <v>Sep</v>
      </c>
      <c r="Q464" s="41">
        <f>YEAR('Data 1'!$A464)</f>
        <v>2022</v>
      </c>
    </row>
    <row r="465" spans="1:17" x14ac:dyDescent="0.3">
      <c r="A465" s="35">
        <v>44837</v>
      </c>
      <c r="B465" s="36" t="s">
        <v>50</v>
      </c>
      <c r="C465" s="37">
        <v>5</v>
      </c>
      <c r="D465" s="37" t="s">
        <v>21</v>
      </c>
      <c r="E465" s="37" t="s">
        <v>19</v>
      </c>
      <c r="F465" s="38">
        <v>0</v>
      </c>
      <c r="G465" s="42" t="str">
        <f>VLOOKUP('Data 1'!$B465,'Data 2'!$A$1:$F$46,MATCH('Data 1'!G$1,'Data 2'!$A$1:$F$1,0),0)</f>
        <v>Product11</v>
      </c>
      <c r="H465" s="42" t="str">
        <f>VLOOKUP('Data 1'!$B465,'Data 2'!$A$1:$F$46,MATCH('Data 1'!H$1,'Data 2'!$A$1:$F$1,0),0)</f>
        <v>Category02</v>
      </c>
      <c r="I465" s="42" t="str">
        <f>VLOOKUP('Data 1'!$B465,'Data 2'!$A$1:$F$46,MATCH('Data 1'!I$1,'Data 2'!$A$1:$F$1,0),0)</f>
        <v>Lt</v>
      </c>
      <c r="J465" s="42">
        <f>VLOOKUP('Data 1'!$B465,'Data 2'!$A$1:$F$46,MATCH('Data 1'!J$1,'Data 2'!$A$1:$F$1,0),0)</f>
        <v>44</v>
      </c>
      <c r="K465" s="42">
        <f>VLOOKUP('Data 1'!$B465,'Data 2'!$A$1:$F$46,MATCH('Data 1'!K$1,'Data 2'!$A$1:$F$1,0),0)</f>
        <v>48.4</v>
      </c>
      <c r="L465" s="40">
        <f>SUM('Data 1'!$J465*'Data 1'!$C465)</f>
        <v>220</v>
      </c>
      <c r="M465" s="40">
        <f>'Data 1'!$C465*'Data 1'!$K465</f>
        <v>242</v>
      </c>
      <c r="N465" s="40">
        <f>'Data 1'!$M465-'Data 1'!$L465</f>
        <v>22</v>
      </c>
      <c r="O465" s="37">
        <f>DAY('Data 1'!$A465)</f>
        <v>3</v>
      </c>
      <c r="P465" s="37" t="str">
        <f>TEXT('Data 1'!$A465,"mmm")</f>
        <v>Oct</v>
      </c>
      <c r="Q465" s="41">
        <f>YEAR('Data 1'!$A465)</f>
        <v>2022</v>
      </c>
    </row>
    <row r="466" spans="1:17" x14ac:dyDescent="0.3">
      <c r="A466" s="35">
        <v>44838</v>
      </c>
      <c r="B466" s="36" t="s">
        <v>55</v>
      </c>
      <c r="C466" s="37">
        <v>15</v>
      </c>
      <c r="D466" s="37" t="s">
        <v>21</v>
      </c>
      <c r="E466" s="37" t="s">
        <v>17</v>
      </c>
      <c r="F466" s="38">
        <v>0</v>
      </c>
      <c r="G466" s="39" t="str">
        <f>VLOOKUP('Data 1'!$B466,'Data 2'!$A$1:$F$46,MATCH('Data 1'!G$1,'Data 2'!$A$1:$F$1,0),0)</f>
        <v>Product07</v>
      </c>
      <c r="H466" s="39" t="str">
        <f>VLOOKUP('Data 1'!$B466,'Data 2'!$A$1:$F$46,MATCH('Data 1'!H$1,'Data 2'!$A$1:$F$1,0),0)</f>
        <v>Category01</v>
      </c>
      <c r="I466" s="39" t="str">
        <f>VLOOKUP('Data 1'!$B466,'Data 2'!$A$1:$F$46,MATCH('Data 1'!I$1,'Data 2'!$A$1:$F$1,0),0)</f>
        <v>Lt</v>
      </c>
      <c r="J466" s="39">
        <f>VLOOKUP('Data 1'!$B466,'Data 2'!$A$1:$F$46,MATCH('Data 1'!J$1,'Data 2'!$A$1:$F$1,0),0)</f>
        <v>43</v>
      </c>
      <c r="K466" s="39">
        <f>VLOOKUP('Data 1'!$B466,'Data 2'!$A$1:$F$46,MATCH('Data 1'!K$1,'Data 2'!$A$1:$F$1,0),0)</f>
        <v>47.730000000000004</v>
      </c>
      <c r="L466" s="40">
        <f>SUM('Data 1'!$J466*'Data 1'!$C466)</f>
        <v>645</v>
      </c>
      <c r="M466" s="40">
        <f>'Data 1'!$C466*'Data 1'!$K466</f>
        <v>715.95</v>
      </c>
      <c r="N466" s="40">
        <f>'Data 1'!$M466-'Data 1'!$L466</f>
        <v>70.950000000000045</v>
      </c>
      <c r="O466" s="37">
        <f>DAY('Data 1'!$A466)</f>
        <v>4</v>
      </c>
      <c r="P466" s="37" t="str">
        <f>TEXT('Data 1'!$A466,"mmm")</f>
        <v>Oct</v>
      </c>
      <c r="Q466" s="41">
        <f>YEAR('Data 1'!$A466)</f>
        <v>2022</v>
      </c>
    </row>
    <row r="467" spans="1:17" x14ac:dyDescent="0.3">
      <c r="A467" s="35">
        <v>44840</v>
      </c>
      <c r="B467" s="36" t="s">
        <v>23</v>
      </c>
      <c r="C467" s="37">
        <v>1</v>
      </c>
      <c r="D467" s="37" t="s">
        <v>21</v>
      </c>
      <c r="E467" s="37" t="s">
        <v>17</v>
      </c>
      <c r="F467" s="38">
        <v>0</v>
      </c>
      <c r="G467" s="42" t="str">
        <f>VLOOKUP('Data 1'!$B467,'Data 2'!$A$1:$F$46,MATCH('Data 1'!G$1,'Data 2'!$A$1:$F$1,0),0)</f>
        <v>Product35</v>
      </c>
      <c r="H467" s="42" t="str">
        <f>VLOOKUP('Data 1'!$B467,'Data 2'!$A$1:$F$46,MATCH('Data 1'!H$1,'Data 2'!$A$1:$F$1,0),0)</f>
        <v>Category04</v>
      </c>
      <c r="I467" s="42" t="str">
        <f>VLOOKUP('Data 1'!$B467,'Data 2'!$A$1:$F$46,MATCH('Data 1'!I$1,'Data 2'!$A$1:$F$1,0),0)</f>
        <v>No.</v>
      </c>
      <c r="J467" s="42">
        <f>VLOOKUP('Data 1'!$B467,'Data 2'!$A$1:$F$46,MATCH('Data 1'!J$1,'Data 2'!$A$1:$F$1,0),0)</f>
        <v>5</v>
      </c>
      <c r="K467" s="42">
        <f>VLOOKUP('Data 1'!$B467,'Data 2'!$A$1:$F$46,MATCH('Data 1'!K$1,'Data 2'!$A$1:$F$1,0),0)</f>
        <v>6.7</v>
      </c>
      <c r="L467" s="40">
        <f>SUM('Data 1'!$J467*'Data 1'!$C467)</f>
        <v>5</v>
      </c>
      <c r="M467" s="40">
        <f>'Data 1'!$C467*'Data 1'!$K467</f>
        <v>6.7</v>
      </c>
      <c r="N467" s="40">
        <f>'Data 1'!$M467-'Data 1'!$L467</f>
        <v>1.7000000000000002</v>
      </c>
      <c r="O467" s="37">
        <f>DAY('Data 1'!$A467)</f>
        <v>6</v>
      </c>
      <c r="P467" s="37" t="str">
        <f>TEXT('Data 1'!$A467,"mmm")</f>
        <v>Oct</v>
      </c>
      <c r="Q467" s="41">
        <f>YEAR('Data 1'!$A467)</f>
        <v>2022</v>
      </c>
    </row>
    <row r="468" spans="1:17" x14ac:dyDescent="0.3">
      <c r="A468" s="35">
        <v>44843</v>
      </c>
      <c r="B468" s="36" t="s">
        <v>18</v>
      </c>
      <c r="C468" s="37">
        <v>14</v>
      </c>
      <c r="D468" s="37" t="s">
        <v>17</v>
      </c>
      <c r="E468" s="37" t="s">
        <v>17</v>
      </c>
      <c r="F468" s="38">
        <v>0</v>
      </c>
      <c r="G468" s="39" t="str">
        <f>VLOOKUP('Data 1'!$B468,'Data 2'!$A$1:$F$46,MATCH('Data 1'!G$1,'Data 2'!$A$1:$F$1,0),0)</f>
        <v>Product38</v>
      </c>
      <c r="H468" s="39" t="str">
        <f>VLOOKUP('Data 1'!$B468,'Data 2'!$A$1:$F$46,MATCH('Data 1'!H$1,'Data 2'!$A$1:$F$1,0),0)</f>
        <v>Category05</v>
      </c>
      <c r="I468" s="39" t="str">
        <f>VLOOKUP('Data 1'!$B468,'Data 2'!$A$1:$F$46,MATCH('Data 1'!I$1,'Data 2'!$A$1:$F$1,0),0)</f>
        <v>Kg</v>
      </c>
      <c r="J468" s="39">
        <f>VLOOKUP('Data 1'!$B468,'Data 2'!$A$1:$F$46,MATCH('Data 1'!J$1,'Data 2'!$A$1:$F$1,0),0)</f>
        <v>72</v>
      </c>
      <c r="K468" s="39">
        <f>VLOOKUP('Data 1'!$B468,'Data 2'!$A$1:$F$46,MATCH('Data 1'!K$1,'Data 2'!$A$1:$F$1,0),0)</f>
        <v>79.92</v>
      </c>
      <c r="L468" s="40">
        <f>SUM('Data 1'!$J468*'Data 1'!$C468)</f>
        <v>1008</v>
      </c>
      <c r="M468" s="40">
        <f>'Data 1'!$C468*'Data 1'!$K468</f>
        <v>1118.8800000000001</v>
      </c>
      <c r="N468" s="40">
        <f>'Data 1'!$M468-'Data 1'!$L468</f>
        <v>110.88000000000011</v>
      </c>
      <c r="O468" s="37">
        <f>DAY('Data 1'!$A468)</f>
        <v>9</v>
      </c>
      <c r="P468" s="37" t="str">
        <f>TEXT('Data 1'!$A468,"mmm")</f>
        <v>Oct</v>
      </c>
      <c r="Q468" s="41">
        <f>YEAR('Data 1'!$A468)</f>
        <v>2022</v>
      </c>
    </row>
    <row r="469" spans="1:17" x14ac:dyDescent="0.3">
      <c r="A469" s="35">
        <v>44844</v>
      </c>
      <c r="B469" s="36" t="s">
        <v>59</v>
      </c>
      <c r="C469" s="37">
        <v>9</v>
      </c>
      <c r="D469" s="37" t="s">
        <v>21</v>
      </c>
      <c r="E469" s="37" t="s">
        <v>17</v>
      </c>
      <c r="F469" s="38">
        <v>0</v>
      </c>
      <c r="G469" s="42" t="str">
        <f>VLOOKUP('Data 1'!$B469,'Data 2'!$A$1:$F$46,MATCH('Data 1'!G$1,'Data 2'!$A$1:$F$1,0),0)</f>
        <v>Product19</v>
      </c>
      <c r="H469" s="42" t="str">
        <f>VLOOKUP('Data 1'!$B469,'Data 2'!$A$1:$F$46,MATCH('Data 1'!H$1,'Data 2'!$A$1:$F$1,0),0)</f>
        <v>Category02</v>
      </c>
      <c r="I469" s="42" t="str">
        <f>VLOOKUP('Data 1'!$B469,'Data 2'!$A$1:$F$46,MATCH('Data 1'!I$1,'Data 2'!$A$1:$F$1,0),0)</f>
        <v>Ft</v>
      </c>
      <c r="J469" s="42">
        <f>VLOOKUP('Data 1'!$B469,'Data 2'!$A$1:$F$46,MATCH('Data 1'!J$1,'Data 2'!$A$1:$F$1,0),0)</f>
        <v>150</v>
      </c>
      <c r="K469" s="42">
        <f>VLOOKUP('Data 1'!$B469,'Data 2'!$A$1:$F$46,MATCH('Data 1'!K$1,'Data 2'!$A$1:$F$1,0),0)</f>
        <v>210</v>
      </c>
      <c r="L469" s="40">
        <f>SUM('Data 1'!$J469*'Data 1'!$C469)</f>
        <v>1350</v>
      </c>
      <c r="M469" s="40">
        <f>'Data 1'!$C469*'Data 1'!$K469</f>
        <v>1890</v>
      </c>
      <c r="N469" s="40">
        <f>'Data 1'!$M469-'Data 1'!$L469</f>
        <v>540</v>
      </c>
      <c r="O469" s="37">
        <f>DAY('Data 1'!$A469)</f>
        <v>10</v>
      </c>
      <c r="P469" s="37" t="str">
        <f>TEXT('Data 1'!$A469,"mmm")</f>
        <v>Oct</v>
      </c>
      <c r="Q469" s="41">
        <f>YEAR('Data 1'!$A469)</f>
        <v>2022</v>
      </c>
    </row>
    <row r="470" spans="1:17" x14ac:dyDescent="0.3">
      <c r="A470" s="35">
        <v>44844</v>
      </c>
      <c r="B470" s="36" t="s">
        <v>30</v>
      </c>
      <c r="C470" s="37">
        <v>12</v>
      </c>
      <c r="D470" s="37" t="s">
        <v>17</v>
      </c>
      <c r="E470" s="37" t="s">
        <v>17</v>
      </c>
      <c r="F470" s="38">
        <v>0</v>
      </c>
      <c r="G470" s="39" t="str">
        <f>VLOOKUP('Data 1'!$B470,'Data 2'!$A$1:$F$46,MATCH('Data 1'!G$1,'Data 2'!$A$1:$F$1,0),0)</f>
        <v>Product44</v>
      </c>
      <c r="H470" s="39" t="str">
        <f>VLOOKUP('Data 1'!$B470,'Data 2'!$A$1:$F$46,MATCH('Data 1'!H$1,'Data 2'!$A$1:$F$1,0),0)</f>
        <v>Category05</v>
      </c>
      <c r="I470" s="39" t="str">
        <f>VLOOKUP('Data 1'!$B470,'Data 2'!$A$1:$F$46,MATCH('Data 1'!I$1,'Data 2'!$A$1:$F$1,0),0)</f>
        <v>Kg</v>
      </c>
      <c r="J470" s="39">
        <f>VLOOKUP('Data 1'!$B470,'Data 2'!$A$1:$F$46,MATCH('Data 1'!J$1,'Data 2'!$A$1:$F$1,0),0)</f>
        <v>76</v>
      </c>
      <c r="K470" s="39">
        <f>VLOOKUP('Data 1'!$B470,'Data 2'!$A$1:$F$46,MATCH('Data 1'!K$1,'Data 2'!$A$1:$F$1,0),0)</f>
        <v>82.08</v>
      </c>
      <c r="L470" s="40">
        <f>SUM('Data 1'!$J470*'Data 1'!$C470)</f>
        <v>912</v>
      </c>
      <c r="M470" s="40">
        <f>'Data 1'!$C470*'Data 1'!$K470</f>
        <v>984.96</v>
      </c>
      <c r="N470" s="40">
        <f>'Data 1'!$M470-'Data 1'!$L470</f>
        <v>72.960000000000036</v>
      </c>
      <c r="O470" s="37">
        <f>DAY('Data 1'!$A470)</f>
        <v>10</v>
      </c>
      <c r="P470" s="37" t="str">
        <f>TEXT('Data 1'!$A470,"mmm")</f>
        <v>Oct</v>
      </c>
      <c r="Q470" s="41">
        <f>YEAR('Data 1'!$A470)</f>
        <v>2022</v>
      </c>
    </row>
    <row r="471" spans="1:17" x14ac:dyDescent="0.3">
      <c r="A471" s="35">
        <v>44845</v>
      </c>
      <c r="B471" s="36" t="s">
        <v>44</v>
      </c>
      <c r="C471" s="37">
        <v>10</v>
      </c>
      <c r="D471" s="37" t="s">
        <v>21</v>
      </c>
      <c r="E471" s="37" t="s">
        <v>17</v>
      </c>
      <c r="F471" s="38">
        <v>0</v>
      </c>
      <c r="G471" s="42" t="str">
        <f>VLOOKUP('Data 1'!$B471,'Data 2'!$A$1:$F$46,MATCH('Data 1'!G$1,'Data 2'!$A$1:$F$1,0),0)</f>
        <v>Product08</v>
      </c>
      <c r="H471" s="42" t="str">
        <f>VLOOKUP('Data 1'!$B471,'Data 2'!$A$1:$F$46,MATCH('Data 1'!H$1,'Data 2'!$A$1:$F$1,0),0)</f>
        <v>Category01</v>
      </c>
      <c r="I471" s="42" t="str">
        <f>VLOOKUP('Data 1'!$B471,'Data 2'!$A$1:$F$46,MATCH('Data 1'!I$1,'Data 2'!$A$1:$F$1,0),0)</f>
        <v>Kg</v>
      </c>
      <c r="J471" s="42">
        <f>VLOOKUP('Data 1'!$B471,'Data 2'!$A$1:$F$46,MATCH('Data 1'!J$1,'Data 2'!$A$1:$F$1,0),0)</f>
        <v>83</v>
      </c>
      <c r="K471" s="42">
        <f>VLOOKUP('Data 1'!$B471,'Data 2'!$A$1:$F$46,MATCH('Data 1'!K$1,'Data 2'!$A$1:$F$1,0),0)</f>
        <v>94.62</v>
      </c>
      <c r="L471" s="40">
        <f>SUM('Data 1'!$J471*'Data 1'!$C471)</f>
        <v>830</v>
      </c>
      <c r="M471" s="40">
        <f>'Data 1'!$C471*'Data 1'!$K471</f>
        <v>946.2</v>
      </c>
      <c r="N471" s="40">
        <f>'Data 1'!$M471-'Data 1'!$L471</f>
        <v>116.20000000000005</v>
      </c>
      <c r="O471" s="37">
        <f>DAY('Data 1'!$A471)</f>
        <v>11</v>
      </c>
      <c r="P471" s="37" t="str">
        <f>TEXT('Data 1'!$A471,"mmm")</f>
        <v>Oct</v>
      </c>
      <c r="Q471" s="41">
        <f>YEAR('Data 1'!$A471)</f>
        <v>2022</v>
      </c>
    </row>
    <row r="472" spans="1:17" x14ac:dyDescent="0.3">
      <c r="A472" s="35">
        <v>44847</v>
      </c>
      <c r="B472" s="36" t="s">
        <v>48</v>
      </c>
      <c r="C472" s="37">
        <v>15</v>
      </c>
      <c r="D472" s="37" t="s">
        <v>17</v>
      </c>
      <c r="E472" s="37" t="s">
        <v>17</v>
      </c>
      <c r="F472" s="38">
        <v>0</v>
      </c>
      <c r="G472" s="39" t="str">
        <f>VLOOKUP('Data 1'!$B472,'Data 2'!$A$1:$F$46,MATCH('Data 1'!G$1,'Data 2'!$A$1:$F$1,0),0)</f>
        <v>Product02</v>
      </c>
      <c r="H472" s="39" t="str">
        <f>VLOOKUP('Data 1'!$B472,'Data 2'!$A$1:$F$46,MATCH('Data 1'!H$1,'Data 2'!$A$1:$F$1,0),0)</f>
        <v>Category01</v>
      </c>
      <c r="I472" s="39" t="str">
        <f>VLOOKUP('Data 1'!$B472,'Data 2'!$A$1:$F$46,MATCH('Data 1'!I$1,'Data 2'!$A$1:$F$1,0),0)</f>
        <v>Kg</v>
      </c>
      <c r="J472" s="39">
        <f>VLOOKUP('Data 1'!$B472,'Data 2'!$A$1:$F$46,MATCH('Data 1'!J$1,'Data 2'!$A$1:$F$1,0),0)</f>
        <v>105</v>
      </c>
      <c r="K472" s="39">
        <f>VLOOKUP('Data 1'!$B472,'Data 2'!$A$1:$F$46,MATCH('Data 1'!K$1,'Data 2'!$A$1:$F$1,0),0)</f>
        <v>142.80000000000001</v>
      </c>
      <c r="L472" s="40">
        <f>SUM('Data 1'!$J472*'Data 1'!$C472)</f>
        <v>1575</v>
      </c>
      <c r="M472" s="40">
        <f>'Data 1'!$C472*'Data 1'!$K472</f>
        <v>2142</v>
      </c>
      <c r="N472" s="40">
        <f>'Data 1'!$M472-'Data 1'!$L472</f>
        <v>567</v>
      </c>
      <c r="O472" s="37">
        <f>DAY('Data 1'!$A472)</f>
        <v>13</v>
      </c>
      <c r="P472" s="37" t="str">
        <f>TEXT('Data 1'!$A472,"mmm")</f>
        <v>Oct</v>
      </c>
      <c r="Q472" s="41">
        <f>YEAR('Data 1'!$A472)</f>
        <v>2022</v>
      </c>
    </row>
    <row r="473" spans="1:17" x14ac:dyDescent="0.3">
      <c r="A473" s="35">
        <v>44848</v>
      </c>
      <c r="B473" s="36" t="s">
        <v>30</v>
      </c>
      <c r="C473" s="37">
        <v>15</v>
      </c>
      <c r="D473" s="37" t="s">
        <v>16</v>
      </c>
      <c r="E473" s="37" t="s">
        <v>17</v>
      </c>
      <c r="F473" s="38">
        <v>0</v>
      </c>
      <c r="G473" s="42" t="str">
        <f>VLOOKUP('Data 1'!$B473,'Data 2'!$A$1:$F$46,MATCH('Data 1'!G$1,'Data 2'!$A$1:$F$1,0),0)</f>
        <v>Product44</v>
      </c>
      <c r="H473" s="42" t="str">
        <f>VLOOKUP('Data 1'!$B473,'Data 2'!$A$1:$F$46,MATCH('Data 1'!H$1,'Data 2'!$A$1:$F$1,0),0)</f>
        <v>Category05</v>
      </c>
      <c r="I473" s="42" t="str">
        <f>VLOOKUP('Data 1'!$B473,'Data 2'!$A$1:$F$46,MATCH('Data 1'!I$1,'Data 2'!$A$1:$F$1,0),0)</f>
        <v>Kg</v>
      </c>
      <c r="J473" s="42">
        <f>VLOOKUP('Data 1'!$B473,'Data 2'!$A$1:$F$46,MATCH('Data 1'!J$1,'Data 2'!$A$1:$F$1,0),0)</f>
        <v>76</v>
      </c>
      <c r="K473" s="42">
        <f>VLOOKUP('Data 1'!$B473,'Data 2'!$A$1:$F$46,MATCH('Data 1'!K$1,'Data 2'!$A$1:$F$1,0),0)</f>
        <v>82.08</v>
      </c>
      <c r="L473" s="40">
        <f>SUM('Data 1'!$J473*'Data 1'!$C473)</f>
        <v>1140</v>
      </c>
      <c r="M473" s="40">
        <f>'Data 1'!$C473*'Data 1'!$K473</f>
        <v>1231.2</v>
      </c>
      <c r="N473" s="40">
        <f>'Data 1'!$M473-'Data 1'!$L473</f>
        <v>91.200000000000045</v>
      </c>
      <c r="O473" s="37">
        <f>DAY('Data 1'!$A473)</f>
        <v>14</v>
      </c>
      <c r="P473" s="37" t="str">
        <f>TEXT('Data 1'!$A473,"mmm")</f>
        <v>Oct</v>
      </c>
      <c r="Q473" s="41">
        <f>YEAR('Data 1'!$A473)</f>
        <v>2022</v>
      </c>
    </row>
    <row r="474" spans="1:17" x14ac:dyDescent="0.3">
      <c r="A474" s="35">
        <v>44849</v>
      </c>
      <c r="B474" s="36" t="s">
        <v>46</v>
      </c>
      <c r="C474" s="37">
        <v>10</v>
      </c>
      <c r="D474" s="37" t="s">
        <v>21</v>
      </c>
      <c r="E474" s="37" t="s">
        <v>19</v>
      </c>
      <c r="F474" s="38">
        <v>0</v>
      </c>
      <c r="G474" s="39" t="str">
        <f>VLOOKUP('Data 1'!$B474,'Data 2'!$A$1:$F$46,MATCH('Data 1'!G$1,'Data 2'!$A$1:$F$1,0),0)</f>
        <v>Product15</v>
      </c>
      <c r="H474" s="39" t="str">
        <f>VLOOKUP('Data 1'!$B474,'Data 2'!$A$1:$F$46,MATCH('Data 1'!H$1,'Data 2'!$A$1:$F$1,0),0)</f>
        <v>Category02</v>
      </c>
      <c r="I474" s="39" t="str">
        <f>VLOOKUP('Data 1'!$B474,'Data 2'!$A$1:$F$46,MATCH('Data 1'!I$1,'Data 2'!$A$1:$F$1,0),0)</f>
        <v>No.</v>
      </c>
      <c r="J474" s="39">
        <f>VLOOKUP('Data 1'!$B474,'Data 2'!$A$1:$F$46,MATCH('Data 1'!J$1,'Data 2'!$A$1:$F$1,0),0)</f>
        <v>12</v>
      </c>
      <c r="K474" s="39">
        <f>VLOOKUP('Data 1'!$B474,'Data 2'!$A$1:$F$46,MATCH('Data 1'!K$1,'Data 2'!$A$1:$F$1,0),0)</f>
        <v>15.719999999999999</v>
      </c>
      <c r="L474" s="40">
        <f>SUM('Data 1'!$J474*'Data 1'!$C474)</f>
        <v>120</v>
      </c>
      <c r="M474" s="40">
        <f>'Data 1'!$C474*'Data 1'!$K474</f>
        <v>157.19999999999999</v>
      </c>
      <c r="N474" s="40">
        <f>'Data 1'!$M474-'Data 1'!$L474</f>
        <v>37.199999999999989</v>
      </c>
      <c r="O474" s="37">
        <f>DAY('Data 1'!$A474)</f>
        <v>15</v>
      </c>
      <c r="P474" s="37" t="str">
        <f>TEXT('Data 1'!$A474,"mmm")</f>
        <v>Oct</v>
      </c>
      <c r="Q474" s="41">
        <f>YEAR('Data 1'!$A474)</f>
        <v>2022</v>
      </c>
    </row>
    <row r="475" spans="1:17" x14ac:dyDescent="0.3">
      <c r="A475" s="35">
        <v>44850</v>
      </c>
      <c r="B475" s="36" t="s">
        <v>62</v>
      </c>
      <c r="C475" s="37">
        <v>3</v>
      </c>
      <c r="D475" s="37" t="s">
        <v>17</v>
      </c>
      <c r="E475" s="37" t="s">
        <v>17</v>
      </c>
      <c r="F475" s="38">
        <v>0</v>
      </c>
      <c r="G475" s="42" t="str">
        <f>VLOOKUP('Data 1'!$B475,'Data 2'!$A$1:$F$46,MATCH('Data 1'!G$1,'Data 2'!$A$1:$F$1,0),0)</f>
        <v>Product36</v>
      </c>
      <c r="H475" s="42" t="str">
        <f>VLOOKUP('Data 1'!$B475,'Data 2'!$A$1:$F$46,MATCH('Data 1'!H$1,'Data 2'!$A$1:$F$1,0),0)</f>
        <v>Category04</v>
      </c>
      <c r="I475" s="42" t="str">
        <f>VLOOKUP('Data 1'!$B475,'Data 2'!$A$1:$F$46,MATCH('Data 1'!I$1,'Data 2'!$A$1:$F$1,0),0)</f>
        <v>Kg</v>
      </c>
      <c r="J475" s="42">
        <f>VLOOKUP('Data 1'!$B475,'Data 2'!$A$1:$F$46,MATCH('Data 1'!J$1,'Data 2'!$A$1:$F$1,0),0)</f>
        <v>90</v>
      </c>
      <c r="K475" s="42">
        <f>VLOOKUP('Data 1'!$B475,'Data 2'!$A$1:$F$46,MATCH('Data 1'!K$1,'Data 2'!$A$1:$F$1,0),0)</f>
        <v>96.3</v>
      </c>
      <c r="L475" s="40">
        <f>SUM('Data 1'!$J475*'Data 1'!$C475)</f>
        <v>270</v>
      </c>
      <c r="M475" s="40">
        <f>'Data 1'!$C475*'Data 1'!$K475</f>
        <v>288.89999999999998</v>
      </c>
      <c r="N475" s="40">
        <f>'Data 1'!$M475-'Data 1'!$L475</f>
        <v>18.899999999999977</v>
      </c>
      <c r="O475" s="37">
        <f>DAY('Data 1'!$A475)</f>
        <v>16</v>
      </c>
      <c r="P475" s="37" t="str">
        <f>TEXT('Data 1'!$A475,"mmm")</f>
        <v>Oct</v>
      </c>
      <c r="Q475" s="41">
        <f>YEAR('Data 1'!$A475)</f>
        <v>2022</v>
      </c>
    </row>
    <row r="476" spans="1:17" x14ac:dyDescent="0.3">
      <c r="A476" s="35">
        <v>44857</v>
      </c>
      <c r="B476" s="36" t="s">
        <v>15</v>
      </c>
      <c r="C476" s="37">
        <v>14</v>
      </c>
      <c r="D476" s="37" t="s">
        <v>17</v>
      </c>
      <c r="E476" s="37" t="s">
        <v>19</v>
      </c>
      <c r="F476" s="38">
        <v>0</v>
      </c>
      <c r="G476" s="39" t="str">
        <f>VLOOKUP('Data 1'!$B476,'Data 2'!$A$1:$F$46,MATCH('Data 1'!G$1,'Data 2'!$A$1:$F$1,0),0)</f>
        <v>Product24</v>
      </c>
      <c r="H476" s="39" t="str">
        <f>VLOOKUP('Data 1'!$B476,'Data 2'!$A$1:$F$46,MATCH('Data 1'!H$1,'Data 2'!$A$1:$F$1,0),0)</f>
        <v>Category03</v>
      </c>
      <c r="I476" s="39" t="str">
        <f>VLOOKUP('Data 1'!$B476,'Data 2'!$A$1:$F$46,MATCH('Data 1'!I$1,'Data 2'!$A$1:$F$1,0),0)</f>
        <v>Ft</v>
      </c>
      <c r="J476" s="39">
        <f>VLOOKUP('Data 1'!$B476,'Data 2'!$A$1:$F$46,MATCH('Data 1'!J$1,'Data 2'!$A$1:$F$1,0),0)</f>
        <v>144</v>
      </c>
      <c r="K476" s="39">
        <f>VLOOKUP('Data 1'!$B476,'Data 2'!$A$1:$F$46,MATCH('Data 1'!K$1,'Data 2'!$A$1:$F$1,0),0)</f>
        <v>156.96</v>
      </c>
      <c r="L476" s="40">
        <f>SUM('Data 1'!$J476*'Data 1'!$C476)</f>
        <v>2016</v>
      </c>
      <c r="M476" s="40">
        <f>'Data 1'!$C476*'Data 1'!$K476</f>
        <v>2197.44</v>
      </c>
      <c r="N476" s="40">
        <f>'Data 1'!$M476-'Data 1'!$L476</f>
        <v>181.44000000000005</v>
      </c>
      <c r="O476" s="37">
        <f>DAY('Data 1'!$A476)</f>
        <v>23</v>
      </c>
      <c r="P476" s="37" t="str">
        <f>TEXT('Data 1'!$A476,"mmm")</f>
        <v>Oct</v>
      </c>
      <c r="Q476" s="41">
        <f>YEAR('Data 1'!$A476)</f>
        <v>2022</v>
      </c>
    </row>
    <row r="477" spans="1:17" x14ac:dyDescent="0.3">
      <c r="A477" s="35">
        <v>44864</v>
      </c>
      <c r="B477" s="36" t="s">
        <v>29</v>
      </c>
      <c r="C477" s="37">
        <v>3</v>
      </c>
      <c r="D477" s="37" t="s">
        <v>21</v>
      </c>
      <c r="E477" s="37" t="s">
        <v>19</v>
      </c>
      <c r="F477" s="38">
        <v>0</v>
      </c>
      <c r="G477" s="42" t="str">
        <f>VLOOKUP('Data 1'!$B477,'Data 2'!$A$1:$F$46,MATCH('Data 1'!G$1,'Data 2'!$A$1:$F$1,0),0)</f>
        <v>Product42</v>
      </c>
      <c r="H477" s="42" t="str">
        <f>VLOOKUP('Data 1'!$B477,'Data 2'!$A$1:$F$46,MATCH('Data 1'!H$1,'Data 2'!$A$1:$F$1,0),0)</f>
        <v>Category05</v>
      </c>
      <c r="I477" s="42" t="str">
        <f>VLOOKUP('Data 1'!$B477,'Data 2'!$A$1:$F$46,MATCH('Data 1'!I$1,'Data 2'!$A$1:$F$1,0),0)</f>
        <v>Ft</v>
      </c>
      <c r="J477" s="42">
        <f>VLOOKUP('Data 1'!$B477,'Data 2'!$A$1:$F$46,MATCH('Data 1'!J$1,'Data 2'!$A$1:$F$1,0),0)</f>
        <v>120</v>
      </c>
      <c r="K477" s="42">
        <f>VLOOKUP('Data 1'!$B477,'Data 2'!$A$1:$F$46,MATCH('Data 1'!K$1,'Data 2'!$A$1:$F$1,0),0)</f>
        <v>162</v>
      </c>
      <c r="L477" s="40">
        <f>SUM('Data 1'!$J477*'Data 1'!$C477)</f>
        <v>360</v>
      </c>
      <c r="M477" s="40">
        <f>'Data 1'!$C477*'Data 1'!$K477</f>
        <v>486</v>
      </c>
      <c r="N477" s="40">
        <f>'Data 1'!$M477-'Data 1'!$L477</f>
        <v>126</v>
      </c>
      <c r="O477" s="37">
        <f>DAY('Data 1'!$A477)</f>
        <v>30</v>
      </c>
      <c r="P477" s="37" t="str">
        <f>TEXT('Data 1'!$A477,"mmm")</f>
        <v>Oct</v>
      </c>
      <c r="Q477" s="41">
        <f>YEAR('Data 1'!$A477)</f>
        <v>2022</v>
      </c>
    </row>
    <row r="478" spans="1:17" x14ac:dyDescent="0.3">
      <c r="A478" s="35">
        <v>44865</v>
      </c>
      <c r="B478" s="36" t="s">
        <v>18</v>
      </c>
      <c r="C478" s="37">
        <v>8</v>
      </c>
      <c r="D478" s="37" t="s">
        <v>21</v>
      </c>
      <c r="E478" s="37" t="s">
        <v>17</v>
      </c>
      <c r="F478" s="38">
        <v>0</v>
      </c>
      <c r="G478" s="39" t="str">
        <f>VLOOKUP('Data 1'!$B478,'Data 2'!$A$1:$F$46,MATCH('Data 1'!G$1,'Data 2'!$A$1:$F$1,0),0)</f>
        <v>Product38</v>
      </c>
      <c r="H478" s="39" t="str">
        <f>VLOOKUP('Data 1'!$B478,'Data 2'!$A$1:$F$46,MATCH('Data 1'!H$1,'Data 2'!$A$1:$F$1,0),0)</f>
        <v>Category05</v>
      </c>
      <c r="I478" s="39" t="str">
        <f>VLOOKUP('Data 1'!$B478,'Data 2'!$A$1:$F$46,MATCH('Data 1'!I$1,'Data 2'!$A$1:$F$1,0),0)</f>
        <v>Kg</v>
      </c>
      <c r="J478" s="39">
        <f>VLOOKUP('Data 1'!$B478,'Data 2'!$A$1:$F$46,MATCH('Data 1'!J$1,'Data 2'!$A$1:$F$1,0),0)</f>
        <v>72</v>
      </c>
      <c r="K478" s="39">
        <f>VLOOKUP('Data 1'!$B478,'Data 2'!$A$1:$F$46,MATCH('Data 1'!K$1,'Data 2'!$A$1:$F$1,0),0)</f>
        <v>79.92</v>
      </c>
      <c r="L478" s="40">
        <f>SUM('Data 1'!$J478*'Data 1'!$C478)</f>
        <v>576</v>
      </c>
      <c r="M478" s="40">
        <f>'Data 1'!$C478*'Data 1'!$K478</f>
        <v>639.36</v>
      </c>
      <c r="N478" s="40">
        <f>'Data 1'!$M478-'Data 1'!$L478</f>
        <v>63.360000000000014</v>
      </c>
      <c r="O478" s="37">
        <f>DAY('Data 1'!$A478)</f>
        <v>31</v>
      </c>
      <c r="P478" s="37" t="str">
        <f>TEXT('Data 1'!$A478,"mmm")</f>
        <v>Oct</v>
      </c>
      <c r="Q478" s="41">
        <f>YEAR('Data 1'!$A478)</f>
        <v>2022</v>
      </c>
    </row>
    <row r="479" spans="1:17" x14ac:dyDescent="0.3">
      <c r="A479" s="35">
        <v>44866</v>
      </c>
      <c r="B479" s="36" t="s">
        <v>54</v>
      </c>
      <c r="C479" s="37">
        <v>15</v>
      </c>
      <c r="D479" s="37" t="s">
        <v>16</v>
      </c>
      <c r="E479" s="37" t="s">
        <v>17</v>
      </c>
      <c r="F479" s="38">
        <v>0</v>
      </c>
      <c r="G479" s="42" t="str">
        <f>VLOOKUP('Data 1'!$B479,'Data 2'!$A$1:$F$46,MATCH('Data 1'!G$1,'Data 2'!$A$1:$F$1,0),0)</f>
        <v>Product12</v>
      </c>
      <c r="H479" s="42" t="str">
        <f>VLOOKUP('Data 1'!$B479,'Data 2'!$A$1:$F$46,MATCH('Data 1'!H$1,'Data 2'!$A$1:$F$1,0),0)</f>
        <v>Category02</v>
      </c>
      <c r="I479" s="42" t="str">
        <f>VLOOKUP('Data 1'!$B479,'Data 2'!$A$1:$F$46,MATCH('Data 1'!I$1,'Data 2'!$A$1:$F$1,0),0)</f>
        <v>Kg</v>
      </c>
      <c r="J479" s="42">
        <f>VLOOKUP('Data 1'!$B479,'Data 2'!$A$1:$F$46,MATCH('Data 1'!J$1,'Data 2'!$A$1:$F$1,0),0)</f>
        <v>73</v>
      </c>
      <c r="K479" s="42">
        <f>VLOOKUP('Data 1'!$B479,'Data 2'!$A$1:$F$46,MATCH('Data 1'!K$1,'Data 2'!$A$1:$F$1,0),0)</f>
        <v>94.17</v>
      </c>
      <c r="L479" s="40">
        <f>SUM('Data 1'!$J479*'Data 1'!$C479)</f>
        <v>1095</v>
      </c>
      <c r="M479" s="40">
        <f>'Data 1'!$C479*'Data 1'!$K479</f>
        <v>1412.55</v>
      </c>
      <c r="N479" s="40">
        <f>'Data 1'!$M479-'Data 1'!$L479</f>
        <v>317.54999999999995</v>
      </c>
      <c r="O479" s="37">
        <f>DAY('Data 1'!$A479)</f>
        <v>1</v>
      </c>
      <c r="P479" s="37" t="str">
        <f>TEXT('Data 1'!$A479,"mmm")</f>
        <v>Nov</v>
      </c>
      <c r="Q479" s="41">
        <f>YEAR('Data 1'!$A479)</f>
        <v>2022</v>
      </c>
    </row>
    <row r="480" spans="1:17" x14ac:dyDescent="0.3">
      <c r="A480" s="35">
        <v>44867</v>
      </c>
      <c r="B480" s="36" t="s">
        <v>46</v>
      </c>
      <c r="C480" s="37">
        <v>15</v>
      </c>
      <c r="D480" s="37" t="s">
        <v>16</v>
      </c>
      <c r="E480" s="37" t="s">
        <v>19</v>
      </c>
      <c r="F480" s="38">
        <v>0</v>
      </c>
      <c r="G480" s="39" t="str">
        <f>VLOOKUP('Data 1'!$B480,'Data 2'!$A$1:$F$46,MATCH('Data 1'!G$1,'Data 2'!$A$1:$F$1,0),0)</f>
        <v>Product15</v>
      </c>
      <c r="H480" s="39" t="str">
        <f>VLOOKUP('Data 1'!$B480,'Data 2'!$A$1:$F$46,MATCH('Data 1'!H$1,'Data 2'!$A$1:$F$1,0),0)</f>
        <v>Category02</v>
      </c>
      <c r="I480" s="39" t="str">
        <f>VLOOKUP('Data 1'!$B480,'Data 2'!$A$1:$F$46,MATCH('Data 1'!I$1,'Data 2'!$A$1:$F$1,0),0)</f>
        <v>No.</v>
      </c>
      <c r="J480" s="39">
        <f>VLOOKUP('Data 1'!$B480,'Data 2'!$A$1:$F$46,MATCH('Data 1'!J$1,'Data 2'!$A$1:$F$1,0),0)</f>
        <v>12</v>
      </c>
      <c r="K480" s="39">
        <f>VLOOKUP('Data 1'!$B480,'Data 2'!$A$1:$F$46,MATCH('Data 1'!K$1,'Data 2'!$A$1:$F$1,0),0)</f>
        <v>15.719999999999999</v>
      </c>
      <c r="L480" s="40">
        <f>SUM('Data 1'!$J480*'Data 1'!$C480)</f>
        <v>180</v>
      </c>
      <c r="M480" s="40">
        <f>'Data 1'!$C480*'Data 1'!$K480</f>
        <v>235.79999999999998</v>
      </c>
      <c r="N480" s="40">
        <f>'Data 1'!$M480-'Data 1'!$L480</f>
        <v>55.799999999999983</v>
      </c>
      <c r="O480" s="37">
        <f>DAY('Data 1'!$A480)</f>
        <v>2</v>
      </c>
      <c r="P480" s="37" t="str">
        <f>TEXT('Data 1'!$A480,"mmm")</f>
        <v>Nov</v>
      </c>
      <c r="Q480" s="41">
        <f>YEAR('Data 1'!$A480)</f>
        <v>2022</v>
      </c>
    </row>
    <row r="481" spans="1:17" x14ac:dyDescent="0.3">
      <c r="A481" s="35">
        <v>44867</v>
      </c>
      <c r="B481" s="36" t="s">
        <v>47</v>
      </c>
      <c r="C481" s="37">
        <v>15</v>
      </c>
      <c r="D481" s="37" t="s">
        <v>21</v>
      </c>
      <c r="E481" s="37" t="s">
        <v>19</v>
      </c>
      <c r="F481" s="38">
        <v>0</v>
      </c>
      <c r="G481" s="42" t="str">
        <f>VLOOKUP('Data 1'!$B481,'Data 2'!$A$1:$F$46,MATCH('Data 1'!G$1,'Data 2'!$A$1:$F$1,0),0)</f>
        <v>Product30</v>
      </c>
      <c r="H481" s="42" t="str">
        <f>VLOOKUP('Data 1'!$B481,'Data 2'!$A$1:$F$46,MATCH('Data 1'!H$1,'Data 2'!$A$1:$F$1,0),0)</f>
        <v>Category04</v>
      </c>
      <c r="I481" s="42" t="str">
        <f>VLOOKUP('Data 1'!$B481,'Data 2'!$A$1:$F$46,MATCH('Data 1'!I$1,'Data 2'!$A$1:$F$1,0),0)</f>
        <v>Ft</v>
      </c>
      <c r="J481" s="42">
        <f>VLOOKUP('Data 1'!$B481,'Data 2'!$A$1:$F$46,MATCH('Data 1'!J$1,'Data 2'!$A$1:$F$1,0),0)</f>
        <v>148</v>
      </c>
      <c r="K481" s="42">
        <f>VLOOKUP('Data 1'!$B481,'Data 2'!$A$1:$F$46,MATCH('Data 1'!K$1,'Data 2'!$A$1:$F$1,0),0)</f>
        <v>201.28</v>
      </c>
      <c r="L481" s="40">
        <f>SUM('Data 1'!$J481*'Data 1'!$C481)</f>
        <v>2220</v>
      </c>
      <c r="M481" s="40">
        <f>'Data 1'!$C481*'Data 1'!$K481</f>
        <v>3019.2</v>
      </c>
      <c r="N481" s="40">
        <f>'Data 1'!$M481-'Data 1'!$L481</f>
        <v>799.19999999999982</v>
      </c>
      <c r="O481" s="37">
        <f>DAY('Data 1'!$A481)</f>
        <v>2</v>
      </c>
      <c r="P481" s="37" t="str">
        <f>TEXT('Data 1'!$A481,"mmm")</f>
        <v>Nov</v>
      </c>
      <c r="Q481" s="41">
        <f>YEAR('Data 1'!$A481)</f>
        <v>2022</v>
      </c>
    </row>
    <row r="482" spans="1:17" x14ac:dyDescent="0.3">
      <c r="A482" s="35">
        <v>44867</v>
      </c>
      <c r="B482" s="36" t="s">
        <v>23</v>
      </c>
      <c r="C482" s="37">
        <v>5</v>
      </c>
      <c r="D482" s="37" t="s">
        <v>21</v>
      </c>
      <c r="E482" s="37" t="s">
        <v>19</v>
      </c>
      <c r="F482" s="38">
        <v>0</v>
      </c>
      <c r="G482" s="39" t="str">
        <f>VLOOKUP('Data 1'!$B482,'Data 2'!$A$1:$F$46,MATCH('Data 1'!G$1,'Data 2'!$A$1:$F$1,0),0)</f>
        <v>Product35</v>
      </c>
      <c r="H482" s="39" t="str">
        <f>VLOOKUP('Data 1'!$B482,'Data 2'!$A$1:$F$46,MATCH('Data 1'!H$1,'Data 2'!$A$1:$F$1,0),0)</f>
        <v>Category04</v>
      </c>
      <c r="I482" s="39" t="str">
        <f>VLOOKUP('Data 1'!$B482,'Data 2'!$A$1:$F$46,MATCH('Data 1'!I$1,'Data 2'!$A$1:$F$1,0),0)</f>
        <v>No.</v>
      </c>
      <c r="J482" s="39">
        <f>VLOOKUP('Data 1'!$B482,'Data 2'!$A$1:$F$46,MATCH('Data 1'!J$1,'Data 2'!$A$1:$F$1,0),0)</f>
        <v>5</v>
      </c>
      <c r="K482" s="39">
        <f>VLOOKUP('Data 1'!$B482,'Data 2'!$A$1:$F$46,MATCH('Data 1'!K$1,'Data 2'!$A$1:$F$1,0),0)</f>
        <v>6.7</v>
      </c>
      <c r="L482" s="40">
        <f>SUM('Data 1'!$J482*'Data 1'!$C482)</f>
        <v>25</v>
      </c>
      <c r="M482" s="40">
        <f>'Data 1'!$C482*'Data 1'!$K482</f>
        <v>33.5</v>
      </c>
      <c r="N482" s="40">
        <f>'Data 1'!$M482-'Data 1'!$L482</f>
        <v>8.5</v>
      </c>
      <c r="O482" s="37">
        <f>DAY('Data 1'!$A482)</f>
        <v>2</v>
      </c>
      <c r="P482" s="37" t="str">
        <f>TEXT('Data 1'!$A482,"mmm")</f>
        <v>Nov</v>
      </c>
      <c r="Q482" s="41">
        <f>YEAR('Data 1'!$A482)</f>
        <v>2022</v>
      </c>
    </row>
    <row r="483" spans="1:17" x14ac:dyDescent="0.3">
      <c r="A483" s="35">
        <v>44868</v>
      </c>
      <c r="B483" s="36" t="s">
        <v>33</v>
      </c>
      <c r="C483" s="37">
        <v>11</v>
      </c>
      <c r="D483" s="37" t="s">
        <v>17</v>
      </c>
      <c r="E483" s="37" t="s">
        <v>17</v>
      </c>
      <c r="F483" s="38">
        <v>0</v>
      </c>
      <c r="G483" s="42" t="str">
        <f>VLOOKUP('Data 1'!$B483,'Data 2'!$A$1:$F$46,MATCH('Data 1'!G$1,'Data 2'!$A$1:$F$1,0),0)</f>
        <v>Product20</v>
      </c>
      <c r="H483" s="42" t="str">
        <f>VLOOKUP('Data 1'!$B483,'Data 2'!$A$1:$F$46,MATCH('Data 1'!H$1,'Data 2'!$A$1:$F$1,0),0)</f>
        <v>Category03</v>
      </c>
      <c r="I483" s="42" t="str">
        <f>VLOOKUP('Data 1'!$B483,'Data 2'!$A$1:$F$46,MATCH('Data 1'!I$1,'Data 2'!$A$1:$F$1,0),0)</f>
        <v>Lt</v>
      </c>
      <c r="J483" s="42">
        <f>VLOOKUP('Data 1'!$B483,'Data 2'!$A$1:$F$46,MATCH('Data 1'!J$1,'Data 2'!$A$1:$F$1,0),0)</f>
        <v>61</v>
      </c>
      <c r="K483" s="42">
        <f>VLOOKUP('Data 1'!$B483,'Data 2'!$A$1:$F$46,MATCH('Data 1'!K$1,'Data 2'!$A$1:$F$1,0),0)</f>
        <v>76.25</v>
      </c>
      <c r="L483" s="40">
        <f>SUM('Data 1'!$J483*'Data 1'!$C483)</f>
        <v>671</v>
      </c>
      <c r="M483" s="40">
        <f>'Data 1'!$C483*'Data 1'!$K483</f>
        <v>838.75</v>
      </c>
      <c r="N483" s="40">
        <f>'Data 1'!$M483-'Data 1'!$L483</f>
        <v>167.75</v>
      </c>
      <c r="O483" s="37">
        <f>DAY('Data 1'!$A483)</f>
        <v>3</v>
      </c>
      <c r="P483" s="37" t="str">
        <f>TEXT('Data 1'!$A483,"mmm")</f>
        <v>Nov</v>
      </c>
      <c r="Q483" s="41">
        <f>YEAR('Data 1'!$A483)</f>
        <v>2022</v>
      </c>
    </row>
    <row r="484" spans="1:17" x14ac:dyDescent="0.3">
      <c r="A484" s="35">
        <v>44869</v>
      </c>
      <c r="B484" s="36" t="s">
        <v>44</v>
      </c>
      <c r="C484" s="37">
        <v>10</v>
      </c>
      <c r="D484" s="37" t="s">
        <v>21</v>
      </c>
      <c r="E484" s="37" t="s">
        <v>17</v>
      </c>
      <c r="F484" s="38">
        <v>0</v>
      </c>
      <c r="G484" s="39" t="str">
        <f>VLOOKUP('Data 1'!$B484,'Data 2'!$A$1:$F$46,MATCH('Data 1'!G$1,'Data 2'!$A$1:$F$1,0),0)</f>
        <v>Product08</v>
      </c>
      <c r="H484" s="39" t="str">
        <f>VLOOKUP('Data 1'!$B484,'Data 2'!$A$1:$F$46,MATCH('Data 1'!H$1,'Data 2'!$A$1:$F$1,0),0)</f>
        <v>Category01</v>
      </c>
      <c r="I484" s="39" t="str">
        <f>VLOOKUP('Data 1'!$B484,'Data 2'!$A$1:$F$46,MATCH('Data 1'!I$1,'Data 2'!$A$1:$F$1,0),0)</f>
        <v>Kg</v>
      </c>
      <c r="J484" s="39">
        <f>VLOOKUP('Data 1'!$B484,'Data 2'!$A$1:$F$46,MATCH('Data 1'!J$1,'Data 2'!$A$1:$F$1,0),0)</f>
        <v>83</v>
      </c>
      <c r="K484" s="39">
        <f>VLOOKUP('Data 1'!$B484,'Data 2'!$A$1:$F$46,MATCH('Data 1'!K$1,'Data 2'!$A$1:$F$1,0),0)</f>
        <v>94.62</v>
      </c>
      <c r="L484" s="40">
        <f>SUM('Data 1'!$J484*'Data 1'!$C484)</f>
        <v>830</v>
      </c>
      <c r="M484" s="40">
        <f>'Data 1'!$C484*'Data 1'!$K484</f>
        <v>946.2</v>
      </c>
      <c r="N484" s="40">
        <f>'Data 1'!$M484-'Data 1'!$L484</f>
        <v>116.20000000000005</v>
      </c>
      <c r="O484" s="37">
        <f>DAY('Data 1'!$A484)</f>
        <v>4</v>
      </c>
      <c r="P484" s="37" t="str">
        <f>TEXT('Data 1'!$A484,"mmm")</f>
        <v>Nov</v>
      </c>
      <c r="Q484" s="41">
        <f>YEAR('Data 1'!$A484)</f>
        <v>2022</v>
      </c>
    </row>
    <row r="485" spans="1:17" x14ac:dyDescent="0.3">
      <c r="A485" s="35">
        <v>44870</v>
      </c>
      <c r="B485" s="36" t="s">
        <v>59</v>
      </c>
      <c r="C485" s="37">
        <v>15</v>
      </c>
      <c r="D485" s="37" t="s">
        <v>21</v>
      </c>
      <c r="E485" s="37" t="s">
        <v>19</v>
      </c>
      <c r="F485" s="38">
        <v>0</v>
      </c>
      <c r="G485" s="42" t="str">
        <f>VLOOKUP('Data 1'!$B485,'Data 2'!$A$1:$F$46,MATCH('Data 1'!G$1,'Data 2'!$A$1:$F$1,0),0)</f>
        <v>Product19</v>
      </c>
      <c r="H485" s="42" t="str">
        <f>VLOOKUP('Data 1'!$B485,'Data 2'!$A$1:$F$46,MATCH('Data 1'!H$1,'Data 2'!$A$1:$F$1,0),0)</f>
        <v>Category02</v>
      </c>
      <c r="I485" s="42" t="str">
        <f>VLOOKUP('Data 1'!$B485,'Data 2'!$A$1:$F$46,MATCH('Data 1'!I$1,'Data 2'!$A$1:$F$1,0),0)</f>
        <v>Ft</v>
      </c>
      <c r="J485" s="42">
        <f>VLOOKUP('Data 1'!$B485,'Data 2'!$A$1:$F$46,MATCH('Data 1'!J$1,'Data 2'!$A$1:$F$1,0),0)</f>
        <v>150</v>
      </c>
      <c r="K485" s="42">
        <f>VLOOKUP('Data 1'!$B485,'Data 2'!$A$1:$F$46,MATCH('Data 1'!K$1,'Data 2'!$A$1:$F$1,0),0)</f>
        <v>210</v>
      </c>
      <c r="L485" s="40">
        <f>SUM('Data 1'!$J485*'Data 1'!$C485)</f>
        <v>2250</v>
      </c>
      <c r="M485" s="40">
        <f>'Data 1'!$C485*'Data 1'!$K485</f>
        <v>3150</v>
      </c>
      <c r="N485" s="40">
        <f>'Data 1'!$M485-'Data 1'!$L485</f>
        <v>900</v>
      </c>
      <c r="O485" s="37">
        <f>DAY('Data 1'!$A485)</f>
        <v>5</v>
      </c>
      <c r="P485" s="37" t="str">
        <f>TEXT('Data 1'!$A485,"mmm")</f>
        <v>Nov</v>
      </c>
      <c r="Q485" s="41">
        <f>YEAR('Data 1'!$A485)</f>
        <v>2022</v>
      </c>
    </row>
    <row r="486" spans="1:17" x14ac:dyDescent="0.3">
      <c r="A486" s="35">
        <v>44871</v>
      </c>
      <c r="B486" s="36" t="s">
        <v>42</v>
      </c>
      <c r="C486" s="37">
        <v>13</v>
      </c>
      <c r="D486" s="37" t="s">
        <v>21</v>
      </c>
      <c r="E486" s="37" t="s">
        <v>19</v>
      </c>
      <c r="F486" s="38">
        <v>0</v>
      </c>
      <c r="G486" s="39" t="str">
        <f>VLOOKUP('Data 1'!$B486,'Data 2'!$A$1:$F$46,MATCH('Data 1'!G$1,'Data 2'!$A$1:$F$1,0),0)</f>
        <v>Product43</v>
      </c>
      <c r="H486" s="39" t="str">
        <f>VLOOKUP('Data 1'!$B486,'Data 2'!$A$1:$F$46,MATCH('Data 1'!H$1,'Data 2'!$A$1:$F$1,0),0)</f>
        <v>Category05</v>
      </c>
      <c r="I486" s="39" t="str">
        <f>VLOOKUP('Data 1'!$B486,'Data 2'!$A$1:$F$46,MATCH('Data 1'!I$1,'Data 2'!$A$1:$F$1,0),0)</f>
        <v>Kg</v>
      </c>
      <c r="J486" s="39">
        <f>VLOOKUP('Data 1'!$B486,'Data 2'!$A$1:$F$46,MATCH('Data 1'!J$1,'Data 2'!$A$1:$F$1,0),0)</f>
        <v>67</v>
      </c>
      <c r="K486" s="39">
        <f>VLOOKUP('Data 1'!$B486,'Data 2'!$A$1:$F$46,MATCH('Data 1'!K$1,'Data 2'!$A$1:$F$1,0),0)</f>
        <v>83.08</v>
      </c>
      <c r="L486" s="40">
        <f>SUM('Data 1'!$J486*'Data 1'!$C486)</f>
        <v>871</v>
      </c>
      <c r="M486" s="40">
        <f>'Data 1'!$C486*'Data 1'!$K486</f>
        <v>1080.04</v>
      </c>
      <c r="N486" s="40">
        <f>'Data 1'!$M486-'Data 1'!$L486</f>
        <v>209.03999999999996</v>
      </c>
      <c r="O486" s="37">
        <f>DAY('Data 1'!$A486)</f>
        <v>6</v>
      </c>
      <c r="P486" s="37" t="str">
        <f>TEXT('Data 1'!$A486,"mmm")</f>
        <v>Nov</v>
      </c>
      <c r="Q486" s="41">
        <f>YEAR('Data 1'!$A486)</f>
        <v>2022</v>
      </c>
    </row>
    <row r="487" spans="1:17" x14ac:dyDescent="0.3">
      <c r="A487" s="35">
        <v>44871</v>
      </c>
      <c r="B487" s="36" t="s">
        <v>46</v>
      </c>
      <c r="C487" s="37">
        <v>13</v>
      </c>
      <c r="D487" s="37" t="s">
        <v>17</v>
      </c>
      <c r="E487" s="37" t="s">
        <v>17</v>
      </c>
      <c r="F487" s="38">
        <v>0</v>
      </c>
      <c r="G487" s="42" t="str">
        <f>VLOOKUP('Data 1'!$B487,'Data 2'!$A$1:$F$46,MATCH('Data 1'!G$1,'Data 2'!$A$1:$F$1,0),0)</f>
        <v>Product15</v>
      </c>
      <c r="H487" s="42" t="str">
        <f>VLOOKUP('Data 1'!$B487,'Data 2'!$A$1:$F$46,MATCH('Data 1'!H$1,'Data 2'!$A$1:$F$1,0),0)</f>
        <v>Category02</v>
      </c>
      <c r="I487" s="42" t="str">
        <f>VLOOKUP('Data 1'!$B487,'Data 2'!$A$1:$F$46,MATCH('Data 1'!I$1,'Data 2'!$A$1:$F$1,0),0)</f>
        <v>No.</v>
      </c>
      <c r="J487" s="42">
        <f>VLOOKUP('Data 1'!$B487,'Data 2'!$A$1:$F$46,MATCH('Data 1'!J$1,'Data 2'!$A$1:$F$1,0),0)</f>
        <v>12</v>
      </c>
      <c r="K487" s="42">
        <f>VLOOKUP('Data 1'!$B487,'Data 2'!$A$1:$F$46,MATCH('Data 1'!K$1,'Data 2'!$A$1:$F$1,0),0)</f>
        <v>15.719999999999999</v>
      </c>
      <c r="L487" s="40">
        <f>SUM('Data 1'!$J487*'Data 1'!$C487)</f>
        <v>156</v>
      </c>
      <c r="M487" s="40">
        <f>'Data 1'!$C487*'Data 1'!$K487</f>
        <v>204.35999999999999</v>
      </c>
      <c r="N487" s="40">
        <f>'Data 1'!$M487-'Data 1'!$L487</f>
        <v>48.359999999999985</v>
      </c>
      <c r="O487" s="37">
        <f>DAY('Data 1'!$A487)</f>
        <v>6</v>
      </c>
      <c r="P487" s="37" t="str">
        <f>TEXT('Data 1'!$A487,"mmm")</f>
        <v>Nov</v>
      </c>
      <c r="Q487" s="41">
        <f>YEAR('Data 1'!$A487)</f>
        <v>2022</v>
      </c>
    </row>
    <row r="488" spans="1:17" x14ac:dyDescent="0.3">
      <c r="A488" s="35">
        <v>44871</v>
      </c>
      <c r="B488" s="36" t="s">
        <v>29</v>
      </c>
      <c r="C488" s="37">
        <v>13</v>
      </c>
      <c r="D488" s="37" t="s">
        <v>21</v>
      </c>
      <c r="E488" s="37" t="s">
        <v>19</v>
      </c>
      <c r="F488" s="38">
        <v>0</v>
      </c>
      <c r="G488" s="39" t="str">
        <f>VLOOKUP('Data 1'!$B488,'Data 2'!$A$1:$F$46,MATCH('Data 1'!G$1,'Data 2'!$A$1:$F$1,0),0)</f>
        <v>Product42</v>
      </c>
      <c r="H488" s="39" t="str">
        <f>VLOOKUP('Data 1'!$B488,'Data 2'!$A$1:$F$46,MATCH('Data 1'!H$1,'Data 2'!$A$1:$F$1,0),0)</f>
        <v>Category05</v>
      </c>
      <c r="I488" s="39" t="str">
        <f>VLOOKUP('Data 1'!$B488,'Data 2'!$A$1:$F$46,MATCH('Data 1'!I$1,'Data 2'!$A$1:$F$1,0),0)</f>
        <v>Ft</v>
      </c>
      <c r="J488" s="39">
        <f>VLOOKUP('Data 1'!$B488,'Data 2'!$A$1:$F$46,MATCH('Data 1'!J$1,'Data 2'!$A$1:$F$1,0),0)</f>
        <v>120</v>
      </c>
      <c r="K488" s="39">
        <f>VLOOKUP('Data 1'!$B488,'Data 2'!$A$1:$F$46,MATCH('Data 1'!K$1,'Data 2'!$A$1:$F$1,0),0)</f>
        <v>162</v>
      </c>
      <c r="L488" s="40">
        <f>SUM('Data 1'!$J488*'Data 1'!$C488)</f>
        <v>1560</v>
      </c>
      <c r="M488" s="40">
        <f>'Data 1'!$C488*'Data 1'!$K488</f>
        <v>2106</v>
      </c>
      <c r="N488" s="40">
        <f>'Data 1'!$M488-'Data 1'!$L488</f>
        <v>546</v>
      </c>
      <c r="O488" s="37">
        <f>DAY('Data 1'!$A488)</f>
        <v>6</v>
      </c>
      <c r="P488" s="37" t="str">
        <f>TEXT('Data 1'!$A488,"mmm")</f>
        <v>Nov</v>
      </c>
      <c r="Q488" s="41">
        <f>YEAR('Data 1'!$A488)</f>
        <v>2022</v>
      </c>
    </row>
    <row r="489" spans="1:17" x14ac:dyDescent="0.3">
      <c r="A489" s="35">
        <v>44872</v>
      </c>
      <c r="B489" s="36" t="s">
        <v>36</v>
      </c>
      <c r="C489" s="37">
        <v>13</v>
      </c>
      <c r="D489" s="37" t="s">
        <v>17</v>
      </c>
      <c r="E489" s="37" t="s">
        <v>19</v>
      </c>
      <c r="F489" s="38">
        <v>0</v>
      </c>
      <c r="G489" s="42" t="str">
        <f>VLOOKUP('Data 1'!$B489,'Data 2'!$A$1:$F$46,MATCH('Data 1'!G$1,'Data 2'!$A$1:$F$1,0),0)</f>
        <v>Product40</v>
      </c>
      <c r="H489" s="42" t="str">
        <f>VLOOKUP('Data 1'!$B489,'Data 2'!$A$1:$F$46,MATCH('Data 1'!H$1,'Data 2'!$A$1:$F$1,0),0)</f>
        <v>Category05</v>
      </c>
      <c r="I489" s="42" t="str">
        <f>VLOOKUP('Data 1'!$B489,'Data 2'!$A$1:$F$46,MATCH('Data 1'!I$1,'Data 2'!$A$1:$F$1,0),0)</f>
        <v>Kg</v>
      </c>
      <c r="J489" s="42">
        <f>VLOOKUP('Data 1'!$B489,'Data 2'!$A$1:$F$46,MATCH('Data 1'!J$1,'Data 2'!$A$1:$F$1,0),0)</f>
        <v>90</v>
      </c>
      <c r="K489" s="42">
        <f>VLOOKUP('Data 1'!$B489,'Data 2'!$A$1:$F$46,MATCH('Data 1'!K$1,'Data 2'!$A$1:$F$1,0),0)</f>
        <v>115.2</v>
      </c>
      <c r="L489" s="40">
        <f>SUM('Data 1'!$J489*'Data 1'!$C489)</f>
        <v>1170</v>
      </c>
      <c r="M489" s="40">
        <f>'Data 1'!$C489*'Data 1'!$K489</f>
        <v>1497.6000000000001</v>
      </c>
      <c r="N489" s="40">
        <f>'Data 1'!$M489-'Data 1'!$L489</f>
        <v>327.60000000000014</v>
      </c>
      <c r="O489" s="37">
        <f>DAY('Data 1'!$A489)</f>
        <v>7</v>
      </c>
      <c r="P489" s="37" t="str">
        <f>TEXT('Data 1'!$A489,"mmm")</f>
        <v>Nov</v>
      </c>
      <c r="Q489" s="41">
        <f>YEAR('Data 1'!$A489)</f>
        <v>2022</v>
      </c>
    </row>
    <row r="490" spans="1:17" x14ac:dyDescent="0.3">
      <c r="A490" s="35">
        <v>44873</v>
      </c>
      <c r="B490" s="36" t="s">
        <v>62</v>
      </c>
      <c r="C490" s="37">
        <v>11</v>
      </c>
      <c r="D490" s="37" t="s">
        <v>16</v>
      </c>
      <c r="E490" s="37" t="s">
        <v>19</v>
      </c>
      <c r="F490" s="38">
        <v>0</v>
      </c>
      <c r="G490" s="39" t="str">
        <f>VLOOKUP('Data 1'!$B490,'Data 2'!$A$1:$F$46,MATCH('Data 1'!G$1,'Data 2'!$A$1:$F$1,0),0)</f>
        <v>Product36</v>
      </c>
      <c r="H490" s="39" t="str">
        <f>VLOOKUP('Data 1'!$B490,'Data 2'!$A$1:$F$46,MATCH('Data 1'!H$1,'Data 2'!$A$1:$F$1,0),0)</f>
        <v>Category04</v>
      </c>
      <c r="I490" s="39" t="str">
        <f>VLOOKUP('Data 1'!$B490,'Data 2'!$A$1:$F$46,MATCH('Data 1'!I$1,'Data 2'!$A$1:$F$1,0),0)</f>
        <v>Kg</v>
      </c>
      <c r="J490" s="39">
        <f>VLOOKUP('Data 1'!$B490,'Data 2'!$A$1:$F$46,MATCH('Data 1'!J$1,'Data 2'!$A$1:$F$1,0),0)</f>
        <v>90</v>
      </c>
      <c r="K490" s="39">
        <f>VLOOKUP('Data 1'!$B490,'Data 2'!$A$1:$F$46,MATCH('Data 1'!K$1,'Data 2'!$A$1:$F$1,0),0)</f>
        <v>96.3</v>
      </c>
      <c r="L490" s="40">
        <f>SUM('Data 1'!$J490*'Data 1'!$C490)</f>
        <v>990</v>
      </c>
      <c r="M490" s="40">
        <f>'Data 1'!$C490*'Data 1'!$K490</f>
        <v>1059.3</v>
      </c>
      <c r="N490" s="40">
        <f>'Data 1'!$M490-'Data 1'!$L490</f>
        <v>69.299999999999955</v>
      </c>
      <c r="O490" s="37">
        <f>DAY('Data 1'!$A490)</f>
        <v>8</v>
      </c>
      <c r="P490" s="37" t="str">
        <f>TEXT('Data 1'!$A490,"mmm")</f>
        <v>Nov</v>
      </c>
      <c r="Q490" s="41">
        <f>YEAR('Data 1'!$A490)</f>
        <v>2022</v>
      </c>
    </row>
    <row r="491" spans="1:17" x14ac:dyDescent="0.3">
      <c r="A491" s="35">
        <v>44873</v>
      </c>
      <c r="B491" s="36" t="s">
        <v>59</v>
      </c>
      <c r="C491" s="37">
        <v>10</v>
      </c>
      <c r="D491" s="37" t="s">
        <v>16</v>
      </c>
      <c r="E491" s="37" t="s">
        <v>17</v>
      </c>
      <c r="F491" s="38">
        <v>0</v>
      </c>
      <c r="G491" s="42" t="str">
        <f>VLOOKUP('Data 1'!$B491,'Data 2'!$A$1:$F$46,MATCH('Data 1'!G$1,'Data 2'!$A$1:$F$1,0),0)</f>
        <v>Product19</v>
      </c>
      <c r="H491" s="42" t="str">
        <f>VLOOKUP('Data 1'!$B491,'Data 2'!$A$1:$F$46,MATCH('Data 1'!H$1,'Data 2'!$A$1:$F$1,0),0)</f>
        <v>Category02</v>
      </c>
      <c r="I491" s="42" t="str">
        <f>VLOOKUP('Data 1'!$B491,'Data 2'!$A$1:$F$46,MATCH('Data 1'!I$1,'Data 2'!$A$1:$F$1,0),0)</f>
        <v>Ft</v>
      </c>
      <c r="J491" s="42">
        <f>VLOOKUP('Data 1'!$B491,'Data 2'!$A$1:$F$46,MATCH('Data 1'!J$1,'Data 2'!$A$1:$F$1,0),0)</f>
        <v>150</v>
      </c>
      <c r="K491" s="42">
        <f>VLOOKUP('Data 1'!$B491,'Data 2'!$A$1:$F$46,MATCH('Data 1'!K$1,'Data 2'!$A$1:$F$1,0),0)</f>
        <v>210</v>
      </c>
      <c r="L491" s="40">
        <f>SUM('Data 1'!$J491*'Data 1'!$C491)</f>
        <v>1500</v>
      </c>
      <c r="M491" s="40">
        <f>'Data 1'!$C491*'Data 1'!$K491</f>
        <v>2100</v>
      </c>
      <c r="N491" s="40">
        <f>'Data 1'!$M491-'Data 1'!$L491</f>
        <v>600</v>
      </c>
      <c r="O491" s="37">
        <f>DAY('Data 1'!$A491)</f>
        <v>8</v>
      </c>
      <c r="P491" s="37" t="str">
        <f>TEXT('Data 1'!$A491,"mmm")</f>
        <v>Nov</v>
      </c>
      <c r="Q491" s="41">
        <f>YEAR('Data 1'!$A491)</f>
        <v>2022</v>
      </c>
    </row>
    <row r="492" spans="1:17" x14ac:dyDescent="0.3">
      <c r="A492" s="35">
        <v>44874</v>
      </c>
      <c r="B492" s="36" t="s">
        <v>45</v>
      </c>
      <c r="C492" s="37">
        <v>8</v>
      </c>
      <c r="D492" s="37" t="s">
        <v>17</v>
      </c>
      <c r="E492" s="37" t="s">
        <v>19</v>
      </c>
      <c r="F492" s="38">
        <v>0</v>
      </c>
      <c r="G492" s="39" t="str">
        <f>VLOOKUP('Data 1'!$B492,'Data 2'!$A$1:$F$46,MATCH('Data 1'!G$1,'Data 2'!$A$1:$F$1,0),0)</f>
        <v>Product27</v>
      </c>
      <c r="H492" s="39" t="str">
        <f>VLOOKUP('Data 1'!$B492,'Data 2'!$A$1:$F$46,MATCH('Data 1'!H$1,'Data 2'!$A$1:$F$1,0),0)</f>
        <v>Category04</v>
      </c>
      <c r="I492" s="39" t="str">
        <f>VLOOKUP('Data 1'!$B492,'Data 2'!$A$1:$F$46,MATCH('Data 1'!I$1,'Data 2'!$A$1:$F$1,0),0)</f>
        <v>Lt</v>
      </c>
      <c r="J492" s="39">
        <f>VLOOKUP('Data 1'!$B492,'Data 2'!$A$1:$F$46,MATCH('Data 1'!J$1,'Data 2'!$A$1:$F$1,0),0)</f>
        <v>48</v>
      </c>
      <c r="K492" s="39">
        <f>VLOOKUP('Data 1'!$B492,'Data 2'!$A$1:$F$46,MATCH('Data 1'!K$1,'Data 2'!$A$1:$F$1,0),0)</f>
        <v>57.120000000000005</v>
      </c>
      <c r="L492" s="40">
        <f>SUM('Data 1'!$J492*'Data 1'!$C492)</f>
        <v>384</v>
      </c>
      <c r="M492" s="40">
        <f>'Data 1'!$C492*'Data 1'!$K492</f>
        <v>456.96000000000004</v>
      </c>
      <c r="N492" s="40">
        <f>'Data 1'!$M492-'Data 1'!$L492</f>
        <v>72.960000000000036</v>
      </c>
      <c r="O492" s="37">
        <f>DAY('Data 1'!$A492)</f>
        <v>9</v>
      </c>
      <c r="P492" s="37" t="str">
        <f>TEXT('Data 1'!$A492,"mmm")</f>
        <v>Nov</v>
      </c>
      <c r="Q492" s="41">
        <f>YEAR('Data 1'!$A492)</f>
        <v>2022</v>
      </c>
    </row>
    <row r="493" spans="1:17" x14ac:dyDescent="0.3">
      <c r="A493" s="35">
        <v>44875</v>
      </c>
      <c r="B493" s="36" t="s">
        <v>49</v>
      </c>
      <c r="C493" s="37">
        <v>7</v>
      </c>
      <c r="D493" s="37" t="s">
        <v>21</v>
      </c>
      <c r="E493" s="37" t="s">
        <v>17</v>
      </c>
      <c r="F493" s="38">
        <v>0</v>
      </c>
      <c r="G493" s="42" t="str">
        <f>VLOOKUP('Data 1'!$B493,'Data 2'!$A$1:$F$46,MATCH('Data 1'!G$1,'Data 2'!$A$1:$F$1,0),0)</f>
        <v>Product18</v>
      </c>
      <c r="H493" s="42" t="str">
        <f>VLOOKUP('Data 1'!$B493,'Data 2'!$A$1:$F$46,MATCH('Data 1'!H$1,'Data 2'!$A$1:$F$1,0),0)</f>
        <v>Category02</v>
      </c>
      <c r="I493" s="42" t="str">
        <f>VLOOKUP('Data 1'!$B493,'Data 2'!$A$1:$F$46,MATCH('Data 1'!I$1,'Data 2'!$A$1:$F$1,0),0)</f>
        <v>No.</v>
      </c>
      <c r="J493" s="42">
        <f>VLOOKUP('Data 1'!$B493,'Data 2'!$A$1:$F$46,MATCH('Data 1'!J$1,'Data 2'!$A$1:$F$1,0),0)</f>
        <v>37</v>
      </c>
      <c r="K493" s="42">
        <f>VLOOKUP('Data 1'!$B493,'Data 2'!$A$1:$F$46,MATCH('Data 1'!K$1,'Data 2'!$A$1:$F$1,0),0)</f>
        <v>49.21</v>
      </c>
      <c r="L493" s="40">
        <f>SUM('Data 1'!$J493*'Data 1'!$C493)</f>
        <v>259</v>
      </c>
      <c r="M493" s="40">
        <f>'Data 1'!$C493*'Data 1'!$K493</f>
        <v>344.47</v>
      </c>
      <c r="N493" s="40">
        <f>'Data 1'!$M493-'Data 1'!$L493</f>
        <v>85.470000000000027</v>
      </c>
      <c r="O493" s="37">
        <f>DAY('Data 1'!$A493)</f>
        <v>10</v>
      </c>
      <c r="P493" s="37" t="str">
        <f>TEXT('Data 1'!$A493,"mmm")</f>
        <v>Nov</v>
      </c>
      <c r="Q493" s="41">
        <f>YEAR('Data 1'!$A493)</f>
        <v>2022</v>
      </c>
    </row>
    <row r="494" spans="1:17" x14ac:dyDescent="0.3">
      <c r="A494" s="35">
        <v>44878</v>
      </c>
      <c r="B494" s="36" t="s">
        <v>45</v>
      </c>
      <c r="C494" s="37">
        <v>10</v>
      </c>
      <c r="D494" s="37" t="s">
        <v>16</v>
      </c>
      <c r="E494" s="37" t="s">
        <v>19</v>
      </c>
      <c r="F494" s="38">
        <v>0</v>
      </c>
      <c r="G494" s="39" t="str">
        <f>VLOOKUP('Data 1'!$B494,'Data 2'!$A$1:$F$46,MATCH('Data 1'!G$1,'Data 2'!$A$1:$F$1,0),0)</f>
        <v>Product27</v>
      </c>
      <c r="H494" s="39" t="str">
        <f>VLOOKUP('Data 1'!$B494,'Data 2'!$A$1:$F$46,MATCH('Data 1'!H$1,'Data 2'!$A$1:$F$1,0),0)</f>
        <v>Category04</v>
      </c>
      <c r="I494" s="39" t="str">
        <f>VLOOKUP('Data 1'!$B494,'Data 2'!$A$1:$F$46,MATCH('Data 1'!I$1,'Data 2'!$A$1:$F$1,0),0)</f>
        <v>Lt</v>
      </c>
      <c r="J494" s="39">
        <f>VLOOKUP('Data 1'!$B494,'Data 2'!$A$1:$F$46,MATCH('Data 1'!J$1,'Data 2'!$A$1:$F$1,0),0)</f>
        <v>48</v>
      </c>
      <c r="K494" s="39">
        <f>VLOOKUP('Data 1'!$B494,'Data 2'!$A$1:$F$46,MATCH('Data 1'!K$1,'Data 2'!$A$1:$F$1,0),0)</f>
        <v>57.120000000000005</v>
      </c>
      <c r="L494" s="40">
        <f>SUM('Data 1'!$J494*'Data 1'!$C494)</f>
        <v>480</v>
      </c>
      <c r="M494" s="40">
        <f>'Data 1'!$C494*'Data 1'!$K494</f>
        <v>571.20000000000005</v>
      </c>
      <c r="N494" s="40">
        <f>'Data 1'!$M494-'Data 1'!$L494</f>
        <v>91.200000000000045</v>
      </c>
      <c r="O494" s="37">
        <f>DAY('Data 1'!$A494)</f>
        <v>13</v>
      </c>
      <c r="P494" s="37" t="str">
        <f>TEXT('Data 1'!$A494,"mmm")</f>
        <v>Nov</v>
      </c>
      <c r="Q494" s="41">
        <f>YEAR('Data 1'!$A494)</f>
        <v>2022</v>
      </c>
    </row>
    <row r="495" spans="1:17" x14ac:dyDescent="0.3">
      <c r="A495" s="35">
        <v>44879</v>
      </c>
      <c r="B495" s="36" t="s">
        <v>48</v>
      </c>
      <c r="C495" s="37">
        <v>1</v>
      </c>
      <c r="D495" s="37" t="s">
        <v>21</v>
      </c>
      <c r="E495" s="37" t="s">
        <v>19</v>
      </c>
      <c r="F495" s="38">
        <v>0</v>
      </c>
      <c r="G495" s="42" t="str">
        <f>VLOOKUP('Data 1'!$B495,'Data 2'!$A$1:$F$46,MATCH('Data 1'!G$1,'Data 2'!$A$1:$F$1,0),0)</f>
        <v>Product02</v>
      </c>
      <c r="H495" s="42" t="str">
        <f>VLOOKUP('Data 1'!$B495,'Data 2'!$A$1:$F$46,MATCH('Data 1'!H$1,'Data 2'!$A$1:$F$1,0),0)</f>
        <v>Category01</v>
      </c>
      <c r="I495" s="42" t="str">
        <f>VLOOKUP('Data 1'!$B495,'Data 2'!$A$1:$F$46,MATCH('Data 1'!I$1,'Data 2'!$A$1:$F$1,0),0)</f>
        <v>Kg</v>
      </c>
      <c r="J495" s="42">
        <f>VLOOKUP('Data 1'!$B495,'Data 2'!$A$1:$F$46,MATCH('Data 1'!J$1,'Data 2'!$A$1:$F$1,0),0)</f>
        <v>105</v>
      </c>
      <c r="K495" s="42">
        <f>VLOOKUP('Data 1'!$B495,'Data 2'!$A$1:$F$46,MATCH('Data 1'!K$1,'Data 2'!$A$1:$F$1,0),0)</f>
        <v>142.80000000000001</v>
      </c>
      <c r="L495" s="40">
        <f>SUM('Data 1'!$J495*'Data 1'!$C495)</f>
        <v>105</v>
      </c>
      <c r="M495" s="40">
        <f>'Data 1'!$C495*'Data 1'!$K495</f>
        <v>142.80000000000001</v>
      </c>
      <c r="N495" s="40">
        <f>'Data 1'!$M495-'Data 1'!$L495</f>
        <v>37.800000000000011</v>
      </c>
      <c r="O495" s="37">
        <f>DAY('Data 1'!$A495)</f>
        <v>14</v>
      </c>
      <c r="P495" s="37" t="str">
        <f>TEXT('Data 1'!$A495,"mmm")</f>
        <v>Nov</v>
      </c>
      <c r="Q495" s="41">
        <f>YEAR('Data 1'!$A495)</f>
        <v>2022</v>
      </c>
    </row>
    <row r="496" spans="1:17" x14ac:dyDescent="0.3">
      <c r="A496" s="35">
        <v>44880</v>
      </c>
      <c r="B496" s="36" t="s">
        <v>54</v>
      </c>
      <c r="C496" s="37">
        <v>14</v>
      </c>
      <c r="D496" s="37" t="s">
        <v>21</v>
      </c>
      <c r="E496" s="37" t="s">
        <v>19</v>
      </c>
      <c r="F496" s="38">
        <v>0</v>
      </c>
      <c r="G496" s="39" t="str">
        <f>VLOOKUP('Data 1'!$B496,'Data 2'!$A$1:$F$46,MATCH('Data 1'!G$1,'Data 2'!$A$1:$F$1,0),0)</f>
        <v>Product12</v>
      </c>
      <c r="H496" s="39" t="str">
        <f>VLOOKUP('Data 1'!$B496,'Data 2'!$A$1:$F$46,MATCH('Data 1'!H$1,'Data 2'!$A$1:$F$1,0),0)</f>
        <v>Category02</v>
      </c>
      <c r="I496" s="39" t="str">
        <f>VLOOKUP('Data 1'!$B496,'Data 2'!$A$1:$F$46,MATCH('Data 1'!I$1,'Data 2'!$A$1:$F$1,0),0)</f>
        <v>Kg</v>
      </c>
      <c r="J496" s="39">
        <f>VLOOKUP('Data 1'!$B496,'Data 2'!$A$1:$F$46,MATCH('Data 1'!J$1,'Data 2'!$A$1:$F$1,0),0)</f>
        <v>73</v>
      </c>
      <c r="K496" s="39">
        <f>VLOOKUP('Data 1'!$B496,'Data 2'!$A$1:$F$46,MATCH('Data 1'!K$1,'Data 2'!$A$1:$F$1,0),0)</f>
        <v>94.17</v>
      </c>
      <c r="L496" s="40">
        <f>SUM('Data 1'!$J496*'Data 1'!$C496)</f>
        <v>1022</v>
      </c>
      <c r="M496" s="40">
        <f>'Data 1'!$C496*'Data 1'!$K496</f>
        <v>1318.38</v>
      </c>
      <c r="N496" s="40">
        <f>'Data 1'!$M496-'Data 1'!$L496</f>
        <v>296.38000000000011</v>
      </c>
      <c r="O496" s="37">
        <f>DAY('Data 1'!$A496)</f>
        <v>15</v>
      </c>
      <c r="P496" s="37" t="str">
        <f>TEXT('Data 1'!$A496,"mmm")</f>
        <v>Nov</v>
      </c>
      <c r="Q496" s="41">
        <f>YEAR('Data 1'!$A496)</f>
        <v>2022</v>
      </c>
    </row>
    <row r="497" spans="1:17" x14ac:dyDescent="0.3">
      <c r="A497" s="35">
        <v>44881</v>
      </c>
      <c r="B497" s="36" t="s">
        <v>58</v>
      </c>
      <c r="C497" s="37">
        <v>8</v>
      </c>
      <c r="D497" s="37" t="s">
        <v>17</v>
      </c>
      <c r="E497" s="37" t="s">
        <v>17</v>
      </c>
      <c r="F497" s="38">
        <v>0</v>
      </c>
      <c r="G497" s="42" t="str">
        <f>VLOOKUP('Data 1'!$B497,'Data 2'!$A$1:$F$46,MATCH('Data 1'!G$1,'Data 2'!$A$1:$F$1,0),0)</f>
        <v>Product17</v>
      </c>
      <c r="H497" s="42" t="str">
        <f>VLOOKUP('Data 1'!$B497,'Data 2'!$A$1:$F$46,MATCH('Data 1'!H$1,'Data 2'!$A$1:$F$1,0),0)</f>
        <v>Category02</v>
      </c>
      <c r="I497" s="42" t="str">
        <f>VLOOKUP('Data 1'!$B497,'Data 2'!$A$1:$F$46,MATCH('Data 1'!I$1,'Data 2'!$A$1:$F$1,0),0)</f>
        <v>Ft</v>
      </c>
      <c r="J497" s="42">
        <f>VLOOKUP('Data 1'!$B497,'Data 2'!$A$1:$F$46,MATCH('Data 1'!J$1,'Data 2'!$A$1:$F$1,0),0)</f>
        <v>134</v>
      </c>
      <c r="K497" s="42">
        <f>VLOOKUP('Data 1'!$B497,'Data 2'!$A$1:$F$46,MATCH('Data 1'!K$1,'Data 2'!$A$1:$F$1,0),0)</f>
        <v>156.78</v>
      </c>
      <c r="L497" s="40">
        <f>SUM('Data 1'!$J497*'Data 1'!$C497)</f>
        <v>1072</v>
      </c>
      <c r="M497" s="40">
        <f>'Data 1'!$C497*'Data 1'!$K497</f>
        <v>1254.24</v>
      </c>
      <c r="N497" s="40">
        <f>'Data 1'!$M497-'Data 1'!$L497</f>
        <v>182.24</v>
      </c>
      <c r="O497" s="37">
        <f>DAY('Data 1'!$A497)</f>
        <v>16</v>
      </c>
      <c r="P497" s="37" t="str">
        <f>TEXT('Data 1'!$A497,"mmm")</f>
        <v>Nov</v>
      </c>
      <c r="Q497" s="41">
        <f>YEAR('Data 1'!$A497)</f>
        <v>2022</v>
      </c>
    </row>
    <row r="498" spans="1:17" x14ac:dyDescent="0.3">
      <c r="A498" s="35">
        <v>44883</v>
      </c>
      <c r="B498" s="36" t="s">
        <v>32</v>
      </c>
      <c r="C498" s="37">
        <v>8</v>
      </c>
      <c r="D498" s="37" t="s">
        <v>21</v>
      </c>
      <c r="E498" s="37" t="s">
        <v>19</v>
      </c>
      <c r="F498" s="38">
        <v>0</v>
      </c>
      <c r="G498" s="39" t="str">
        <f>VLOOKUP('Data 1'!$B498,'Data 2'!$A$1:$F$46,MATCH('Data 1'!G$1,'Data 2'!$A$1:$F$1,0),0)</f>
        <v>Product34</v>
      </c>
      <c r="H498" s="39" t="str">
        <f>VLOOKUP('Data 1'!$B498,'Data 2'!$A$1:$F$46,MATCH('Data 1'!H$1,'Data 2'!$A$1:$F$1,0),0)</f>
        <v>Category04</v>
      </c>
      <c r="I498" s="39" t="str">
        <f>VLOOKUP('Data 1'!$B498,'Data 2'!$A$1:$F$46,MATCH('Data 1'!I$1,'Data 2'!$A$1:$F$1,0),0)</f>
        <v>Lt</v>
      </c>
      <c r="J498" s="39">
        <f>VLOOKUP('Data 1'!$B498,'Data 2'!$A$1:$F$46,MATCH('Data 1'!J$1,'Data 2'!$A$1:$F$1,0),0)</f>
        <v>55</v>
      </c>
      <c r="K498" s="39">
        <f>VLOOKUP('Data 1'!$B498,'Data 2'!$A$1:$F$46,MATCH('Data 1'!K$1,'Data 2'!$A$1:$F$1,0),0)</f>
        <v>58.3</v>
      </c>
      <c r="L498" s="40">
        <f>SUM('Data 1'!$J498*'Data 1'!$C498)</f>
        <v>440</v>
      </c>
      <c r="M498" s="40">
        <f>'Data 1'!$C498*'Data 1'!$K498</f>
        <v>466.4</v>
      </c>
      <c r="N498" s="40">
        <f>'Data 1'!$M498-'Data 1'!$L498</f>
        <v>26.399999999999977</v>
      </c>
      <c r="O498" s="37">
        <f>DAY('Data 1'!$A498)</f>
        <v>18</v>
      </c>
      <c r="P498" s="37" t="str">
        <f>TEXT('Data 1'!$A498,"mmm")</f>
        <v>Nov</v>
      </c>
      <c r="Q498" s="41">
        <f>YEAR('Data 1'!$A498)</f>
        <v>2022</v>
      </c>
    </row>
    <row r="499" spans="1:17" x14ac:dyDescent="0.3">
      <c r="A499" s="35">
        <v>44886</v>
      </c>
      <c r="B499" s="36" t="s">
        <v>33</v>
      </c>
      <c r="C499" s="37">
        <v>6</v>
      </c>
      <c r="D499" s="37" t="s">
        <v>21</v>
      </c>
      <c r="E499" s="37" t="s">
        <v>19</v>
      </c>
      <c r="F499" s="38">
        <v>0</v>
      </c>
      <c r="G499" s="42" t="str">
        <f>VLOOKUP('Data 1'!$B499,'Data 2'!$A$1:$F$46,MATCH('Data 1'!G$1,'Data 2'!$A$1:$F$1,0),0)</f>
        <v>Product20</v>
      </c>
      <c r="H499" s="42" t="str">
        <f>VLOOKUP('Data 1'!$B499,'Data 2'!$A$1:$F$46,MATCH('Data 1'!H$1,'Data 2'!$A$1:$F$1,0),0)</f>
        <v>Category03</v>
      </c>
      <c r="I499" s="42" t="str">
        <f>VLOOKUP('Data 1'!$B499,'Data 2'!$A$1:$F$46,MATCH('Data 1'!I$1,'Data 2'!$A$1:$F$1,0),0)</f>
        <v>Lt</v>
      </c>
      <c r="J499" s="42">
        <f>VLOOKUP('Data 1'!$B499,'Data 2'!$A$1:$F$46,MATCH('Data 1'!J$1,'Data 2'!$A$1:$F$1,0),0)</f>
        <v>61</v>
      </c>
      <c r="K499" s="42">
        <f>VLOOKUP('Data 1'!$B499,'Data 2'!$A$1:$F$46,MATCH('Data 1'!K$1,'Data 2'!$A$1:$F$1,0),0)</f>
        <v>76.25</v>
      </c>
      <c r="L499" s="40">
        <f>SUM('Data 1'!$J499*'Data 1'!$C499)</f>
        <v>366</v>
      </c>
      <c r="M499" s="40">
        <f>'Data 1'!$C499*'Data 1'!$K499</f>
        <v>457.5</v>
      </c>
      <c r="N499" s="40">
        <f>'Data 1'!$M499-'Data 1'!$L499</f>
        <v>91.5</v>
      </c>
      <c r="O499" s="37">
        <f>DAY('Data 1'!$A499)</f>
        <v>21</v>
      </c>
      <c r="P499" s="37" t="str">
        <f>TEXT('Data 1'!$A499,"mmm")</f>
        <v>Nov</v>
      </c>
      <c r="Q499" s="41">
        <f>YEAR('Data 1'!$A499)</f>
        <v>2022</v>
      </c>
    </row>
    <row r="500" spans="1:17" x14ac:dyDescent="0.3">
      <c r="A500" s="35">
        <v>44888</v>
      </c>
      <c r="B500" s="36" t="s">
        <v>62</v>
      </c>
      <c r="C500" s="37">
        <v>12</v>
      </c>
      <c r="D500" s="37" t="s">
        <v>17</v>
      </c>
      <c r="E500" s="37" t="s">
        <v>17</v>
      </c>
      <c r="F500" s="38">
        <v>0</v>
      </c>
      <c r="G500" s="39" t="str">
        <f>VLOOKUP('Data 1'!$B500,'Data 2'!$A$1:$F$46,MATCH('Data 1'!G$1,'Data 2'!$A$1:$F$1,0),0)</f>
        <v>Product36</v>
      </c>
      <c r="H500" s="39" t="str">
        <f>VLOOKUP('Data 1'!$B500,'Data 2'!$A$1:$F$46,MATCH('Data 1'!H$1,'Data 2'!$A$1:$F$1,0),0)</f>
        <v>Category04</v>
      </c>
      <c r="I500" s="39" t="str">
        <f>VLOOKUP('Data 1'!$B500,'Data 2'!$A$1:$F$46,MATCH('Data 1'!I$1,'Data 2'!$A$1:$F$1,0),0)</f>
        <v>Kg</v>
      </c>
      <c r="J500" s="39">
        <f>VLOOKUP('Data 1'!$B500,'Data 2'!$A$1:$F$46,MATCH('Data 1'!J$1,'Data 2'!$A$1:$F$1,0),0)</f>
        <v>90</v>
      </c>
      <c r="K500" s="39">
        <f>VLOOKUP('Data 1'!$B500,'Data 2'!$A$1:$F$46,MATCH('Data 1'!K$1,'Data 2'!$A$1:$F$1,0),0)</f>
        <v>96.3</v>
      </c>
      <c r="L500" s="40">
        <f>SUM('Data 1'!$J500*'Data 1'!$C500)</f>
        <v>1080</v>
      </c>
      <c r="M500" s="40">
        <f>'Data 1'!$C500*'Data 1'!$K500</f>
        <v>1155.5999999999999</v>
      </c>
      <c r="N500" s="40">
        <f>'Data 1'!$M500-'Data 1'!$L500</f>
        <v>75.599999999999909</v>
      </c>
      <c r="O500" s="37">
        <f>DAY('Data 1'!$A500)</f>
        <v>23</v>
      </c>
      <c r="P500" s="37" t="str">
        <f>TEXT('Data 1'!$A500,"mmm")</f>
        <v>Nov</v>
      </c>
      <c r="Q500" s="41">
        <f>YEAR('Data 1'!$A500)</f>
        <v>2022</v>
      </c>
    </row>
    <row r="501" spans="1:17" x14ac:dyDescent="0.3">
      <c r="A501" s="35">
        <v>44890</v>
      </c>
      <c r="B501" s="36" t="s">
        <v>22</v>
      </c>
      <c r="C501" s="37">
        <v>5</v>
      </c>
      <c r="D501" s="37" t="s">
        <v>21</v>
      </c>
      <c r="E501" s="37" t="s">
        <v>19</v>
      </c>
      <c r="F501" s="38">
        <v>0</v>
      </c>
      <c r="G501" s="42" t="str">
        <f>VLOOKUP('Data 1'!$B501,'Data 2'!$A$1:$F$46,MATCH('Data 1'!G$1,'Data 2'!$A$1:$F$1,0),0)</f>
        <v>Product04</v>
      </c>
      <c r="H501" s="42" t="str">
        <f>VLOOKUP('Data 1'!$B501,'Data 2'!$A$1:$F$46,MATCH('Data 1'!H$1,'Data 2'!$A$1:$F$1,0),0)</f>
        <v>Category01</v>
      </c>
      <c r="I501" s="42" t="str">
        <f>VLOOKUP('Data 1'!$B501,'Data 2'!$A$1:$F$46,MATCH('Data 1'!I$1,'Data 2'!$A$1:$F$1,0),0)</f>
        <v>Lt</v>
      </c>
      <c r="J501" s="42">
        <f>VLOOKUP('Data 1'!$B501,'Data 2'!$A$1:$F$46,MATCH('Data 1'!J$1,'Data 2'!$A$1:$F$1,0),0)</f>
        <v>44</v>
      </c>
      <c r="K501" s="42">
        <f>VLOOKUP('Data 1'!$B501,'Data 2'!$A$1:$F$46,MATCH('Data 1'!K$1,'Data 2'!$A$1:$F$1,0),0)</f>
        <v>48.84</v>
      </c>
      <c r="L501" s="40">
        <f>SUM('Data 1'!$J501*'Data 1'!$C501)</f>
        <v>220</v>
      </c>
      <c r="M501" s="40">
        <f>'Data 1'!$C501*'Data 1'!$K501</f>
        <v>244.20000000000002</v>
      </c>
      <c r="N501" s="40">
        <f>'Data 1'!$M501-'Data 1'!$L501</f>
        <v>24.200000000000017</v>
      </c>
      <c r="O501" s="37">
        <f>DAY('Data 1'!$A501)</f>
        <v>25</v>
      </c>
      <c r="P501" s="37" t="str">
        <f>TEXT('Data 1'!$A501,"mmm")</f>
        <v>Nov</v>
      </c>
      <c r="Q501" s="41">
        <f>YEAR('Data 1'!$A501)</f>
        <v>2022</v>
      </c>
    </row>
    <row r="502" spans="1:17" x14ac:dyDescent="0.3">
      <c r="A502" s="35">
        <v>44891</v>
      </c>
      <c r="B502" s="36" t="s">
        <v>37</v>
      </c>
      <c r="C502" s="37">
        <v>5</v>
      </c>
      <c r="D502" s="37" t="s">
        <v>21</v>
      </c>
      <c r="E502" s="37" t="s">
        <v>17</v>
      </c>
      <c r="F502" s="38">
        <v>0</v>
      </c>
      <c r="G502" s="39" t="str">
        <f>VLOOKUP('Data 1'!$B502,'Data 2'!$A$1:$F$46,MATCH('Data 1'!G$1,'Data 2'!$A$1:$F$1,0),0)</f>
        <v>Product32</v>
      </c>
      <c r="H502" s="39" t="str">
        <f>VLOOKUP('Data 1'!$B502,'Data 2'!$A$1:$F$46,MATCH('Data 1'!H$1,'Data 2'!$A$1:$F$1,0),0)</f>
        <v>Category04</v>
      </c>
      <c r="I502" s="39" t="str">
        <f>VLOOKUP('Data 1'!$B502,'Data 2'!$A$1:$F$46,MATCH('Data 1'!I$1,'Data 2'!$A$1:$F$1,0),0)</f>
        <v>Kg</v>
      </c>
      <c r="J502" s="39">
        <f>VLOOKUP('Data 1'!$B502,'Data 2'!$A$1:$F$46,MATCH('Data 1'!J$1,'Data 2'!$A$1:$F$1,0),0)</f>
        <v>89</v>
      </c>
      <c r="K502" s="39">
        <f>VLOOKUP('Data 1'!$B502,'Data 2'!$A$1:$F$46,MATCH('Data 1'!K$1,'Data 2'!$A$1:$F$1,0),0)</f>
        <v>117.48</v>
      </c>
      <c r="L502" s="40">
        <f>SUM('Data 1'!$J502*'Data 1'!$C502)</f>
        <v>445</v>
      </c>
      <c r="M502" s="40">
        <f>'Data 1'!$C502*'Data 1'!$K502</f>
        <v>587.4</v>
      </c>
      <c r="N502" s="40">
        <f>'Data 1'!$M502-'Data 1'!$L502</f>
        <v>142.39999999999998</v>
      </c>
      <c r="O502" s="37">
        <f>DAY('Data 1'!$A502)</f>
        <v>26</v>
      </c>
      <c r="P502" s="37" t="str">
        <f>TEXT('Data 1'!$A502,"mmm")</f>
        <v>Nov</v>
      </c>
      <c r="Q502" s="41">
        <f>YEAR('Data 1'!$A502)</f>
        <v>2022</v>
      </c>
    </row>
    <row r="503" spans="1:17" x14ac:dyDescent="0.3">
      <c r="A503" s="35">
        <v>44892</v>
      </c>
      <c r="B503" s="36" t="s">
        <v>32</v>
      </c>
      <c r="C503" s="37">
        <v>15</v>
      </c>
      <c r="D503" s="37" t="s">
        <v>21</v>
      </c>
      <c r="E503" s="37" t="s">
        <v>17</v>
      </c>
      <c r="F503" s="38">
        <v>0</v>
      </c>
      <c r="G503" s="42" t="str">
        <f>VLOOKUP('Data 1'!$B503,'Data 2'!$A$1:$F$46,MATCH('Data 1'!G$1,'Data 2'!$A$1:$F$1,0),0)</f>
        <v>Product34</v>
      </c>
      <c r="H503" s="42" t="str">
        <f>VLOOKUP('Data 1'!$B503,'Data 2'!$A$1:$F$46,MATCH('Data 1'!H$1,'Data 2'!$A$1:$F$1,0),0)</f>
        <v>Category04</v>
      </c>
      <c r="I503" s="42" t="str">
        <f>VLOOKUP('Data 1'!$B503,'Data 2'!$A$1:$F$46,MATCH('Data 1'!I$1,'Data 2'!$A$1:$F$1,0),0)</f>
        <v>Lt</v>
      </c>
      <c r="J503" s="42">
        <f>VLOOKUP('Data 1'!$B503,'Data 2'!$A$1:$F$46,MATCH('Data 1'!J$1,'Data 2'!$A$1:$F$1,0),0)</f>
        <v>55</v>
      </c>
      <c r="K503" s="42">
        <f>VLOOKUP('Data 1'!$B503,'Data 2'!$A$1:$F$46,MATCH('Data 1'!K$1,'Data 2'!$A$1:$F$1,0),0)</f>
        <v>58.3</v>
      </c>
      <c r="L503" s="40">
        <f>SUM('Data 1'!$J503*'Data 1'!$C503)</f>
        <v>825</v>
      </c>
      <c r="M503" s="40">
        <f>'Data 1'!$C503*'Data 1'!$K503</f>
        <v>874.5</v>
      </c>
      <c r="N503" s="40">
        <f>'Data 1'!$M503-'Data 1'!$L503</f>
        <v>49.5</v>
      </c>
      <c r="O503" s="37">
        <f>DAY('Data 1'!$A503)</f>
        <v>27</v>
      </c>
      <c r="P503" s="37" t="str">
        <f>TEXT('Data 1'!$A503,"mmm")</f>
        <v>Nov</v>
      </c>
      <c r="Q503" s="41">
        <f>YEAR('Data 1'!$A503)</f>
        <v>2022</v>
      </c>
    </row>
    <row r="504" spans="1:17" x14ac:dyDescent="0.3">
      <c r="A504" s="35">
        <v>44893</v>
      </c>
      <c r="B504" s="36" t="s">
        <v>24</v>
      </c>
      <c r="C504" s="37">
        <v>8</v>
      </c>
      <c r="D504" s="37" t="s">
        <v>21</v>
      </c>
      <c r="E504" s="37" t="s">
        <v>19</v>
      </c>
      <c r="F504" s="38">
        <v>0</v>
      </c>
      <c r="G504" s="39" t="str">
        <f>VLOOKUP('Data 1'!$B504,'Data 2'!$A$1:$F$46,MATCH('Data 1'!G$1,'Data 2'!$A$1:$F$1,0),0)</f>
        <v>Product31</v>
      </c>
      <c r="H504" s="39" t="str">
        <f>VLOOKUP('Data 1'!$B504,'Data 2'!$A$1:$F$46,MATCH('Data 1'!H$1,'Data 2'!$A$1:$F$1,0),0)</f>
        <v>Category04</v>
      </c>
      <c r="I504" s="39" t="str">
        <f>VLOOKUP('Data 1'!$B504,'Data 2'!$A$1:$F$46,MATCH('Data 1'!I$1,'Data 2'!$A$1:$F$1,0),0)</f>
        <v>Kg</v>
      </c>
      <c r="J504" s="39">
        <f>VLOOKUP('Data 1'!$B504,'Data 2'!$A$1:$F$46,MATCH('Data 1'!J$1,'Data 2'!$A$1:$F$1,0),0)</f>
        <v>93</v>
      </c>
      <c r="K504" s="39">
        <f>VLOOKUP('Data 1'!$B504,'Data 2'!$A$1:$F$46,MATCH('Data 1'!K$1,'Data 2'!$A$1:$F$1,0),0)</f>
        <v>104.16</v>
      </c>
      <c r="L504" s="40">
        <f>SUM('Data 1'!$J504*'Data 1'!$C504)</f>
        <v>744</v>
      </c>
      <c r="M504" s="40">
        <f>'Data 1'!$C504*'Data 1'!$K504</f>
        <v>833.28</v>
      </c>
      <c r="N504" s="40">
        <f>'Data 1'!$M504-'Data 1'!$L504</f>
        <v>89.279999999999973</v>
      </c>
      <c r="O504" s="37">
        <f>DAY('Data 1'!$A504)</f>
        <v>28</v>
      </c>
      <c r="P504" s="37" t="str">
        <f>TEXT('Data 1'!$A504,"mmm")</f>
        <v>Nov</v>
      </c>
      <c r="Q504" s="41">
        <f>YEAR('Data 1'!$A504)</f>
        <v>2022</v>
      </c>
    </row>
    <row r="505" spans="1:17" x14ac:dyDescent="0.3">
      <c r="A505" s="35">
        <v>44895</v>
      </c>
      <c r="B505" s="36" t="s">
        <v>46</v>
      </c>
      <c r="C505" s="37">
        <v>2</v>
      </c>
      <c r="D505" s="37" t="s">
        <v>21</v>
      </c>
      <c r="E505" s="37" t="s">
        <v>17</v>
      </c>
      <c r="F505" s="38">
        <v>0</v>
      </c>
      <c r="G505" s="42" t="str">
        <f>VLOOKUP('Data 1'!$B505,'Data 2'!$A$1:$F$46,MATCH('Data 1'!G$1,'Data 2'!$A$1:$F$1,0),0)</f>
        <v>Product15</v>
      </c>
      <c r="H505" s="42" t="str">
        <f>VLOOKUP('Data 1'!$B505,'Data 2'!$A$1:$F$46,MATCH('Data 1'!H$1,'Data 2'!$A$1:$F$1,0),0)</f>
        <v>Category02</v>
      </c>
      <c r="I505" s="42" t="str">
        <f>VLOOKUP('Data 1'!$B505,'Data 2'!$A$1:$F$46,MATCH('Data 1'!I$1,'Data 2'!$A$1:$F$1,0),0)</f>
        <v>No.</v>
      </c>
      <c r="J505" s="42">
        <f>VLOOKUP('Data 1'!$B505,'Data 2'!$A$1:$F$46,MATCH('Data 1'!J$1,'Data 2'!$A$1:$F$1,0),0)</f>
        <v>12</v>
      </c>
      <c r="K505" s="42">
        <f>VLOOKUP('Data 1'!$B505,'Data 2'!$A$1:$F$46,MATCH('Data 1'!K$1,'Data 2'!$A$1:$F$1,0),0)</f>
        <v>15.719999999999999</v>
      </c>
      <c r="L505" s="40">
        <f>SUM('Data 1'!$J505*'Data 1'!$C505)</f>
        <v>24</v>
      </c>
      <c r="M505" s="40">
        <f>'Data 1'!$C505*'Data 1'!$K505</f>
        <v>31.439999999999998</v>
      </c>
      <c r="N505" s="40">
        <f>'Data 1'!$M505-'Data 1'!$L505</f>
        <v>7.4399999999999977</v>
      </c>
      <c r="O505" s="37">
        <f>DAY('Data 1'!$A505)</f>
        <v>30</v>
      </c>
      <c r="P505" s="37" t="str">
        <f>TEXT('Data 1'!$A505,"mmm")</f>
        <v>Nov</v>
      </c>
      <c r="Q505" s="41">
        <f>YEAR('Data 1'!$A505)</f>
        <v>2022</v>
      </c>
    </row>
    <row r="506" spans="1:17" x14ac:dyDescent="0.3">
      <c r="A506" s="35">
        <v>44898</v>
      </c>
      <c r="B506" s="36" t="s">
        <v>52</v>
      </c>
      <c r="C506" s="37">
        <v>5</v>
      </c>
      <c r="D506" s="37" t="s">
        <v>16</v>
      </c>
      <c r="E506" s="37" t="s">
        <v>19</v>
      </c>
      <c r="F506" s="38">
        <v>0</v>
      </c>
      <c r="G506" s="39" t="str">
        <f>VLOOKUP('Data 1'!$B506,'Data 2'!$A$1:$F$46,MATCH('Data 1'!G$1,'Data 2'!$A$1:$F$1,0),0)</f>
        <v>Product28</v>
      </c>
      <c r="H506" s="39" t="str">
        <f>VLOOKUP('Data 1'!$B506,'Data 2'!$A$1:$F$46,MATCH('Data 1'!H$1,'Data 2'!$A$1:$F$1,0),0)</f>
        <v>Category04</v>
      </c>
      <c r="I506" s="39" t="str">
        <f>VLOOKUP('Data 1'!$B506,'Data 2'!$A$1:$F$46,MATCH('Data 1'!I$1,'Data 2'!$A$1:$F$1,0),0)</f>
        <v>No.</v>
      </c>
      <c r="J506" s="39">
        <f>VLOOKUP('Data 1'!$B506,'Data 2'!$A$1:$F$46,MATCH('Data 1'!J$1,'Data 2'!$A$1:$F$1,0),0)</f>
        <v>37</v>
      </c>
      <c r="K506" s="39">
        <f>VLOOKUP('Data 1'!$B506,'Data 2'!$A$1:$F$46,MATCH('Data 1'!K$1,'Data 2'!$A$1:$F$1,0),0)</f>
        <v>41.81</v>
      </c>
      <c r="L506" s="40">
        <f>SUM('Data 1'!$J506*'Data 1'!$C506)</f>
        <v>185</v>
      </c>
      <c r="M506" s="40">
        <f>'Data 1'!$C506*'Data 1'!$K506</f>
        <v>209.05</v>
      </c>
      <c r="N506" s="40">
        <f>'Data 1'!$M506-'Data 1'!$L506</f>
        <v>24.050000000000011</v>
      </c>
      <c r="O506" s="37">
        <f>DAY('Data 1'!$A506)</f>
        <v>3</v>
      </c>
      <c r="P506" s="37" t="str">
        <f>TEXT('Data 1'!$A506,"mmm")</f>
        <v>Dec</v>
      </c>
      <c r="Q506" s="41">
        <f>YEAR('Data 1'!$A506)</f>
        <v>2022</v>
      </c>
    </row>
    <row r="507" spans="1:17" x14ac:dyDescent="0.3">
      <c r="A507" s="35">
        <v>44899</v>
      </c>
      <c r="B507" s="36" t="s">
        <v>61</v>
      </c>
      <c r="C507" s="37">
        <v>10</v>
      </c>
      <c r="D507" s="37" t="s">
        <v>21</v>
      </c>
      <c r="E507" s="37" t="s">
        <v>19</v>
      </c>
      <c r="F507" s="38">
        <v>0</v>
      </c>
      <c r="G507" s="42" t="str">
        <f>VLOOKUP('Data 1'!$B507,'Data 2'!$A$1:$F$46,MATCH('Data 1'!G$1,'Data 2'!$A$1:$F$1,0),0)</f>
        <v>Product26</v>
      </c>
      <c r="H507" s="42" t="str">
        <f>VLOOKUP('Data 1'!$B507,'Data 2'!$A$1:$F$46,MATCH('Data 1'!H$1,'Data 2'!$A$1:$F$1,0),0)</f>
        <v>Category04</v>
      </c>
      <c r="I507" s="42" t="str">
        <f>VLOOKUP('Data 1'!$B507,'Data 2'!$A$1:$F$46,MATCH('Data 1'!I$1,'Data 2'!$A$1:$F$1,0),0)</f>
        <v>No.</v>
      </c>
      <c r="J507" s="42">
        <f>VLOOKUP('Data 1'!$B507,'Data 2'!$A$1:$F$46,MATCH('Data 1'!J$1,'Data 2'!$A$1:$F$1,0),0)</f>
        <v>18</v>
      </c>
      <c r="K507" s="42">
        <f>VLOOKUP('Data 1'!$B507,'Data 2'!$A$1:$F$46,MATCH('Data 1'!K$1,'Data 2'!$A$1:$F$1,0),0)</f>
        <v>24.66</v>
      </c>
      <c r="L507" s="40">
        <f>SUM('Data 1'!$J507*'Data 1'!$C507)</f>
        <v>180</v>
      </c>
      <c r="M507" s="40">
        <f>'Data 1'!$C507*'Data 1'!$K507</f>
        <v>246.6</v>
      </c>
      <c r="N507" s="40">
        <f>'Data 1'!$M507-'Data 1'!$L507</f>
        <v>66.599999999999994</v>
      </c>
      <c r="O507" s="37">
        <f>DAY('Data 1'!$A507)</f>
        <v>4</v>
      </c>
      <c r="P507" s="37" t="str">
        <f>TEXT('Data 1'!$A507,"mmm")</f>
        <v>Dec</v>
      </c>
      <c r="Q507" s="41">
        <f>YEAR('Data 1'!$A507)</f>
        <v>2022</v>
      </c>
    </row>
    <row r="508" spans="1:17" x14ac:dyDescent="0.3">
      <c r="A508" s="35">
        <v>44899</v>
      </c>
      <c r="B508" s="36" t="s">
        <v>30</v>
      </c>
      <c r="C508" s="37">
        <v>15</v>
      </c>
      <c r="D508" s="37" t="s">
        <v>21</v>
      </c>
      <c r="E508" s="37" t="s">
        <v>19</v>
      </c>
      <c r="F508" s="38">
        <v>0</v>
      </c>
      <c r="G508" s="39" t="str">
        <f>VLOOKUP('Data 1'!$B508,'Data 2'!$A$1:$F$46,MATCH('Data 1'!G$1,'Data 2'!$A$1:$F$1,0),0)</f>
        <v>Product44</v>
      </c>
      <c r="H508" s="39" t="str">
        <f>VLOOKUP('Data 1'!$B508,'Data 2'!$A$1:$F$46,MATCH('Data 1'!H$1,'Data 2'!$A$1:$F$1,0),0)</f>
        <v>Category05</v>
      </c>
      <c r="I508" s="39" t="str">
        <f>VLOOKUP('Data 1'!$B508,'Data 2'!$A$1:$F$46,MATCH('Data 1'!I$1,'Data 2'!$A$1:$F$1,0),0)</f>
        <v>Kg</v>
      </c>
      <c r="J508" s="39">
        <f>VLOOKUP('Data 1'!$B508,'Data 2'!$A$1:$F$46,MATCH('Data 1'!J$1,'Data 2'!$A$1:$F$1,0),0)</f>
        <v>76</v>
      </c>
      <c r="K508" s="39">
        <f>VLOOKUP('Data 1'!$B508,'Data 2'!$A$1:$F$46,MATCH('Data 1'!K$1,'Data 2'!$A$1:$F$1,0),0)</f>
        <v>82.08</v>
      </c>
      <c r="L508" s="40">
        <f>SUM('Data 1'!$J508*'Data 1'!$C508)</f>
        <v>1140</v>
      </c>
      <c r="M508" s="40">
        <f>'Data 1'!$C508*'Data 1'!$K508</f>
        <v>1231.2</v>
      </c>
      <c r="N508" s="40">
        <f>'Data 1'!$M508-'Data 1'!$L508</f>
        <v>91.200000000000045</v>
      </c>
      <c r="O508" s="37">
        <f>DAY('Data 1'!$A508)</f>
        <v>4</v>
      </c>
      <c r="P508" s="37" t="str">
        <f>TEXT('Data 1'!$A508,"mmm")</f>
        <v>Dec</v>
      </c>
      <c r="Q508" s="41">
        <f>YEAR('Data 1'!$A508)</f>
        <v>2022</v>
      </c>
    </row>
    <row r="509" spans="1:17" x14ac:dyDescent="0.3">
      <c r="A509" s="35">
        <v>44902</v>
      </c>
      <c r="B509" s="36" t="s">
        <v>18</v>
      </c>
      <c r="C509" s="37">
        <v>12</v>
      </c>
      <c r="D509" s="37" t="s">
        <v>21</v>
      </c>
      <c r="E509" s="37" t="s">
        <v>19</v>
      </c>
      <c r="F509" s="38">
        <v>0</v>
      </c>
      <c r="G509" s="42" t="str">
        <f>VLOOKUP('Data 1'!$B509,'Data 2'!$A$1:$F$46,MATCH('Data 1'!G$1,'Data 2'!$A$1:$F$1,0),0)</f>
        <v>Product38</v>
      </c>
      <c r="H509" s="42" t="str">
        <f>VLOOKUP('Data 1'!$B509,'Data 2'!$A$1:$F$46,MATCH('Data 1'!H$1,'Data 2'!$A$1:$F$1,0),0)</f>
        <v>Category05</v>
      </c>
      <c r="I509" s="42" t="str">
        <f>VLOOKUP('Data 1'!$B509,'Data 2'!$A$1:$F$46,MATCH('Data 1'!I$1,'Data 2'!$A$1:$F$1,0),0)</f>
        <v>Kg</v>
      </c>
      <c r="J509" s="42">
        <f>VLOOKUP('Data 1'!$B509,'Data 2'!$A$1:$F$46,MATCH('Data 1'!J$1,'Data 2'!$A$1:$F$1,0),0)</f>
        <v>72</v>
      </c>
      <c r="K509" s="42">
        <f>VLOOKUP('Data 1'!$B509,'Data 2'!$A$1:$F$46,MATCH('Data 1'!K$1,'Data 2'!$A$1:$F$1,0),0)</f>
        <v>79.92</v>
      </c>
      <c r="L509" s="40">
        <f>SUM('Data 1'!$J509*'Data 1'!$C509)</f>
        <v>864</v>
      </c>
      <c r="M509" s="40">
        <f>'Data 1'!$C509*'Data 1'!$K509</f>
        <v>959.04</v>
      </c>
      <c r="N509" s="40">
        <f>'Data 1'!$M509-'Data 1'!$L509</f>
        <v>95.039999999999964</v>
      </c>
      <c r="O509" s="37">
        <f>DAY('Data 1'!$A509)</f>
        <v>7</v>
      </c>
      <c r="P509" s="37" t="str">
        <f>TEXT('Data 1'!$A509,"mmm")</f>
        <v>Dec</v>
      </c>
      <c r="Q509" s="41">
        <f>YEAR('Data 1'!$A509)</f>
        <v>2022</v>
      </c>
    </row>
    <row r="510" spans="1:17" x14ac:dyDescent="0.3">
      <c r="A510" s="35">
        <v>44902</v>
      </c>
      <c r="B510" s="36" t="s">
        <v>40</v>
      </c>
      <c r="C510" s="37">
        <v>13</v>
      </c>
      <c r="D510" s="37" t="s">
        <v>21</v>
      </c>
      <c r="E510" s="37" t="s">
        <v>17</v>
      </c>
      <c r="F510" s="38">
        <v>0</v>
      </c>
      <c r="G510" s="39" t="str">
        <f>VLOOKUP('Data 1'!$B510,'Data 2'!$A$1:$F$46,MATCH('Data 1'!G$1,'Data 2'!$A$1:$F$1,0),0)</f>
        <v>Product16</v>
      </c>
      <c r="H510" s="39" t="str">
        <f>VLOOKUP('Data 1'!$B510,'Data 2'!$A$1:$F$46,MATCH('Data 1'!H$1,'Data 2'!$A$1:$F$1,0),0)</f>
        <v>Category02</v>
      </c>
      <c r="I510" s="39" t="str">
        <f>VLOOKUP('Data 1'!$B510,'Data 2'!$A$1:$F$46,MATCH('Data 1'!I$1,'Data 2'!$A$1:$F$1,0),0)</f>
        <v>No.</v>
      </c>
      <c r="J510" s="39">
        <f>VLOOKUP('Data 1'!$B510,'Data 2'!$A$1:$F$46,MATCH('Data 1'!J$1,'Data 2'!$A$1:$F$1,0),0)</f>
        <v>13</v>
      </c>
      <c r="K510" s="39">
        <f>VLOOKUP('Data 1'!$B510,'Data 2'!$A$1:$F$46,MATCH('Data 1'!K$1,'Data 2'!$A$1:$F$1,0),0)</f>
        <v>16.64</v>
      </c>
      <c r="L510" s="40">
        <f>SUM('Data 1'!$J510*'Data 1'!$C510)</f>
        <v>169</v>
      </c>
      <c r="M510" s="40">
        <f>'Data 1'!$C510*'Data 1'!$K510</f>
        <v>216.32</v>
      </c>
      <c r="N510" s="40">
        <f>'Data 1'!$M510-'Data 1'!$L510</f>
        <v>47.319999999999993</v>
      </c>
      <c r="O510" s="37">
        <f>DAY('Data 1'!$A510)</f>
        <v>7</v>
      </c>
      <c r="P510" s="37" t="str">
        <f>TEXT('Data 1'!$A510,"mmm")</f>
        <v>Dec</v>
      </c>
      <c r="Q510" s="41">
        <f>YEAR('Data 1'!$A510)</f>
        <v>2022</v>
      </c>
    </row>
    <row r="511" spans="1:17" x14ac:dyDescent="0.3">
      <c r="A511" s="35">
        <v>44902</v>
      </c>
      <c r="B511" s="36" t="s">
        <v>18</v>
      </c>
      <c r="C511" s="37">
        <v>5</v>
      </c>
      <c r="D511" s="37" t="s">
        <v>21</v>
      </c>
      <c r="E511" s="37" t="s">
        <v>19</v>
      </c>
      <c r="F511" s="38">
        <v>0</v>
      </c>
      <c r="G511" s="42" t="str">
        <f>VLOOKUP('Data 1'!$B511,'Data 2'!$A$1:$F$46,MATCH('Data 1'!G$1,'Data 2'!$A$1:$F$1,0),0)</f>
        <v>Product38</v>
      </c>
      <c r="H511" s="42" t="str">
        <f>VLOOKUP('Data 1'!$B511,'Data 2'!$A$1:$F$46,MATCH('Data 1'!H$1,'Data 2'!$A$1:$F$1,0),0)</f>
        <v>Category05</v>
      </c>
      <c r="I511" s="42" t="str">
        <f>VLOOKUP('Data 1'!$B511,'Data 2'!$A$1:$F$46,MATCH('Data 1'!I$1,'Data 2'!$A$1:$F$1,0),0)</f>
        <v>Kg</v>
      </c>
      <c r="J511" s="42">
        <f>VLOOKUP('Data 1'!$B511,'Data 2'!$A$1:$F$46,MATCH('Data 1'!J$1,'Data 2'!$A$1:$F$1,0),0)</f>
        <v>72</v>
      </c>
      <c r="K511" s="42">
        <f>VLOOKUP('Data 1'!$B511,'Data 2'!$A$1:$F$46,MATCH('Data 1'!K$1,'Data 2'!$A$1:$F$1,0),0)</f>
        <v>79.92</v>
      </c>
      <c r="L511" s="40">
        <f>SUM('Data 1'!$J511*'Data 1'!$C511)</f>
        <v>360</v>
      </c>
      <c r="M511" s="40">
        <f>'Data 1'!$C511*'Data 1'!$K511</f>
        <v>399.6</v>
      </c>
      <c r="N511" s="40">
        <f>'Data 1'!$M511-'Data 1'!$L511</f>
        <v>39.600000000000023</v>
      </c>
      <c r="O511" s="37">
        <f>DAY('Data 1'!$A511)</f>
        <v>7</v>
      </c>
      <c r="P511" s="37" t="str">
        <f>TEXT('Data 1'!$A511,"mmm")</f>
        <v>Dec</v>
      </c>
      <c r="Q511" s="41">
        <f>YEAR('Data 1'!$A511)</f>
        <v>2022</v>
      </c>
    </row>
    <row r="512" spans="1:17" x14ac:dyDescent="0.3">
      <c r="A512" s="35">
        <v>44906</v>
      </c>
      <c r="B512" s="36" t="s">
        <v>45</v>
      </c>
      <c r="C512" s="37">
        <v>5</v>
      </c>
      <c r="D512" s="37" t="s">
        <v>21</v>
      </c>
      <c r="E512" s="37" t="s">
        <v>17</v>
      </c>
      <c r="F512" s="38">
        <v>0</v>
      </c>
      <c r="G512" s="39" t="str">
        <f>VLOOKUP('Data 1'!$B512,'Data 2'!$A$1:$F$46,MATCH('Data 1'!G$1,'Data 2'!$A$1:$F$1,0),0)</f>
        <v>Product27</v>
      </c>
      <c r="H512" s="39" t="str">
        <f>VLOOKUP('Data 1'!$B512,'Data 2'!$A$1:$F$46,MATCH('Data 1'!H$1,'Data 2'!$A$1:$F$1,0),0)</f>
        <v>Category04</v>
      </c>
      <c r="I512" s="39" t="str">
        <f>VLOOKUP('Data 1'!$B512,'Data 2'!$A$1:$F$46,MATCH('Data 1'!I$1,'Data 2'!$A$1:$F$1,0),0)</f>
        <v>Lt</v>
      </c>
      <c r="J512" s="39">
        <f>VLOOKUP('Data 1'!$B512,'Data 2'!$A$1:$F$46,MATCH('Data 1'!J$1,'Data 2'!$A$1:$F$1,0),0)</f>
        <v>48</v>
      </c>
      <c r="K512" s="39">
        <f>VLOOKUP('Data 1'!$B512,'Data 2'!$A$1:$F$46,MATCH('Data 1'!K$1,'Data 2'!$A$1:$F$1,0),0)</f>
        <v>57.120000000000005</v>
      </c>
      <c r="L512" s="40">
        <f>SUM('Data 1'!$J512*'Data 1'!$C512)</f>
        <v>240</v>
      </c>
      <c r="M512" s="40">
        <f>'Data 1'!$C512*'Data 1'!$K512</f>
        <v>285.60000000000002</v>
      </c>
      <c r="N512" s="40">
        <f>'Data 1'!$M512-'Data 1'!$L512</f>
        <v>45.600000000000023</v>
      </c>
      <c r="O512" s="37">
        <f>DAY('Data 1'!$A512)</f>
        <v>11</v>
      </c>
      <c r="P512" s="37" t="str">
        <f>TEXT('Data 1'!$A512,"mmm")</f>
        <v>Dec</v>
      </c>
      <c r="Q512" s="41">
        <f>YEAR('Data 1'!$A512)</f>
        <v>2022</v>
      </c>
    </row>
    <row r="513" spans="1:17" x14ac:dyDescent="0.3">
      <c r="A513" s="35">
        <v>44906</v>
      </c>
      <c r="B513" s="36" t="s">
        <v>20</v>
      </c>
      <c r="C513" s="37">
        <v>9</v>
      </c>
      <c r="D513" s="37" t="s">
        <v>16</v>
      </c>
      <c r="E513" s="37" t="s">
        <v>17</v>
      </c>
      <c r="F513" s="38">
        <v>0</v>
      </c>
      <c r="G513" s="42" t="str">
        <f>VLOOKUP('Data 1'!$B513,'Data 2'!$A$1:$F$46,MATCH('Data 1'!G$1,'Data 2'!$A$1:$F$1,0),0)</f>
        <v>Product13</v>
      </c>
      <c r="H513" s="42" t="str">
        <f>VLOOKUP('Data 1'!$B513,'Data 2'!$A$1:$F$46,MATCH('Data 1'!H$1,'Data 2'!$A$1:$F$1,0),0)</f>
        <v>Category02</v>
      </c>
      <c r="I513" s="42" t="str">
        <f>VLOOKUP('Data 1'!$B513,'Data 2'!$A$1:$F$46,MATCH('Data 1'!I$1,'Data 2'!$A$1:$F$1,0),0)</f>
        <v>Kg</v>
      </c>
      <c r="J513" s="42">
        <f>VLOOKUP('Data 1'!$B513,'Data 2'!$A$1:$F$46,MATCH('Data 1'!J$1,'Data 2'!$A$1:$F$1,0),0)</f>
        <v>112</v>
      </c>
      <c r="K513" s="42">
        <f>VLOOKUP('Data 1'!$B513,'Data 2'!$A$1:$F$46,MATCH('Data 1'!K$1,'Data 2'!$A$1:$F$1,0),0)</f>
        <v>122.08</v>
      </c>
      <c r="L513" s="40">
        <f>SUM('Data 1'!$J513*'Data 1'!$C513)</f>
        <v>1008</v>
      </c>
      <c r="M513" s="40">
        <f>'Data 1'!$C513*'Data 1'!$K513</f>
        <v>1098.72</v>
      </c>
      <c r="N513" s="40">
        <f>'Data 1'!$M513-'Data 1'!$L513</f>
        <v>90.720000000000027</v>
      </c>
      <c r="O513" s="37">
        <f>DAY('Data 1'!$A513)</f>
        <v>11</v>
      </c>
      <c r="P513" s="37" t="str">
        <f>TEXT('Data 1'!$A513,"mmm")</f>
        <v>Dec</v>
      </c>
      <c r="Q513" s="41">
        <f>YEAR('Data 1'!$A513)</f>
        <v>2022</v>
      </c>
    </row>
    <row r="514" spans="1:17" x14ac:dyDescent="0.3">
      <c r="A514" s="35">
        <v>44906</v>
      </c>
      <c r="B514" s="36" t="s">
        <v>28</v>
      </c>
      <c r="C514" s="37">
        <v>10</v>
      </c>
      <c r="D514" s="37" t="s">
        <v>17</v>
      </c>
      <c r="E514" s="37" t="s">
        <v>19</v>
      </c>
      <c r="F514" s="38">
        <v>0</v>
      </c>
      <c r="G514" s="39" t="str">
        <f>VLOOKUP('Data 1'!$B514,'Data 2'!$A$1:$F$46,MATCH('Data 1'!G$1,'Data 2'!$A$1:$F$1,0),0)</f>
        <v>Product14</v>
      </c>
      <c r="H514" s="39" t="str">
        <f>VLOOKUP('Data 1'!$B514,'Data 2'!$A$1:$F$46,MATCH('Data 1'!H$1,'Data 2'!$A$1:$F$1,0),0)</f>
        <v>Category02</v>
      </c>
      <c r="I514" s="39" t="str">
        <f>VLOOKUP('Data 1'!$B514,'Data 2'!$A$1:$F$46,MATCH('Data 1'!I$1,'Data 2'!$A$1:$F$1,0),0)</f>
        <v>Kg</v>
      </c>
      <c r="J514" s="39">
        <f>VLOOKUP('Data 1'!$B514,'Data 2'!$A$1:$F$46,MATCH('Data 1'!J$1,'Data 2'!$A$1:$F$1,0),0)</f>
        <v>112</v>
      </c>
      <c r="K514" s="39">
        <f>VLOOKUP('Data 1'!$B514,'Data 2'!$A$1:$F$46,MATCH('Data 1'!K$1,'Data 2'!$A$1:$F$1,0),0)</f>
        <v>146.72</v>
      </c>
      <c r="L514" s="40">
        <f>SUM('Data 1'!$J514*'Data 1'!$C514)</f>
        <v>1120</v>
      </c>
      <c r="M514" s="40">
        <f>'Data 1'!$C514*'Data 1'!$K514</f>
        <v>1467.2</v>
      </c>
      <c r="N514" s="40">
        <f>'Data 1'!$M514-'Data 1'!$L514</f>
        <v>347.20000000000005</v>
      </c>
      <c r="O514" s="37">
        <f>DAY('Data 1'!$A514)</f>
        <v>11</v>
      </c>
      <c r="P514" s="37" t="str">
        <f>TEXT('Data 1'!$A514,"mmm")</f>
        <v>Dec</v>
      </c>
      <c r="Q514" s="41">
        <f>YEAR('Data 1'!$A514)</f>
        <v>2022</v>
      </c>
    </row>
    <row r="515" spans="1:17" x14ac:dyDescent="0.3">
      <c r="A515" s="35">
        <v>44907</v>
      </c>
      <c r="B515" s="36" t="s">
        <v>47</v>
      </c>
      <c r="C515" s="37">
        <v>9</v>
      </c>
      <c r="D515" s="37" t="s">
        <v>16</v>
      </c>
      <c r="E515" s="37" t="s">
        <v>19</v>
      </c>
      <c r="F515" s="38">
        <v>0</v>
      </c>
      <c r="G515" s="42" t="str">
        <f>VLOOKUP('Data 1'!$B515,'Data 2'!$A$1:$F$46,MATCH('Data 1'!G$1,'Data 2'!$A$1:$F$1,0),0)</f>
        <v>Product30</v>
      </c>
      <c r="H515" s="42" t="str">
        <f>VLOOKUP('Data 1'!$B515,'Data 2'!$A$1:$F$46,MATCH('Data 1'!H$1,'Data 2'!$A$1:$F$1,0),0)</f>
        <v>Category04</v>
      </c>
      <c r="I515" s="42" t="str">
        <f>VLOOKUP('Data 1'!$B515,'Data 2'!$A$1:$F$46,MATCH('Data 1'!I$1,'Data 2'!$A$1:$F$1,0),0)</f>
        <v>Ft</v>
      </c>
      <c r="J515" s="42">
        <f>VLOOKUP('Data 1'!$B515,'Data 2'!$A$1:$F$46,MATCH('Data 1'!J$1,'Data 2'!$A$1:$F$1,0),0)</f>
        <v>148</v>
      </c>
      <c r="K515" s="42">
        <f>VLOOKUP('Data 1'!$B515,'Data 2'!$A$1:$F$46,MATCH('Data 1'!K$1,'Data 2'!$A$1:$F$1,0),0)</f>
        <v>201.28</v>
      </c>
      <c r="L515" s="40">
        <f>SUM('Data 1'!$J515*'Data 1'!$C515)</f>
        <v>1332</v>
      </c>
      <c r="M515" s="40">
        <f>'Data 1'!$C515*'Data 1'!$K515</f>
        <v>1811.52</v>
      </c>
      <c r="N515" s="40">
        <f>'Data 1'!$M515-'Data 1'!$L515</f>
        <v>479.52</v>
      </c>
      <c r="O515" s="37">
        <f>DAY('Data 1'!$A515)</f>
        <v>12</v>
      </c>
      <c r="P515" s="37" t="str">
        <f>TEXT('Data 1'!$A515,"mmm")</f>
        <v>Dec</v>
      </c>
      <c r="Q515" s="41">
        <f>YEAR('Data 1'!$A515)</f>
        <v>2022</v>
      </c>
    </row>
    <row r="516" spans="1:17" x14ac:dyDescent="0.3">
      <c r="A516" s="35">
        <v>44907</v>
      </c>
      <c r="B516" s="36" t="s">
        <v>60</v>
      </c>
      <c r="C516" s="37">
        <v>10</v>
      </c>
      <c r="D516" s="37" t="s">
        <v>16</v>
      </c>
      <c r="E516" s="37" t="s">
        <v>17</v>
      </c>
      <c r="F516" s="38">
        <v>0</v>
      </c>
      <c r="G516" s="39" t="str">
        <f>VLOOKUP('Data 1'!$B516,'Data 2'!$A$1:$F$46,MATCH('Data 1'!G$1,'Data 2'!$A$1:$F$1,0),0)</f>
        <v>Product41</v>
      </c>
      <c r="H516" s="39" t="str">
        <f>VLOOKUP('Data 1'!$B516,'Data 2'!$A$1:$F$46,MATCH('Data 1'!H$1,'Data 2'!$A$1:$F$1,0),0)</f>
        <v>Category05</v>
      </c>
      <c r="I516" s="39" t="str">
        <f>VLOOKUP('Data 1'!$B516,'Data 2'!$A$1:$F$46,MATCH('Data 1'!I$1,'Data 2'!$A$1:$F$1,0),0)</f>
        <v>Ft</v>
      </c>
      <c r="J516" s="39">
        <f>VLOOKUP('Data 1'!$B516,'Data 2'!$A$1:$F$46,MATCH('Data 1'!J$1,'Data 2'!$A$1:$F$1,0),0)</f>
        <v>138</v>
      </c>
      <c r="K516" s="39">
        <f>VLOOKUP('Data 1'!$B516,'Data 2'!$A$1:$F$46,MATCH('Data 1'!K$1,'Data 2'!$A$1:$F$1,0),0)</f>
        <v>173.88</v>
      </c>
      <c r="L516" s="40">
        <f>SUM('Data 1'!$J516*'Data 1'!$C516)</f>
        <v>1380</v>
      </c>
      <c r="M516" s="40">
        <f>'Data 1'!$C516*'Data 1'!$K516</f>
        <v>1738.8</v>
      </c>
      <c r="N516" s="40">
        <f>'Data 1'!$M516-'Data 1'!$L516</f>
        <v>358.79999999999995</v>
      </c>
      <c r="O516" s="37">
        <f>DAY('Data 1'!$A516)</f>
        <v>12</v>
      </c>
      <c r="P516" s="37" t="str">
        <f>TEXT('Data 1'!$A516,"mmm")</f>
        <v>Dec</v>
      </c>
      <c r="Q516" s="41">
        <f>YEAR('Data 1'!$A516)</f>
        <v>2022</v>
      </c>
    </row>
    <row r="517" spans="1:17" x14ac:dyDescent="0.3">
      <c r="A517" s="35">
        <v>44909</v>
      </c>
      <c r="B517" s="36" t="s">
        <v>43</v>
      </c>
      <c r="C517" s="37">
        <v>4</v>
      </c>
      <c r="D517" s="37" t="s">
        <v>21</v>
      </c>
      <c r="E517" s="37" t="s">
        <v>19</v>
      </c>
      <c r="F517" s="38">
        <v>0</v>
      </c>
      <c r="G517" s="42" t="str">
        <f>VLOOKUP('Data 1'!$B517,'Data 2'!$A$1:$F$46,MATCH('Data 1'!G$1,'Data 2'!$A$1:$F$1,0),0)</f>
        <v>Product05</v>
      </c>
      <c r="H517" s="42" t="str">
        <f>VLOOKUP('Data 1'!$B517,'Data 2'!$A$1:$F$46,MATCH('Data 1'!H$1,'Data 2'!$A$1:$F$1,0),0)</f>
        <v>Category01</v>
      </c>
      <c r="I517" s="42" t="str">
        <f>VLOOKUP('Data 1'!$B517,'Data 2'!$A$1:$F$46,MATCH('Data 1'!I$1,'Data 2'!$A$1:$F$1,0),0)</f>
        <v>Ft</v>
      </c>
      <c r="J517" s="42">
        <f>VLOOKUP('Data 1'!$B517,'Data 2'!$A$1:$F$46,MATCH('Data 1'!J$1,'Data 2'!$A$1:$F$1,0),0)</f>
        <v>133</v>
      </c>
      <c r="K517" s="42">
        <f>VLOOKUP('Data 1'!$B517,'Data 2'!$A$1:$F$46,MATCH('Data 1'!K$1,'Data 2'!$A$1:$F$1,0),0)</f>
        <v>155.61000000000001</v>
      </c>
      <c r="L517" s="40">
        <f>SUM('Data 1'!$J517*'Data 1'!$C517)</f>
        <v>532</v>
      </c>
      <c r="M517" s="40">
        <f>'Data 1'!$C517*'Data 1'!$K517</f>
        <v>622.44000000000005</v>
      </c>
      <c r="N517" s="40">
        <f>'Data 1'!$M517-'Data 1'!$L517</f>
        <v>90.440000000000055</v>
      </c>
      <c r="O517" s="37">
        <f>DAY('Data 1'!$A517)</f>
        <v>14</v>
      </c>
      <c r="P517" s="37" t="str">
        <f>TEXT('Data 1'!$A517,"mmm")</f>
        <v>Dec</v>
      </c>
      <c r="Q517" s="41">
        <f>YEAR('Data 1'!$A517)</f>
        <v>2022</v>
      </c>
    </row>
    <row r="518" spans="1:17" x14ac:dyDescent="0.3">
      <c r="A518" s="35">
        <v>44910</v>
      </c>
      <c r="B518" s="36" t="s">
        <v>56</v>
      </c>
      <c r="C518" s="37">
        <v>13</v>
      </c>
      <c r="D518" s="37" t="s">
        <v>21</v>
      </c>
      <c r="E518" s="37" t="s">
        <v>17</v>
      </c>
      <c r="F518" s="38">
        <v>0</v>
      </c>
      <c r="G518" s="39" t="str">
        <f>VLOOKUP('Data 1'!$B518,'Data 2'!$A$1:$F$46,MATCH('Data 1'!G$1,'Data 2'!$A$1:$F$1,0),0)</f>
        <v>Product09</v>
      </c>
      <c r="H518" s="39" t="str">
        <f>VLOOKUP('Data 1'!$B518,'Data 2'!$A$1:$F$46,MATCH('Data 1'!H$1,'Data 2'!$A$1:$F$1,0),0)</f>
        <v>Category03</v>
      </c>
      <c r="I518" s="39" t="str">
        <f>VLOOKUP('Data 1'!$B518,'Data 2'!$A$1:$F$46,MATCH('Data 1'!I$1,'Data 2'!$A$1:$F$1,0),0)</f>
        <v>No.</v>
      </c>
      <c r="J518" s="39">
        <f>VLOOKUP('Data 1'!$B518,'Data 2'!$A$1:$F$46,MATCH('Data 1'!J$1,'Data 2'!$A$1:$F$1,0),0)</f>
        <v>6</v>
      </c>
      <c r="K518" s="39">
        <f>VLOOKUP('Data 1'!$B518,'Data 2'!$A$1:$F$46,MATCH('Data 1'!K$1,'Data 2'!$A$1:$F$1,0),0)</f>
        <v>7.8599999999999994</v>
      </c>
      <c r="L518" s="40">
        <f>SUM('Data 1'!$J518*'Data 1'!$C518)</f>
        <v>78</v>
      </c>
      <c r="M518" s="40">
        <f>'Data 1'!$C518*'Data 1'!$K518</f>
        <v>102.17999999999999</v>
      </c>
      <c r="N518" s="40">
        <f>'Data 1'!$M518-'Data 1'!$L518</f>
        <v>24.179999999999993</v>
      </c>
      <c r="O518" s="37">
        <f>DAY('Data 1'!$A518)</f>
        <v>15</v>
      </c>
      <c r="P518" s="37" t="str">
        <f>TEXT('Data 1'!$A518,"mmm")</f>
        <v>Dec</v>
      </c>
      <c r="Q518" s="41">
        <f>YEAR('Data 1'!$A518)</f>
        <v>2022</v>
      </c>
    </row>
    <row r="519" spans="1:17" x14ac:dyDescent="0.3">
      <c r="A519" s="35">
        <v>44914</v>
      </c>
      <c r="B519" s="36" t="s">
        <v>30</v>
      </c>
      <c r="C519" s="37">
        <v>7</v>
      </c>
      <c r="D519" s="37" t="s">
        <v>21</v>
      </c>
      <c r="E519" s="37" t="s">
        <v>17</v>
      </c>
      <c r="F519" s="38">
        <v>0</v>
      </c>
      <c r="G519" s="42" t="str">
        <f>VLOOKUP('Data 1'!$B519,'Data 2'!$A$1:$F$46,MATCH('Data 1'!G$1,'Data 2'!$A$1:$F$1,0),0)</f>
        <v>Product44</v>
      </c>
      <c r="H519" s="42" t="str">
        <f>VLOOKUP('Data 1'!$B519,'Data 2'!$A$1:$F$46,MATCH('Data 1'!H$1,'Data 2'!$A$1:$F$1,0),0)</f>
        <v>Category05</v>
      </c>
      <c r="I519" s="42" t="str">
        <f>VLOOKUP('Data 1'!$B519,'Data 2'!$A$1:$F$46,MATCH('Data 1'!I$1,'Data 2'!$A$1:$F$1,0),0)</f>
        <v>Kg</v>
      </c>
      <c r="J519" s="42">
        <f>VLOOKUP('Data 1'!$B519,'Data 2'!$A$1:$F$46,MATCH('Data 1'!J$1,'Data 2'!$A$1:$F$1,0),0)</f>
        <v>76</v>
      </c>
      <c r="K519" s="42">
        <f>VLOOKUP('Data 1'!$B519,'Data 2'!$A$1:$F$46,MATCH('Data 1'!K$1,'Data 2'!$A$1:$F$1,0),0)</f>
        <v>82.08</v>
      </c>
      <c r="L519" s="40">
        <f>SUM('Data 1'!$J519*'Data 1'!$C519)</f>
        <v>532</v>
      </c>
      <c r="M519" s="40">
        <f>'Data 1'!$C519*'Data 1'!$K519</f>
        <v>574.55999999999995</v>
      </c>
      <c r="N519" s="40">
        <f>'Data 1'!$M519-'Data 1'!$L519</f>
        <v>42.559999999999945</v>
      </c>
      <c r="O519" s="37">
        <f>DAY('Data 1'!$A519)</f>
        <v>19</v>
      </c>
      <c r="P519" s="37" t="str">
        <f>TEXT('Data 1'!$A519,"mmm")</f>
        <v>Dec</v>
      </c>
      <c r="Q519" s="41">
        <f>YEAR('Data 1'!$A519)</f>
        <v>2022</v>
      </c>
    </row>
    <row r="520" spans="1:17" x14ac:dyDescent="0.3">
      <c r="A520" s="35">
        <v>44914</v>
      </c>
      <c r="B520" s="36" t="s">
        <v>50</v>
      </c>
      <c r="C520" s="37">
        <v>14</v>
      </c>
      <c r="D520" s="37" t="s">
        <v>21</v>
      </c>
      <c r="E520" s="37" t="s">
        <v>19</v>
      </c>
      <c r="F520" s="38">
        <v>0</v>
      </c>
      <c r="G520" s="39" t="str">
        <f>VLOOKUP('Data 1'!$B520,'Data 2'!$A$1:$F$46,MATCH('Data 1'!G$1,'Data 2'!$A$1:$F$1,0),0)</f>
        <v>Product11</v>
      </c>
      <c r="H520" s="39" t="str">
        <f>VLOOKUP('Data 1'!$B520,'Data 2'!$A$1:$F$46,MATCH('Data 1'!H$1,'Data 2'!$A$1:$F$1,0),0)</f>
        <v>Category02</v>
      </c>
      <c r="I520" s="39" t="str">
        <f>VLOOKUP('Data 1'!$B520,'Data 2'!$A$1:$F$46,MATCH('Data 1'!I$1,'Data 2'!$A$1:$F$1,0),0)</f>
        <v>Lt</v>
      </c>
      <c r="J520" s="39">
        <f>VLOOKUP('Data 1'!$B520,'Data 2'!$A$1:$F$46,MATCH('Data 1'!J$1,'Data 2'!$A$1:$F$1,0),0)</f>
        <v>44</v>
      </c>
      <c r="K520" s="39">
        <f>VLOOKUP('Data 1'!$B520,'Data 2'!$A$1:$F$46,MATCH('Data 1'!K$1,'Data 2'!$A$1:$F$1,0),0)</f>
        <v>48.4</v>
      </c>
      <c r="L520" s="40">
        <f>SUM('Data 1'!$J520*'Data 1'!$C520)</f>
        <v>616</v>
      </c>
      <c r="M520" s="40">
        <f>'Data 1'!$C520*'Data 1'!$K520</f>
        <v>677.6</v>
      </c>
      <c r="N520" s="40">
        <f>'Data 1'!$M520-'Data 1'!$L520</f>
        <v>61.600000000000023</v>
      </c>
      <c r="O520" s="37">
        <f>DAY('Data 1'!$A520)</f>
        <v>19</v>
      </c>
      <c r="P520" s="37" t="str">
        <f>TEXT('Data 1'!$A520,"mmm")</f>
        <v>Dec</v>
      </c>
      <c r="Q520" s="41">
        <f>YEAR('Data 1'!$A520)</f>
        <v>2022</v>
      </c>
    </row>
    <row r="521" spans="1:17" x14ac:dyDescent="0.3">
      <c r="A521" s="35">
        <v>44914</v>
      </c>
      <c r="B521" s="36" t="s">
        <v>56</v>
      </c>
      <c r="C521" s="37">
        <v>11</v>
      </c>
      <c r="D521" s="37" t="s">
        <v>17</v>
      </c>
      <c r="E521" s="37" t="s">
        <v>17</v>
      </c>
      <c r="F521" s="38">
        <v>0</v>
      </c>
      <c r="G521" s="42" t="str">
        <f>VLOOKUP('Data 1'!$B521,'Data 2'!$A$1:$F$46,MATCH('Data 1'!G$1,'Data 2'!$A$1:$F$1,0),0)</f>
        <v>Product09</v>
      </c>
      <c r="H521" s="42" t="str">
        <f>VLOOKUP('Data 1'!$B521,'Data 2'!$A$1:$F$46,MATCH('Data 1'!H$1,'Data 2'!$A$1:$F$1,0),0)</f>
        <v>Category03</v>
      </c>
      <c r="I521" s="42" t="str">
        <f>VLOOKUP('Data 1'!$B521,'Data 2'!$A$1:$F$46,MATCH('Data 1'!I$1,'Data 2'!$A$1:$F$1,0),0)</f>
        <v>No.</v>
      </c>
      <c r="J521" s="42">
        <f>VLOOKUP('Data 1'!$B521,'Data 2'!$A$1:$F$46,MATCH('Data 1'!J$1,'Data 2'!$A$1:$F$1,0),0)</f>
        <v>6</v>
      </c>
      <c r="K521" s="42">
        <f>VLOOKUP('Data 1'!$B521,'Data 2'!$A$1:$F$46,MATCH('Data 1'!K$1,'Data 2'!$A$1:$F$1,0),0)</f>
        <v>7.8599999999999994</v>
      </c>
      <c r="L521" s="40">
        <f>SUM('Data 1'!$J521*'Data 1'!$C521)</f>
        <v>66</v>
      </c>
      <c r="M521" s="40">
        <f>'Data 1'!$C521*'Data 1'!$K521</f>
        <v>86.46</v>
      </c>
      <c r="N521" s="40">
        <f>'Data 1'!$M521-'Data 1'!$L521</f>
        <v>20.459999999999994</v>
      </c>
      <c r="O521" s="37">
        <f>DAY('Data 1'!$A521)</f>
        <v>19</v>
      </c>
      <c r="P521" s="37" t="str">
        <f>TEXT('Data 1'!$A521,"mmm")</f>
        <v>Dec</v>
      </c>
      <c r="Q521" s="41">
        <f>YEAR('Data 1'!$A521)</f>
        <v>2022</v>
      </c>
    </row>
    <row r="522" spans="1:17" x14ac:dyDescent="0.3">
      <c r="A522" s="35">
        <v>44916</v>
      </c>
      <c r="B522" s="36" t="s">
        <v>34</v>
      </c>
      <c r="C522" s="37">
        <v>10</v>
      </c>
      <c r="D522" s="37" t="s">
        <v>21</v>
      </c>
      <c r="E522" s="37" t="s">
        <v>17</v>
      </c>
      <c r="F522" s="38">
        <v>0</v>
      </c>
      <c r="G522" s="39" t="str">
        <f>VLOOKUP('Data 1'!$B522,'Data 2'!$A$1:$F$46,MATCH('Data 1'!G$1,'Data 2'!$A$1:$F$1,0),0)</f>
        <v>Product06</v>
      </c>
      <c r="H522" s="39" t="str">
        <f>VLOOKUP('Data 1'!$B522,'Data 2'!$A$1:$F$46,MATCH('Data 1'!H$1,'Data 2'!$A$1:$F$1,0),0)</f>
        <v>Category01</v>
      </c>
      <c r="I522" s="39" t="str">
        <f>VLOOKUP('Data 1'!$B522,'Data 2'!$A$1:$F$46,MATCH('Data 1'!I$1,'Data 2'!$A$1:$F$1,0),0)</f>
        <v>Kg</v>
      </c>
      <c r="J522" s="39">
        <f>VLOOKUP('Data 1'!$B522,'Data 2'!$A$1:$F$46,MATCH('Data 1'!J$1,'Data 2'!$A$1:$F$1,0),0)</f>
        <v>75</v>
      </c>
      <c r="K522" s="39">
        <f>VLOOKUP('Data 1'!$B522,'Data 2'!$A$1:$F$46,MATCH('Data 1'!K$1,'Data 2'!$A$1:$F$1,0),0)</f>
        <v>85.5</v>
      </c>
      <c r="L522" s="40">
        <f>SUM('Data 1'!$J522*'Data 1'!$C522)</f>
        <v>750</v>
      </c>
      <c r="M522" s="40">
        <f>'Data 1'!$C522*'Data 1'!$K522</f>
        <v>855</v>
      </c>
      <c r="N522" s="40">
        <f>'Data 1'!$M522-'Data 1'!$L522</f>
        <v>105</v>
      </c>
      <c r="O522" s="37">
        <f>DAY('Data 1'!$A522)</f>
        <v>21</v>
      </c>
      <c r="P522" s="37" t="str">
        <f>TEXT('Data 1'!$A522,"mmm")</f>
        <v>Dec</v>
      </c>
      <c r="Q522" s="41">
        <f>YEAR('Data 1'!$A522)</f>
        <v>2022</v>
      </c>
    </row>
    <row r="523" spans="1:17" x14ac:dyDescent="0.3">
      <c r="A523" s="35">
        <v>44924</v>
      </c>
      <c r="B523" s="36" t="s">
        <v>44</v>
      </c>
      <c r="C523" s="37">
        <v>15</v>
      </c>
      <c r="D523" s="37" t="s">
        <v>21</v>
      </c>
      <c r="E523" s="37" t="s">
        <v>17</v>
      </c>
      <c r="F523" s="38">
        <v>0</v>
      </c>
      <c r="G523" s="42" t="str">
        <f>VLOOKUP('Data 1'!$B523,'Data 2'!$A$1:$F$46,MATCH('Data 1'!G$1,'Data 2'!$A$1:$F$1,0),0)</f>
        <v>Product08</v>
      </c>
      <c r="H523" s="42" t="str">
        <f>VLOOKUP('Data 1'!$B523,'Data 2'!$A$1:$F$46,MATCH('Data 1'!H$1,'Data 2'!$A$1:$F$1,0),0)</f>
        <v>Category01</v>
      </c>
      <c r="I523" s="42" t="str">
        <f>VLOOKUP('Data 1'!$B523,'Data 2'!$A$1:$F$46,MATCH('Data 1'!I$1,'Data 2'!$A$1:$F$1,0),0)</f>
        <v>Kg</v>
      </c>
      <c r="J523" s="42">
        <f>VLOOKUP('Data 1'!$B523,'Data 2'!$A$1:$F$46,MATCH('Data 1'!J$1,'Data 2'!$A$1:$F$1,0),0)</f>
        <v>83</v>
      </c>
      <c r="K523" s="42">
        <f>VLOOKUP('Data 1'!$B523,'Data 2'!$A$1:$F$46,MATCH('Data 1'!K$1,'Data 2'!$A$1:$F$1,0),0)</f>
        <v>94.62</v>
      </c>
      <c r="L523" s="40">
        <f>SUM('Data 1'!$J523*'Data 1'!$C523)</f>
        <v>1245</v>
      </c>
      <c r="M523" s="40">
        <f>'Data 1'!$C523*'Data 1'!$K523</f>
        <v>1419.3000000000002</v>
      </c>
      <c r="N523" s="40">
        <f>'Data 1'!$M523-'Data 1'!$L523</f>
        <v>174.30000000000018</v>
      </c>
      <c r="O523" s="37">
        <f>DAY('Data 1'!$A523)</f>
        <v>29</v>
      </c>
      <c r="P523" s="37" t="str">
        <f>TEXT('Data 1'!$A523,"mmm")</f>
        <v>Dec</v>
      </c>
      <c r="Q523" s="41">
        <f>YEAR('Data 1'!$A523)</f>
        <v>2022</v>
      </c>
    </row>
    <row r="524" spans="1:17" x14ac:dyDescent="0.3">
      <c r="A524" s="35">
        <v>44924</v>
      </c>
      <c r="B524" s="36" t="s">
        <v>29</v>
      </c>
      <c r="C524" s="37">
        <v>1</v>
      </c>
      <c r="D524" s="37" t="s">
        <v>16</v>
      </c>
      <c r="E524" s="37" t="s">
        <v>19</v>
      </c>
      <c r="F524" s="38">
        <v>0</v>
      </c>
      <c r="G524" s="39" t="str">
        <f>VLOOKUP('Data 1'!$B524,'Data 2'!$A$1:$F$46,MATCH('Data 1'!G$1,'Data 2'!$A$1:$F$1,0),0)</f>
        <v>Product42</v>
      </c>
      <c r="H524" s="39" t="str">
        <f>VLOOKUP('Data 1'!$B524,'Data 2'!$A$1:$F$46,MATCH('Data 1'!H$1,'Data 2'!$A$1:$F$1,0),0)</f>
        <v>Category05</v>
      </c>
      <c r="I524" s="39" t="str">
        <f>VLOOKUP('Data 1'!$B524,'Data 2'!$A$1:$F$46,MATCH('Data 1'!I$1,'Data 2'!$A$1:$F$1,0),0)</f>
        <v>Ft</v>
      </c>
      <c r="J524" s="39">
        <f>VLOOKUP('Data 1'!$B524,'Data 2'!$A$1:$F$46,MATCH('Data 1'!J$1,'Data 2'!$A$1:$F$1,0),0)</f>
        <v>120</v>
      </c>
      <c r="K524" s="39">
        <f>VLOOKUP('Data 1'!$B524,'Data 2'!$A$1:$F$46,MATCH('Data 1'!K$1,'Data 2'!$A$1:$F$1,0),0)</f>
        <v>162</v>
      </c>
      <c r="L524" s="40">
        <f>SUM('Data 1'!$J524*'Data 1'!$C524)</f>
        <v>120</v>
      </c>
      <c r="M524" s="40">
        <f>'Data 1'!$C524*'Data 1'!$K524</f>
        <v>162</v>
      </c>
      <c r="N524" s="40">
        <f>'Data 1'!$M524-'Data 1'!$L524</f>
        <v>42</v>
      </c>
      <c r="O524" s="37">
        <f>DAY('Data 1'!$A524)</f>
        <v>29</v>
      </c>
      <c r="P524" s="37" t="str">
        <f>TEXT('Data 1'!$A524,"mmm")</f>
        <v>Dec</v>
      </c>
      <c r="Q524" s="41">
        <f>YEAR('Data 1'!$A524)</f>
        <v>2022</v>
      </c>
    </row>
    <row r="525" spans="1:17" x14ac:dyDescent="0.3">
      <c r="A525" s="35">
        <v>44925</v>
      </c>
      <c r="B525" s="36" t="s">
        <v>60</v>
      </c>
      <c r="C525" s="37">
        <v>14</v>
      </c>
      <c r="D525" s="37" t="s">
        <v>21</v>
      </c>
      <c r="E525" s="37" t="s">
        <v>17</v>
      </c>
      <c r="F525" s="38">
        <v>0</v>
      </c>
      <c r="G525" s="42" t="str">
        <f>VLOOKUP('Data 1'!$B525,'Data 2'!$A$1:$F$46,MATCH('Data 1'!G$1,'Data 2'!$A$1:$F$1,0),0)</f>
        <v>Product41</v>
      </c>
      <c r="H525" s="42" t="str">
        <f>VLOOKUP('Data 1'!$B525,'Data 2'!$A$1:$F$46,MATCH('Data 1'!H$1,'Data 2'!$A$1:$F$1,0),0)</f>
        <v>Category05</v>
      </c>
      <c r="I525" s="42" t="str">
        <f>VLOOKUP('Data 1'!$B525,'Data 2'!$A$1:$F$46,MATCH('Data 1'!I$1,'Data 2'!$A$1:$F$1,0),0)</f>
        <v>Ft</v>
      </c>
      <c r="J525" s="42">
        <f>VLOOKUP('Data 1'!$B525,'Data 2'!$A$1:$F$46,MATCH('Data 1'!J$1,'Data 2'!$A$1:$F$1,0),0)</f>
        <v>138</v>
      </c>
      <c r="K525" s="42">
        <f>VLOOKUP('Data 1'!$B525,'Data 2'!$A$1:$F$46,MATCH('Data 1'!K$1,'Data 2'!$A$1:$F$1,0),0)</f>
        <v>173.88</v>
      </c>
      <c r="L525" s="40">
        <f>SUM('Data 1'!$J525*'Data 1'!$C525)</f>
        <v>1932</v>
      </c>
      <c r="M525" s="40">
        <f>'Data 1'!$C525*'Data 1'!$K525</f>
        <v>2434.3199999999997</v>
      </c>
      <c r="N525" s="40">
        <f>'Data 1'!$M525-'Data 1'!$L525</f>
        <v>502.31999999999971</v>
      </c>
      <c r="O525" s="37">
        <f>DAY('Data 1'!$A525)</f>
        <v>30</v>
      </c>
      <c r="P525" s="37" t="str">
        <f>TEXT('Data 1'!$A525,"mmm")</f>
        <v>Dec</v>
      </c>
      <c r="Q525" s="41">
        <f>YEAR('Data 1'!$A525)</f>
        <v>2022</v>
      </c>
    </row>
    <row r="526" spans="1:17" x14ac:dyDescent="0.3">
      <c r="A526" s="35">
        <v>44926</v>
      </c>
      <c r="B526" s="36" t="s">
        <v>57</v>
      </c>
      <c r="C526" s="37">
        <v>12</v>
      </c>
      <c r="D526" s="37" t="s">
        <v>17</v>
      </c>
      <c r="E526" s="37" t="s">
        <v>17</v>
      </c>
      <c r="F526" s="38">
        <v>0</v>
      </c>
      <c r="G526" s="39" t="str">
        <f>VLOOKUP('Data 1'!$B526,'Data 2'!$A$1:$F$46,MATCH('Data 1'!G$1,'Data 2'!$A$1:$F$1,0),0)</f>
        <v>Product33</v>
      </c>
      <c r="H526" s="39" t="str">
        <f>VLOOKUP('Data 1'!$B526,'Data 2'!$A$1:$F$46,MATCH('Data 1'!H$1,'Data 2'!$A$1:$F$1,0),0)</f>
        <v>Category04</v>
      </c>
      <c r="I526" s="39" t="str">
        <f>VLOOKUP('Data 1'!$B526,'Data 2'!$A$1:$F$46,MATCH('Data 1'!I$1,'Data 2'!$A$1:$F$1,0),0)</f>
        <v>Kg</v>
      </c>
      <c r="J526" s="39">
        <f>VLOOKUP('Data 1'!$B526,'Data 2'!$A$1:$F$46,MATCH('Data 1'!J$1,'Data 2'!$A$1:$F$1,0),0)</f>
        <v>95</v>
      </c>
      <c r="K526" s="39">
        <f>VLOOKUP('Data 1'!$B526,'Data 2'!$A$1:$F$46,MATCH('Data 1'!K$1,'Data 2'!$A$1:$F$1,0),0)</f>
        <v>119.7</v>
      </c>
      <c r="L526" s="40">
        <f>SUM('Data 1'!$J526*'Data 1'!$C526)</f>
        <v>1140</v>
      </c>
      <c r="M526" s="40">
        <f>'Data 1'!$C526*'Data 1'!$K526</f>
        <v>1436.4</v>
      </c>
      <c r="N526" s="40">
        <f>'Data 1'!$M526-'Data 1'!$L526</f>
        <v>296.40000000000009</v>
      </c>
      <c r="O526" s="37">
        <f>DAY('Data 1'!$A526)</f>
        <v>31</v>
      </c>
      <c r="P526" s="37" t="str">
        <f>TEXT('Data 1'!$A526,"mmm")</f>
        <v>Dec</v>
      </c>
      <c r="Q526" s="41">
        <f>YEAR('Data 1'!$A526)</f>
        <v>2022</v>
      </c>
    </row>
    <row r="527" spans="1:17" x14ac:dyDescent="0.3">
      <c r="A527" s="35">
        <v>44926</v>
      </c>
      <c r="B527" s="36" t="s">
        <v>50</v>
      </c>
      <c r="C527" s="37">
        <v>6</v>
      </c>
      <c r="D527" s="37" t="s">
        <v>17</v>
      </c>
      <c r="E527" s="37" t="s">
        <v>17</v>
      </c>
      <c r="F527" s="38">
        <v>0</v>
      </c>
      <c r="G527" s="42" t="str">
        <f>VLOOKUP('Data 1'!$B527,'Data 2'!$A$1:$F$46,MATCH('Data 1'!G$1,'Data 2'!$A$1:$F$1,0),0)</f>
        <v>Product11</v>
      </c>
      <c r="H527" s="42" t="str">
        <f>VLOOKUP('Data 1'!$B527,'Data 2'!$A$1:$F$46,MATCH('Data 1'!H$1,'Data 2'!$A$1:$F$1,0),0)</f>
        <v>Category02</v>
      </c>
      <c r="I527" s="42" t="str">
        <f>VLOOKUP('Data 1'!$B527,'Data 2'!$A$1:$F$46,MATCH('Data 1'!I$1,'Data 2'!$A$1:$F$1,0),0)</f>
        <v>Lt</v>
      </c>
      <c r="J527" s="42">
        <f>VLOOKUP('Data 1'!$B527,'Data 2'!$A$1:$F$46,MATCH('Data 1'!J$1,'Data 2'!$A$1:$F$1,0),0)</f>
        <v>44</v>
      </c>
      <c r="K527" s="42">
        <f>VLOOKUP('Data 1'!$B527,'Data 2'!$A$1:$F$46,MATCH('Data 1'!K$1,'Data 2'!$A$1:$F$1,0),0)</f>
        <v>48.4</v>
      </c>
      <c r="L527" s="40">
        <f>SUM('Data 1'!$J527*'Data 1'!$C527)</f>
        <v>264</v>
      </c>
      <c r="M527" s="40">
        <f>'Data 1'!$C527*'Data 1'!$K527</f>
        <v>290.39999999999998</v>
      </c>
      <c r="N527" s="40">
        <f>'Data 1'!$M527-'Data 1'!$L527</f>
        <v>26.399999999999977</v>
      </c>
      <c r="O527" s="37">
        <f>DAY('Data 1'!$A527)</f>
        <v>31</v>
      </c>
      <c r="P527" s="37" t="str">
        <f>TEXT('Data 1'!$A527,"mmm")</f>
        <v>Dec</v>
      </c>
      <c r="Q527" s="41">
        <f>YEAR('Data 1'!$A527)</f>
        <v>2022</v>
      </c>
    </row>
    <row r="528" spans="1:17" x14ac:dyDescent="0.3">
      <c r="A528" s="35">
        <v>44926</v>
      </c>
      <c r="B528" s="36" t="s">
        <v>50</v>
      </c>
      <c r="C528" s="37">
        <v>3</v>
      </c>
      <c r="D528" s="37" t="s">
        <v>16</v>
      </c>
      <c r="E528" s="37" t="s">
        <v>19</v>
      </c>
      <c r="F528" s="38">
        <v>0</v>
      </c>
      <c r="G528" s="39" t="str">
        <f>VLOOKUP('Data 1'!$B528,'Data 2'!$A$1:$F$46,MATCH('Data 1'!G$1,'Data 2'!$A$1:$F$1,0),0)</f>
        <v>Product11</v>
      </c>
      <c r="H528" s="39" t="str">
        <f>VLOOKUP('Data 1'!$B528,'Data 2'!$A$1:$F$46,MATCH('Data 1'!H$1,'Data 2'!$A$1:$F$1,0),0)</f>
        <v>Category02</v>
      </c>
      <c r="I528" s="39" t="str">
        <f>VLOOKUP('Data 1'!$B528,'Data 2'!$A$1:$F$46,MATCH('Data 1'!I$1,'Data 2'!$A$1:$F$1,0),0)</f>
        <v>Lt</v>
      </c>
      <c r="J528" s="39">
        <f>VLOOKUP('Data 1'!$B528,'Data 2'!$A$1:$F$46,MATCH('Data 1'!J$1,'Data 2'!$A$1:$F$1,0),0)</f>
        <v>44</v>
      </c>
      <c r="K528" s="39">
        <f>VLOOKUP('Data 1'!$B528,'Data 2'!$A$1:$F$46,MATCH('Data 1'!K$1,'Data 2'!$A$1:$F$1,0),0)</f>
        <v>48.4</v>
      </c>
      <c r="L528" s="40">
        <f>SUM('Data 1'!$J528*'Data 1'!$C528)</f>
        <v>132</v>
      </c>
      <c r="M528" s="40">
        <f>'Data 1'!$C528*'Data 1'!$K528</f>
        <v>145.19999999999999</v>
      </c>
      <c r="N528" s="40">
        <f>'Data 1'!$M528-'Data 1'!$L528</f>
        <v>13.199999999999989</v>
      </c>
      <c r="O528" s="37">
        <f>DAY('Data 1'!$A528)</f>
        <v>31</v>
      </c>
      <c r="P528" s="37" t="str">
        <f>TEXT('Data 1'!$A528,"mmm")</f>
        <v>Dec</v>
      </c>
      <c r="Q528" s="41">
        <f>YEAR('Data 1'!$A528)</f>
        <v>2022</v>
      </c>
    </row>
  </sheetData>
  <dataValidations count="3">
    <dataValidation type="list" allowBlank="1" showInputMessage="1" showErrorMessage="1" sqref="E2:E528" xr:uid="{FEF8A153-A428-4E3D-B8EC-768B24382CD7}">
      <formula1>"Online,Cash"</formula1>
    </dataValidation>
    <dataValidation type="whole" allowBlank="1" showInputMessage="1" showErrorMessage="1" sqref="C2:C528" xr:uid="{82A989D1-A5DE-4ED9-8A1E-63DD232CA1C8}">
      <formula1>1</formula1>
      <formula2>1000</formula2>
    </dataValidation>
    <dataValidation type="list" allowBlank="1" showInputMessage="1" sqref="D2:D528" xr:uid="{735BB37A-4D57-4DEC-9BF1-6622F876AF7D}">
      <formula1>"Online,Wholesaler,Direct Sales"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A3330-8E1E-409C-BF19-D7B68973297D}">
  <sheetPr>
    <tabColor rgb="FF00B050"/>
  </sheetPr>
  <dimension ref="A1:M47"/>
  <sheetViews>
    <sheetView workbookViewId="0">
      <selection activeCell="I5" sqref="I5"/>
    </sheetView>
  </sheetViews>
  <sheetFormatPr defaultRowHeight="14.4" x14ac:dyDescent="0.3"/>
  <cols>
    <col min="1" max="1" width="13.33203125" customWidth="1"/>
    <col min="2" max="2" width="11.109375" customWidth="1"/>
    <col min="3" max="3" width="11.88671875" customWidth="1"/>
    <col min="4" max="4" width="7.33203125" customWidth="1"/>
    <col min="5" max="5" width="14.6640625" customWidth="1"/>
    <col min="6" max="6" width="15.109375" customWidth="1"/>
    <col min="7" max="7" width="7.21875" customWidth="1"/>
    <col min="10" max="10" width="12.5546875" bestFit="1" customWidth="1"/>
    <col min="11" max="11" width="19.88671875" bestFit="1" customWidth="1"/>
  </cols>
  <sheetData>
    <row r="1" spans="1:13" ht="15" thickBot="1" x14ac:dyDescent="0.35">
      <c r="A1" s="13" t="s">
        <v>0</v>
      </c>
      <c r="B1" s="14" t="s">
        <v>5</v>
      </c>
      <c r="C1" s="14" t="s">
        <v>6</v>
      </c>
      <c r="D1" s="14" t="s">
        <v>7</v>
      </c>
      <c r="E1" s="14" t="s">
        <v>8</v>
      </c>
      <c r="F1" s="15" t="s">
        <v>9</v>
      </c>
    </row>
    <row r="2" spans="1:13" x14ac:dyDescent="0.3">
      <c r="A2" s="16" t="s">
        <v>35</v>
      </c>
      <c r="B2" s="17" t="s">
        <v>63</v>
      </c>
      <c r="C2" s="17" t="s">
        <v>64</v>
      </c>
      <c r="D2" s="17" t="s">
        <v>65</v>
      </c>
      <c r="E2" s="17">
        <v>98</v>
      </c>
      <c r="F2" s="18">
        <v>103.88</v>
      </c>
    </row>
    <row r="3" spans="1:13" x14ac:dyDescent="0.3">
      <c r="A3" s="19" t="s">
        <v>48</v>
      </c>
      <c r="B3" s="20" t="s">
        <v>66</v>
      </c>
      <c r="C3" s="20" t="s">
        <v>64</v>
      </c>
      <c r="D3" s="20" t="s">
        <v>65</v>
      </c>
      <c r="E3" s="20">
        <v>105</v>
      </c>
      <c r="F3" s="21">
        <v>142.80000000000001</v>
      </c>
      <c r="M3" s="1"/>
    </row>
    <row r="4" spans="1:13" x14ac:dyDescent="0.3">
      <c r="A4" s="22" t="s">
        <v>25</v>
      </c>
      <c r="B4" s="23" t="s">
        <v>67</v>
      </c>
      <c r="C4" s="23" t="s">
        <v>64</v>
      </c>
      <c r="D4" s="23" t="s">
        <v>65</v>
      </c>
      <c r="E4" s="23">
        <v>71</v>
      </c>
      <c r="F4" s="24">
        <v>80.94</v>
      </c>
      <c r="M4" s="1"/>
    </row>
    <row r="5" spans="1:13" x14ac:dyDescent="0.3">
      <c r="A5" s="19" t="s">
        <v>22</v>
      </c>
      <c r="B5" s="20" t="s">
        <v>68</v>
      </c>
      <c r="C5" s="20" t="s">
        <v>64</v>
      </c>
      <c r="D5" s="20" t="s">
        <v>69</v>
      </c>
      <c r="E5" s="20">
        <v>44</v>
      </c>
      <c r="F5" s="21">
        <v>48.84</v>
      </c>
      <c r="M5" s="1"/>
    </row>
    <row r="6" spans="1:13" x14ac:dyDescent="0.3">
      <c r="A6" s="22" t="s">
        <v>43</v>
      </c>
      <c r="B6" s="23" t="s">
        <v>70</v>
      </c>
      <c r="C6" s="23" t="s">
        <v>64</v>
      </c>
      <c r="D6" s="23" t="s">
        <v>71</v>
      </c>
      <c r="E6" s="23">
        <v>133</v>
      </c>
      <c r="F6" s="24">
        <v>155.61000000000001</v>
      </c>
      <c r="M6" s="1"/>
    </row>
    <row r="7" spans="1:13" x14ac:dyDescent="0.3">
      <c r="A7" s="19" t="s">
        <v>34</v>
      </c>
      <c r="B7" s="20" t="s">
        <v>72</v>
      </c>
      <c r="C7" s="20" t="s">
        <v>64</v>
      </c>
      <c r="D7" s="20" t="s">
        <v>65</v>
      </c>
      <c r="E7" s="20">
        <v>75</v>
      </c>
      <c r="F7" s="21">
        <v>85.5</v>
      </c>
      <c r="M7" s="1"/>
    </row>
    <row r="8" spans="1:13" x14ac:dyDescent="0.3">
      <c r="A8" s="22" t="s">
        <v>55</v>
      </c>
      <c r="B8" s="23" t="s">
        <v>73</v>
      </c>
      <c r="C8" s="23" t="s">
        <v>64</v>
      </c>
      <c r="D8" s="23" t="s">
        <v>69</v>
      </c>
      <c r="E8" s="23">
        <v>43</v>
      </c>
      <c r="F8" s="24">
        <v>47.730000000000004</v>
      </c>
      <c r="M8" s="1"/>
    </row>
    <row r="9" spans="1:13" x14ac:dyDescent="0.3">
      <c r="A9" s="19" t="s">
        <v>44</v>
      </c>
      <c r="B9" s="20" t="s">
        <v>74</v>
      </c>
      <c r="C9" s="20" t="s">
        <v>64</v>
      </c>
      <c r="D9" s="20" t="s">
        <v>65</v>
      </c>
      <c r="E9" s="20">
        <v>83</v>
      </c>
      <c r="F9" s="21">
        <v>94.62</v>
      </c>
      <c r="M9" s="1"/>
    </row>
    <row r="10" spans="1:13" x14ac:dyDescent="0.3">
      <c r="A10" s="22" t="s">
        <v>56</v>
      </c>
      <c r="B10" s="23" t="s">
        <v>75</v>
      </c>
      <c r="C10" s="23" t="s">
        <v>76</v>
      </c>
      <c r="D10" s="23" t="s">
        <v>77</v>
      </c>
      <c r="E10" s="23">
        <v>6</v>
      </c>
      <c r="F10" s="24">
        <v>7.8599999999999994</v>
      </c>
      <c r="M10" s="1"/>
    </row>
    <row r="11" spans="1:13" x14ac:dyDescent="0.3">
      <c r="A11" s="19" t="s">
        <v>39</v>
      </c>
      <c r="B11" s="20" t="s">
        <v>78</v>
      </c>
      <c r="C11" s="20" t="s">
        <v>79</v>
      </c>
      <c r="D11" s="20" t="s">
        <v>71</v>
      </c>
      <c r="E11" s="20">
        <v>148</v>
      </c>
      <c r="F11" s="21">
        <v>164.28</v>
      </c>
      <c r="M11" s="1"/>
    </row>
    <row r="12" spans="1:13" x14ac:dyDescent="0.3">
      <c r="A12" s="22" t="s">
        <v>50</v>
      </c>
      <c r="B12" s="23" t="s">
        <v>80</v>
      </c>
      <c r="C12" s="23" t="s">
        <v>79</v>
      </c>
      <c r="D12" s="23" t="s">
        <v>69</v>
      </c>
      <c r="E12" s="23">
        <v>44</v>
      </c>
      <c r="F12" s="24">
        <v>48.4</v>
      </c>
      <c r="M12" s="1"/>
    </row>
    <row r="13" spans="1:13" x14ac:dyDescent="0.3">
      <c r="A13" s="19" t="s">
        <v>54</v>
      </c>
      <c r="B13" s="20" t="s">
        <v>81</v>
      </c>
      <c r="C13" s="20" t="s">
        <v>79</v>
      </c>
      <c r="D13" s="20" t="s">
        <v>65</v>
      </c>
      <c r="E13" s="20">
        <v>73</v>
      </c>
      <c r="F13" s="21">
        <v>94.17</v>
      </c>
      <c r="M13" s="1"/>
    </row>
    <row r="14" spans="1:13" x14ac:dyDescent="0.3">
      <c r="A14" s="22" t="s">
        <v>20</v>
      </c>
      <c r="B14" s="23" t="s">
        <v>82</v>
      </c>
      <c r="C14" s="23" t="s">
        <v>79</v>
      </c>
      <c r="D14" s="23" t="s">
        <v>65</v>
      </c>
      <c r="E14" s="23">
        <v>112</v>
      </c>
      <c r="F14" s="24">
        <v>122.08</v>
      </c>
      <c r="M14" s="1"/>
    </row>
    <row r="15" spans="1:13" x14ac:dyDescent="0.3">
      <c r="A15" s="19" t="s">
        <v>28</v>
      </c>
      <c r="B15" s="20" t="s">
        <v>83</v>
      </c>
      <c r="C15" s="20" t="s">
        <v>79</v>
      </c>
      <c r="D15" s="20" t="s">
        <v>65</v>
      </c>
      <c r="E15" s="20">
        <v>112</v>
      </c>
      <c r="F15" s="21">
        <v>146.72</v>
      </c>
      <c r="M15" s="1"/>
    </row>
    <row r="16" spans="1:13" x14ac:dyDescent="0.3">
      <c r="A16" s="22" t="s">
        <v>46</v>
      </c>
      <c r="B16" s="23" t="s">
        <v>84</v>
      </c>
      <c r="C16" s="23" t="s">
        <v>79</v>
      </c>
      <c r="D16" s="23" t="s">
        <v>77</v>
      </c>
      <c r="E16" s="23">
        <v>12</v>
      </c>
      <c r="F16" s="24">
        <v>15.719999999999999</v>
      </c>
      <c r="M16" s="1"/>
    </row>
    <row r="17" spans="1:13" x14ac:dyDescent="0.3">
      <c r="A17" s="19" t="s">
        <v>40</v>
      </c>
      <c r="B17" s="20" t="s">
        <v>85</v>
      </c>
      <c r="C17" s="20" t="s">
        <v>79</v>
      </c>
      <c r="D17" s="20" t="s">
        <v>77</v>
      </c>
      <c r="E17" s="20">
        <v>13</v>
      </c>
      <c r="F17" s="21">
        <v>16.64</v>
      </c>
      <c r="M17" s="1"/>
    </row>
    <row r="18" spans="1:13" x14ac:dyDescent="0.3">
      <c r="A18" s="22" t="s">
        <v>58</v>
      </c>
      <c r="B18" s="23" t="s">
        <v>86</v>
      </c>
      <c r="C18" s="23" t="s">
        <v>79</v>
      </c>
      <c r="D18" s="23" t="s">
        <v>71</v>
      </c>
      <c r="E18" s="23">
        <v>134</v>
      </c>
      <c r="F18" s="24">
        <v>156.78</v>
      </c>
      <c r="M18" s="1"/>
    </row>
    <row r="19" spans="1:13" x14ac:dyDescent="0.3">
      <c r="A19" s="19" t="s">
        <v>49</v>
      </c>
      <c r="B19" s="20" t="s">
        <v>87</v>
      </c>
      <c r="C19" s="20" t="s">
        <v>79</v>
      </c>
      <c r="D19" s="20" t="s">
        <v>77</v>
      </c>
      <c r="E19" s="20">
        <v>37</v>
      </c>
      <c r="F19" s="21">
        <v>49.21</v>
      </c>
      <c r="M19" s="1"/>
    </row>
    <row r="20" spans="1:13" x14ac:dyDescent="0.3">
      <c r="A20" s="22" t="s">
        <v>59</v>
      </c>
      <c r="B20" s="23" t="s">
        <v>88</v>
      </c>
      <c r="C20" s="23" t="s">
        <v>79</v>
      </c>
      <c r="D20" s="23" t="s">
        <v>71</v>
      </c>
      <c r="E20" s="23">
        <v>150</v>
      </c>
      <c r="F20" s="24">
        <v>210</v>
      </c>
      <c r="M20" s="1"/>
    </row>
    <row r="21" spans="1:13" x14ac:dyDescent="0.3">
      <c r="A21" s="19" t="s">
        <v>33</v>
      </c>
      <c r="B21" s="20" t="s">
        <v>89</v>
      </c>
      <c r="C21" s="20" t="s">
        <v>76</v>
      </c>
      <c r="D21" s="20" t="s">
        <v>69</v>
      </c>
      <c r="E21" s="20">
        <v>61</v>
      </c>
      <c r="F21" s="21">
        <v>76.25</v>
      </c>
      <c r="M21" s="1"/>
    </row>
    <row r="22" spans="1:13" x14ac:dyDescent="0.3">
      <c r="A22" s="22" t="s">
        <v>51</v>
      </c>
      <c r="B22" s="23" t="s">
        <v>90</v>
      </c>
      <c r="C22" s="23" t="s">
        <v>76</v>
      </c>
      <c r="D22" s="23" t="s">
        <v>71</v>
      </c>
      <c r="E22" s="23">
        <v>126</v>
      </c>
      <c r="F22" s="24">
        <v>162.54</v>
      </c>
      <c r="M22" s="1"/>
    </row>
    <row r="23" spans="1:13" x14ac:dyDescent="0.3">
      <c r="A23" s="19" t="s">
        <v>41</v>
      </c>
      <c r="B23" s="20" t="s">
        <v>91</v>
      </c>
      <c r="C23" s="20" t="s">
        <v>76</v>
      </c>
      <c r="D23" s="20" t="s">
        <v>71</v>
      </c>
      <c r="E23" s="20">
        <v>121</v>
      </c>
      <c r="F23" s="21">
        <v>141.57</v>
      </c>
      <c r="M23" s="1"/>
    </row>
    <row r="24" spans="1:13" x14ac:dyDescent="0.3">
      <c r="A24" s="22" t="s">
        <v>31</v>
      </c>
      <c r="B24" s="23" t="s">
        <v>92</v>
      </c>
      <c r="C24" s="23" t="s">
        <v>76</v>
      </c>
      <c r="D24" s="23" t="s">
        <v>71</v>
      </c>
      <c r="E24" s="23">
        <v>141</v>
      </c>
      <c r="F24" s="24">
        <v>149.46</v>
      </c>
      <c r="M24" s="1"/>
    </row>
    <row r="25" spans="1:13" x14ac:dyDescent="0.3">
      <c r="A25" s="19" t="s">
        <v>15</v>
      </c>
      <c r="B25" s="20" t="s">
        <v>93</v>
      </c>
      <c r="C25" s="20" t="s">
        <v>76</v>
      </c>
      <c r="D25" s="20" t="s">
        <v>71</v>
      </c>
      <c r="E25" s="20">
        <v>144</v>
      </c>
      <c r="F25" s="21">
        <v>156.96</v>
      </c>
      <c r="M25" s="1"/>
    </row>
    <row r="26" spans="1:13" x14ac:dyDescent="0.3">
      <c r="A26" s="22" t="s">
        <v>26</v>
      </c>
      <c r="B26" s="23" t="s">
        <v>94</v>
      </c>
      <c r="C26" s="23" t="s">
        <v>76</v>
      </c>
      <c r="D26" s="23" t="s">
        <v>77</v>
      </c>
      <c r="E26" s="23">
        <v>7</v>
      </c>
      <c r="F26" s="24">
        <v>8.33</v>
      </c>
      <c r="M26" s="1"/>
    </row>
    <row r="27" spans="1:13" x14ac:dyDescent="0.3">
      <c r="A27" s="19" t="s">
        <v>61</v>
      </c>
      <c r="B27" s="20" t="s">
        <v>95</v>
      </c>
      <c r="C27" s="20" t="s">
        <v>96</v>
      </c>
      <c r="D27" s="20" t="s">
        <v>77</v>
      </c>
      <c r="E27" s="20">
        <v>18</v>
      </c>
      <c r="F27" s="21">
        <v>24.66</v>
      </c>
      <c r="M27" s="1"/>
    </row>
    <row r="28" spans="1:13" x14ac:dyDescent="0.3">
      <c r="A28" s="22" t="s">
        <v>45</v>
      </c>
      <c r="B28" s="23" t="s">
        <v>97</v>
      </c>
      <c r="C28" s="23" t="s">
        <v>96</v>
      </c>
      <c r="D28" s="23" t="s">
        <v>69</v>
      </c>
      <c r="E28" s="23">
        <v>48</v>
      </c>
      <c r="F28" s="24">
        <v>57.120000000000005</v>
      </c>
      <c r="M28" s="1"/>
    </row>
    <row r="29" spans="1:13" x14ac:dyDescent="0.3">
      <c r="A29" s="19" t="s">
        <v>52</v>
      </c>
      <c r="B29" s="20" t="s">
        <v>98</v>
      </c>
      <c r="C29" s="20" t="s">
        <v>96</v>
      </c>
      <c r="D29" s="20" t="s">
        <v>77</v>
      </c>
      <c r="E29" s="20">
        <v>37</v>
      </c>
      <c r="F29" s="21">
        <v>41.81</v>
      </c>
      <c r="M29" s="1"/>
    </row>
    <row r="30" spans="1:13" x14ac:dyDescent="0.3">
      <c r="A30" s="22" t="s">
        <v>38</v>
      </c>
      <c r="B30" s="23" t="s">
        <v>99</v>
      </c>
      <c r="C30" s="23" t="s">
        <v>96</v>
      </c>
      <c r="D30" s="23" t="s">
        <v>69</v>
      </c>
      <c r="E30" s="23">
        <v>47</v>
      </c>
      <c r="F30" s="24">
        <v>53.11</v>
      </c>
      <c r="M30" s="1"/>
    </row>
    <row r="31" spans="1:13" x14ac:dyDescent="0.3">
      <c r="A31" s="19" t="s">
        <v>47</v>
      </c>
      <c r="B31" s="20" t="s">
        <v>100</v>
      </c>
      <c r="C31" s="20" t="s">
        <v>96</v>
      </c>
      <c r="D31" s="20" t="s">
        <v>71</v>
      </c>
      <c r="E31" s="20">
        <v>148</v>
      </c>
      <c r="F31" s="21">
        <v>201.28</v>
      </c>
      <c r="M31" s="1"/>
    </row>
    <row r="32" spans="1:13" x14ac:dyDescent="0.3">
      <c r="A32" s="22" t="s">
        <v>24</v>
      </c>
      <c r="B32" s="23" t="s">
        <v>101</v>
      </c>
      <c r="C32" s="23" t="s">
        <v>96</v>
      </c>
      <c r="D32" s="23" t="s">
        <v>65</v>
      </c>
      <c r="E32" s="23">
        <v>93</v>
      </c>
      <c r="F32" s="24">
        <v>104.16</v>
      </c>
      <c r="M32" s="1"/>
    </row>
    <row r="33" spans="1:13" x14ac:dyDescent="0.3">
      <c r="A33" s="19" t="s">
        <v>37</v>
      </c>
      <c r="B33" s="20" t="s">
        <v>102</v>
      </c>
      <c r="C33" s="20" t="s">
        <v>96</v>
      </c>
      <c r="D33" s="20" t="s">
        <v>65</v>
      </c>
      <c r="E33" s="20">
        <v>89</v>
      </c>
      <c r="F33" s="21">
        <v>117.48</v>
      </c>
      <c r="M33" s="1"/>
    </row>
    <row r="34" spans="1:13" x14ac:dyDescent="0.3">
      <c r="A34" s="22" t="s">
        <v>57</v>
      </c>
      <c r="B34" s="23" t="s">
        <v>103</v>
      </c>
      <c r="C34" s="23" t="s">
        <v>96</v>
      </c>
      <c r="D34" s="23" t="s">
        <v>65</v>
      </c>
      <c r="E34" s="23">
        <v>95</v>
      </c>
      <c r="F34" s="24">
        <v>119.7</v>
      </c>
      <c r="M34" s="1"/>
    </row>
    <row r="35" spans="1:13" x14ac:dyDescent="0.3">
      <c r="A35" s="19" t="s">
        <v>32</v>
      </c>
      <c r="B35" s="20" t="s">
        <v>104</v>
      </c>
      <c r="C35" s="20" t="s">
        <v>96</v>
      </c>
      <c r="D35" s="20" t="s">
        <v>69</v>
      </c>
      <c r="E35" s="20">
        <v>55</v>
      </c>
      <c r="F35" s="21">
        <v>58.3</v>
      </c>
      <c r="M35" s="1"/>
    </row>
    <row r="36" spans="1:13" x14ac:dyDescent="0.3">
      <c r="A36" s="22" t="s">
        <v>23</v>
      </c>
      <c r="B36" s="23" t="s">
        <v>105</v>
      </c>
      <c r="C36" s="23" t="s">
        <v>96</v>
      </c>
      <c r="D36" s="23" t="s">
        <v>77</v>
      </c>
      <c r="E36" s="23">
        <v>5</v>
      </c>
      <c r="F36" s="24">
        <v>6.7</v>
      </c>
      <c r="M36" s="1"/>
    </row>
    <row r="37" spans="1:13" x14ac:dyDescent="0.3">
      <c r="A37" s="19" t="s">
        <v>62</v>
      </c>
      <c r="B37" s="20" t="s">
        <v>106</v>
      </c>
      <c r="C37" s="20" t="s">
        <v>96</v>
      </c>
      <c r="D37" s="20" t="s">
        <v>65</v>
      </c>
      <c r="E37" s="20">
        <v>90</v>
      </c>
      <c r="F37" s="21">
        <v>96.3</v>
      </c>
      <c r="M37" s="1"/>
    </row>
    <row r="38" spans="1:13" x14ac:dyDescent="0.3">
      <c r="A38" s="22" t="s">
        <v>27</v>
      </c>
      <c r="B38" s="23" t="s">
        <v>107</v>
      </c>
      <c r="C38" s="23" t="s">
        <v>108</v>
      </c>
      <c r="D38" s="23" t="s">
        <v>65</v>
      </c>
      <c r="E38" s="23">
        <v>67</v>
      </c>
      <c r="F38" s="24">
        <v>85.76</v>
      </c>
      <c r="M38" s="1"/>
    </row>
    <row r="39" spans="1:13" x14ac:dyDescent="0.3">
      <c r="A39" s="19" t="s">
        <v>18</v>
      </c>
      <c r="B39" s="20" t="s">
        <v>109</v>
      </c>
      <c r="C39" s="20" t="s">
        <v>108</v>
      </c>
      <c r="D39" s="20" t="s">
        <v>65</v>
      </c>
      <c r="E39" s="20">
        <v>72</v>
      </c>
      <c r="F39" s="21">
        <v>79.92</v>
      </c>
      <c r="M39" s="1"/>
    </row>
    <row r="40" spans="1:13" x14ac:dyDescent="0.3">
      <c r="A40" s="22" t="s">
        <v>53</v>
      </c>
      <c r="B40" s="23" t="s">
        <v>110</v>
      </c>
      <c r="C40" s="23" t="s">
        <v>108</v>
      </c>
      <c r="D40" s="23" t="s">
        <v>77</v>
      </c>
      <c r="E40" s="23">
        <v>37</v>
      </c>
      <c r="F40" s="24">
        <v>42.55</v>
      </c>
      <c r="M40" s="1"/>
    </row>
    <row r="41" spans="1:13" x14ac:dyDescent="0.3">
      <c r="A41" s="19" t="s">
        <v>36</v>
      </c>
      <c r="B41" s="20" t="s">
        <v>111</v>
      </c>
      <c r="C41" s="20" t="s">
        <v>108</v>
      </c>
      <c r="D41" s="20" t="s">
        <v>65</v>
      </c>
      <c r="E41" s="20">
        <v>90</v>
      </c>
      <c r="F41" s="21">
        <v>115.2</v>
      </c>
      <c r="M41" s="1"/>
    </row>
    <row r="42" spans="1:13" x14ac:dyDescent="0.3">
      <c r="A42" s="22" t="s">
        <v>60</v>
      </c>
      <c r="B42" s="23" t="s">
        <v>112</v>
      </c>
      <c r="C42" s="23" t="s">
        <v>108</v>
      </c>
      <c r="D42" s="23" t="s">
        <v>71</v>
      </c>
      <c r="E42" s="23">
        <v>138</v>
      </c>
      <c r="F42" s="24">
        <v>173.88</v>
      </c>
      <c r="M42" s="1"/>
    </row>
    <row r="43" spans="1:13" x14ac:dyDescent="0.3">
      <c r="A43" s="19" t="s">
        <v>29</v>
      </c>
      <c r="B43" s="20" t="s">
        <v>113</v>
      </c>
      <c r="C43" s="20" t="s">
        <v>108</v>
      </c>
      <c r="D43" s="20" t="s">
        <v>71</v>
      </c>
      <c r="E43" s="20">
        <v>120</v>
      </c>
      <c r="F43" s="21">
        <v>162</v>
      </c>
      <c r="M43" s="1"/>
    </row>
    <row r="44" spans="1:13" x14ac:dyDescent="0.3">
      <c r="A44" s="22" t="s">
        <v>42</v>
      </c>
      <c r="B44" s="23" t="s">
        <v>114</v>
      </c>
      <c r="C44" s="23" t="s">
        <v>108</v>
      </c>
      <c r="D44" s="23" t="s">
        <v>65</v>
      </c>
      <c r="E44" s="23">
        <v>67</v>
      </c>
      <c r="F44" s="24">
        <v>83.08</v>
      </c>
      <c r="M44" s="1"/>
    </row>
    <row r="45" spans="1:13" x14ac:dyDescent="0.3">
      <c r="A45" s="19" t="s">
        <v>30</v>
      </c>
      <c r="B45" s="20" t="s">
        <v>115</v>
      </c>
      <c r="C45" s="20" t="s">
        <v>108</v>
      </c>
      <c r="D45" s="20" t="s">
        <v>65</v>
      </c>
      <c r="E45" s="20">
        <v>76</v>
      </c>
      <c r="F45" s="21">
        <v>82.08</v>
      </c>
      <c r="M45" s="1"/>
    </row>
    <row r="46" spans="1:13" x14ac:dyDescent="0.3">
      <c r="A46" s="25" t="s">
        <v>116</v>
      </c>
      <c r="B46" s="26" t="s">
        <v>117</v>
      </c>
      <c r="C46" s="26" t="s">
        <v>108</v>
      </c>
      <c r="D46" s="26" t="s">
        <v>65</v>
      </c>
      <c r="E46" s="26">
        <v>50</v>
      </c>
      <c r="F46" s="27">
        <v>62</v>
      </c>
      <c r="M46" s="1"/>
    </row>
    <row r="47" spans="1:13" x14ac:dyDescent="0.3">
      <c r="M47" s="1"/>
    </row>
  </sheetData>
  <dataValidations count="2">
    <dataValidation type="list" allowBlank="1" showInputMessage="1" showErrorMessage="1" sqref="D2:D46" xr:uid="{7D5AAC9D-58C4-4B00-896C-B58B6CEB7318}">
      <formula1>"Kg,Lt,Ft,Dozon,No."</formula1>
    </dataValidation>
    <dataValidation type="list" allowBlank="1" showInputMessage="1" showErrorMessage="1" sqref="C2:C46" xr:uid="{7BD91B4B-30DF-4095-8DE1-D6980975938D}">
      <formula1>"Category01,Category02,Category03,Category04,Category05"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3A20-06F6-4788-98B2-09510CED0D23}">
  <dimension ref="A1:E16"/>
  <sheetViews>
    <sheetView workbookViewId="0">
      <selection activeCell="G14" sqref="A1:G14"/>
    </sheetView>
  </sheetViews>
  <sheetFormatPr defaultRowHeight="14.4" x14ac:dyDescent="0.3"/>
  <sheetData>
    <row r="1" spans="1:5" ht="21" x14ac:dyDescent="0.4">
      <c r="A1" s="3" t="s">
        <v>119</v>
      </c>
      <c r="B1" s="3"/>
      <c r="C1" s="3"/>
      <c r="D1" s="3"/>
      <c r="E1" s="3"/>
    </row>
    <row r="2" spans="1:5" ht="21" x14ac:dyDescent="0.4">
      <c r="A2" s="3" t="s">
        <v>120</v>
      </c>
      <c r="B2" s="3"/>
      <c r="C2" s="3"/>
      <c r="D2" s="3"/>
      <c r="E2" s="3"/>
    </row>
    <row r="3" spans="1:5" ht="21" x14ac:dyDescent="0.4">
      <c r="A3" s="3" t="s">
        <v>118</v>
      </c>
      <c r="B3" s="3"/>
      <c r="C3" s="3"/>
      <c r="D3" s="3"/>
      <c r="E3" s="3"/>
    </row>
    <row r="4" spans="1:5" ht="21" x14ac:dyDescent="0.4">
      <c r="A4" s="3" t="s">
        <v>121</v>
      </c>
      <c r="B4" s="3"/>
      <c r="C4" s="3"/>
      <c r="D4" s="3"/>
      <c r="E4" s="3"/>
    </row>
    <row r="5" spans="1:5" ht="21" x14ac:dyDescent="0.4">
      <c r="A5" s="3"/>
      <c r="B5" s="3"/>
      <c r="C5" s="3"/>
      <c r="D5" s="3"/>
      <c r="E5" s="3"/>
    </row>
    <row r="6" spans="1:5" ht="21" x14ac:dyDescent="0.4">
      <c r="A6" s="3" t="s">
        <v>122</v>
      </c>
      <c r="B6" s="3"/>
      <c r="C6" s="3"/>
      <c r="D6" s="3"/>
      <c r="E6" s="3"/>
    </row>
    <row r="7" spans="1:5" ht="21" x14ac:dyDescent="0.4">
      <c r="A7" s="3" t="s">
        <v>123</v>
      </c>
      <c r="B7" s="3"/>
      <c r="C7" s="3"/>
      <c r="D7" s="3"/>
      <c r="E7" s="3"/>
    </row>
    <row r="8" spans="1:5" ht="21" x14ac:dyDescent="0.4">
      <c r="A8" s="3" t="s">
        <v>124</v>
      </c>
      <c r="B8" s="3"/>
      <c r="C8" s="3"/>
      <c r="D8" s="3"/>
      <c r="E8" s="3"/>
    </row>
    <row r="9" spans="1:5" ht="21" x14ac:dyDescent="0.4">
      <c r="A9" s="3" t="s">
        <v>125</v>
      </c>
      <c r="B9" s="3"/>
      <c r="C9" s="3"/>
      <c r="D9" s="3"/>
      <c r="E9" s="3"/>
    </row>
    <row r="10" spans="1:5" ht="21" x14ac:dyDescent="0.4">
      <c r="A10" s="3" t="s">
        <v>126</v>
      </c>
      <c r="B10" s="3"/>
      <c r="C10" s="3"/>
      <c r="D10" s="3"/>
      <c r="E10" s="3"/>
    </row>
    <row r="11" spans="1:5" ht="21" x14ac:dyDescent="0.4">
      <c r="A11" s="3"/>
      <c r="B11" s="3"/>
      <c r="C11" s="3"/>
      <c r="D11" s="3"/>
      <c r="E11" s="3"/>
    </row>
    <row r="12" spans="1:5" ht="21" x14ac:dyDescent="0.4">
      <c r="A12" s="3" t="s">
        <v>127</v>
      </c>
      <c r="B12" s="3"/>
      <c r="C12" s="3"/>
      <c r="D12" s="3"/>
      <c r="E12" s="3"/>
    </row>
    <row r="13" spans="1:5" ht="21" x14ac:dyDescent="0.4">
      <c r="A13" s="3" t="s">
        <v>128</v>
      </c>
      <c r="B13" s="3"/>
      <c r="C13" s="3"/>
      <c r="D13" s="3"/>
      <c r="E13" s="3"/>
    </row>
    <row r="14" spans="1:5" ht="21" x14ac:dyDescent="0.4">
      <c r="A14" s="3" t="s">
        <v>129</v>
      </c>
      <c r="B14" s="3"/>
      <c r="C14" s="3"/>
      <c r="D14" s="3"/>
      <c r="E14" s="3"/>
    </row>
    <row r="15" spans="1:5" ht="21" x14ac:dyDescent="0.4">
      <c r="A15" s="3"/>
      <c r="B15" s="3"/>
      <c r="C15" s="3"/>
      <c r="D15" s="3"/>
      <c r="E15" s="3"/>
    </row>
    <row r="16" spans="1:5" ht="21" x14ac:dyDescent="0.4">
      <c r="A16" s="3"/>
      <c r="B16" s="3"/>
      <c r="C16" s="3"/>
      <c r="D16" s="3"/>
      <c r="E16"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524D-4492-49EC-9C12-52D29AFB21FE}">
  <dimension ref="A1"/>
  <sheetViews>
    <sheetView tabSelected="1" zoomScale="63" zoomScaleNormal="105" workbookViewId="0">
      <selection activeCell="W16" sqref="W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A404-9238-4CDE-91B7-BD3D35EE2D80}">
  <dimension ref="A1"/>
  <sheetViews>
    <sheetView topLeftCell="A10" zoomScale="63" workbookViewId="0">
      <selection activeCell="Y20" sqref="Y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1066276-8442-4AE6-B24B-9556A573EB09}">
  <ds:schemaRefs/>
</ds:datastoreItem>
</file>

<file path=customXml/itemProps2.xml><?xml version="1.0" encoding="utf-8"?>
<ds:datastoreItem xmlns:ds="http://schemas.openxmlformats.org/officeDocument/2006/customXml" ds:itemID="{0DF51DEE-EC10-4782-BBF0-B0C6BD0DAC0D}">
  <ds:schemaRefs/>
</ds:datastoreItem>
</file>

<file path=customXml/itemProps3.xml><?xml version="1.0" encoding="utf-8"?>
<ds:datastoreItem xmlns:ds="http://schemas.openxmlformats.org/officeDocument/2006/customXml" ds:itemID="{70A2E75E-A959-4488-A92B-0185432FA832}">
  <ds:schemaRefs/>
</ds:datastoreItem>
</file>

<file path=customXml/itemProps4.xml><?xml version="1.0" encoding="utf-8"?>
<ds:datastoreItem xmlns:ds="http://schemas.openxmlformats.org/officeDocument/2006/customXml" ds:itemID="{41A9B89C-4B93-48BA-B430-CD5A0702CE8A}">
  <ds:schemaRefs/>
</ds:datastoreItem>
</file>

<file path=customXml/itemProps5.xml><?xml version="1.0" encoding="utf-8"?>
<ds:datastoreItem xmlns:ds="http://schemas.openxmlformats.org/officeDocument/2006/customXml" ds:itemID="{61F8E30E-C7E0-4DD7-8181-D5DD8B6BDA39}">
  <ds:schemaRefs/>
</ds:datastoreItem>
</file>

<file path=customXml/itemProps6.xml><?xml version="1.0" encoding="utf-8"?>
<ds:datastoreItem xmlns:ds="http://schemas.openxmlformats.org/officeDocument/2006/customXml" ds:itemID="{D7D01082-AB5A-48D1-BDD6-7C561719B3EC}">
  <ds:schemaRefs/>
</ds:datastoreItem>
</file>

<file path=customXml/itemProps7.xml><?xml version="1.0" encoding="utf-8"?>
<ds:datastoreItem xmlns:ds="http://schemas.openxmlformats.org/officeDocument/2006/customXml" ds:itemID="{424E86D2-1ADB-4247-B3D6-6CDE002A4084}">
  <ds:schemaRefs/>
</ds:datastoreItem>
</file>

<file path=customXml/itemProps8.xml><?xml version="1.0" encoding="utf-8"?>
<ds:datastoreItem xmlns:ds="http://schemas.openxmlformats.org/officeDocument/2006/customXml" ds:itemID="{75C6BA06-2F37-46F6-A104-7413C9F2D65E}">
  <ds:schemaRefs/>
</ds:datastoreItem>
</file>

<file path=customXml/itemProps9.xml><?xml version="1.0" encoding="utf-8"?>
<ds:datastoreItem xmlns:ds="http://schemas.openxmlformats.org/officeDocument/2006/customXml" ds:itemID="{A0311FBD-FD14-4CFE-9CFC-A548570A6DB8}">
  <ds:schemaRefs>
    <ds:schemaRef ds:uri="http://schemas.microsoft.com/DataMashup"/>
  </ds:schemaRefs>
</ds:datastoreItem>
</file>

<file path=customXml/itemProps10.xml><?xml version="1.0" encoding="utf-8"?>
<ds:datastoreItem xmlns:ds="http://schemas.openxmlformats.org/officeDocument/2006/customXml" ds:itemID="{DD324CC8-C1A3-4FFB-9414-5AF7F82F3D92}">
  <ds:schemaRefs/>
</ds:datastoreItem>
</file>

<file path=customXml/itemProps11.xml><?xml version="1.0" encoding="utf-8"?>
<ds:datastoreItem xmlns:ds="http://schemas.openxmlformats.org/officeDocument/2006/customXml" ds:itemID="{8C9401EA-BAD0-474F-B4FE-35682A8C49B2}">
  <ds:schemaRefs/>
</ds:datastoreItem>
</file>

<file path=customXml/itemProps12.xml><?xml version="1.0" encoding="utf-8"?>
<ds:datastoreItem xmlns:ds="http://schemas.openxmlformats.org/officeDocument/2006/customXml" ds:itemID="{DD578529-F512-436B-8429-ADFF5A7AEF91}">
  <ds:schemaRefs/>
</ds:datastoreItem>
</file>

<file path=customXml/itemProps13.xml><?xml version="1.0" encoding="utf-8"?>
<ds:datastoreItem xmlns:ds="http://schemas.openxmlformats.org/officeDocument/2006/customXml" ds:itemID="{AD77B6D3-FD4C-4B15-8035-6D6C773A53BC}">
  <ds:schemaRefs/>
</ds:datastoreItem>
</file>

<file path=customXml/itemProps14.xml><?xml version="1.0" encoding="utf-8"?>
<ds:datastoreItem xmlns:ds="http://schemas.openxmlformats.org/officeDocument/2006/customXml" ds:itemID="{0B3574DA-F287-4860-9C97-3836CCD13641}">
  <ds:schemaRefs/>
</ds:datastoreItem>
</file>

<file path=customXml/itemProps15.xml><?xml version="1.0" encoding="utf-8"?>
<ds:datastoreItem xmlns:ds="http://schemas.openxmlformats.org/officeDocument/2006/customXml" ds:itemID="{0B46B3F8-BE8F-4A45-95F3-1FCED307631A}">
  <ds:schemaRefs/>
</ds:datastoreItem>
</file>

<file path=customXml/itemProps16.xml><?xml version="1.0" encoding="utf-8"?>
<ds:datastoreItem xmlns:ds="http://schemas.openxmlformats.org/officeDocument/2006/customXml" ds:itemID="{AD618FFE-F653-4B16-B973-E3FE5871CEA1}">
  <ds:schemaRefs/>
</ds:datastoreItem>
</file>

<file path=customXml/itemProps17.xml><?xml version="1.0" encoding="utf-8"?>
<ds:datastoreItem xmlns:ds="http://schemas.openxmlformats.org/officeDocument/2006/customXml" ds:itemID="{C3CC566D-4FA7-48B3-9510-5533D7A8C33C}">
  <ds:schemaRefs/>
</ds:datastoreItem>
</file>

<file path=customXml/itemProps18.xml><?xml version="1.0" encoding="utf-8"?>
<ds:datastoreItem xmlns:ds="http://schemas.openxmlformats.org/officeDocument/2006/customXml" ds:itemID="{947F8564-019B-47E0-AF20-109088E8A7C2}">
  <ds:schemaRefs/>
</ds:datastoreItem>
</file>

<file path=customXml/itemProps19.xml><?xml version="1.0" encoding="utf-8"?>
<ds:datastoreItem xmlns:ds="http://schemas.openxmlformats.org/officeDocument/2006/customXml" ds:itemID="{A5696E19-38C1-44D9-AFB6-3C5E8BA9575A}">
  <ds:schemaRefs/>
</ds:datastoreItem>
</file>

<file path=customXml/itemProps20.xml><?xml version="1.0" encoding="utf-8"?>
<ds:datastoreItem xmlns:ds="http://schemas.openxmlformats.org/officeDocument/2006/customXml" ds:itemID="{87458A39-6132-4157-9164-56547B4FF1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Data 1</vt:lpstr>
      <vt:lpstr>Prcatice_ans</vt:lpstr>
      <vt:lpstr>Practice</vt:lpstr>
      <vt:lpstr>Data 2</vt:lpstr>
      <vt:lpstr>Requirements</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Edtech</dc:creator>
  <cp:lastModifiedBy>sonu bawane</cp:lastModifiedBy>
  <dcterms:created xsi:type="dcterms:W3CDTF">2024-08-06T06:06:50Z</dcterms:created>
  <dcterms:modified xsi:type="dcterms:W3CDTF">2025-11-25T12:02:23Z</dcterms:modified>
</cp:coreProperties>
</file>